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Rencana Menginap" sheetId="3" state="visible" r:id="rId5"/>
    <sheet name="Saran PML" sheetId="4" state="visible" r:id="rId6"/>
    <sheet name="Anggota Klaster PML" sheetId="5" state="visible" r:id="rId7"/>
    <sheet name="Existing vs Saran" sheetId="6" state="visible" r:id="rId8"/>
    <sheet name="Beban per PPL" sheetId="7" state="visible" r:id="rId9"/>
    <sheet name="Ganti Bentrok" sheetId="8" state="visible" r:id="rId10"/>
    <sheet name="Direktori Petugas" sheetId="9" state="visible" r:id="rId11"/>
    <sheet name="Parameter &amp; Asumsi" sheetId="10" state="visible" r:id="rId12"/>
  </sheets>
  <definedNames>
    <definedName function="false" hidden="true" localSheetId="4" name="_xlnm._FilterDatabase" vbProcedure="false">'Anggota Klaster PML'!$A$4:$G$103</definedName>
    <definedName function="false" hidden="true" localSheetId="6" name="_xlnm._FilterDatabase" vbProcedure="false">'Beban per PPL'!$A$4:$L$107</definedName>
    <definedName function="false" hidden="true" localSheetId="8" name="_xlnm._FilterDatabase" vbProcedure="false">'Direktori Petugas'!$A$4:$P$471</definedName>
    <definedName function="false" hidden="true" localSheetId="5" name="_xlnm._FilterDatabase" vbProcedure="false">'Existing vs Saran'!$A$4:$T$210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<sst xmlns="http://schemas.openxmlformats.org/spreadsheetml/2006/main" count="8264" uniqueCount="2041">
  <si>
    <t xml:space="preserve">Analisis Distribusi Petugas Bencana - Revisi 5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</si>
  <si>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</si>
  <si>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</si>
  <si>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</si>
  <si>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3 nama yang diminta (Amelia, ANIKE PUTRI, Annisa Suryani).</t>
  </si>
  <si>
    <t xml:space="preserve">PPL baru yang masih dibutuhkan (rekrut skema menginap)</t>
  </si>
  <si>
    <t xml:space="preserve">Diambil dari petugas yang sudah daftar tapi belum diplot: 28 bernilai &gt;= 4, sisanya nilai 3. Lihat sheet Kebutuhan PPL Tambahan dan Rencana Menginap.</t>
  </si>
  <si>
    <t xml:space="preserve">Total PPL jika semua rekrut bersedia menginap</t>
  </si>
  <si>
    <t xml:space="preserve">Target &gt; 80 (tidak wajib) - terpenuhi.</t>
  </si>
  <si>
    <t xml:space="preserve">Rentang kebutuhan rekrut menurut skenario (min - maks)</t>
  </si>
  <si>
    <t xml:space="preserve">Tergantung seberapa longgar radius dan batas beban (sheet Kebutuhan PPL Tambahan, bagian bawah).</t>
  </si>
  <si>
    <t xml:space="preserve">PPL dari data yang ada memenuhi target &gt; 80?</t>
  </si>
  <si>
    <t xml:space="preserve">Total dengan rekrut tetap di atas 80; PPL yang ada saja kurang karena calon PML tidak dijadikan PPL.</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</si>
  <si>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</si>
  <si>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</si>
  <si>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</si>
  <si>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</si>
  <si>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</si>
  <si>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</si>
  <si>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(9 wilayah), MUARO PINGAI (4 wilayah)</t>
  </si>
  <si>
    <t xml:space="preserve">KUBUNG</t>
  </si>
  <si>
    <t xml:space="preserve">SELAYO (12 wilayah)</t>
  </si>
  <si>
    <t xml:space="preserve">X KOTO SINGKARAK</t>
  </si>
  <si>
    <t xml:space="preserve">SANIANG BAKA (7 wilayah), SUMANI (5 wilayah), KOTO SANI (1 wilayah)</t>
  </si>
  <si>
    <t xml:space="preserve">C. Skema PML (1 PML : 4 PPL, maks. 5)</t>
  </si>
  <si>
    <t xml:space="preserve">Jumlah klaster PML yang dibutuhkan</t>
  </si>
  <si>
    <t xml:space="preserve">Total PPL dibagi 4-5 per klaster (11 klaster 5 PPL, 11 klaster 4 PPL).</t>
  </si>
  <si>
    <t xml:space="preserve">PML terisi dari calon PML (tetap menjadi PML)</t>
  </si>
  <si>
    <t xml:space="preserve">Domisili PML &lt;= 15 km dari pusat klaster; sheet Saran PML.</t>
  </si>
  <si>
    <t xml:space="preserve">PML yang harus diisi pegawai organik (diplot nanti)</t>
  </si>
  <si>
    <t xml:space="preserve">Klaster tanpa calon PML dalam batas jarak (Lembah Gumanti). Hariston &amp; Ilham calon PML bernama sama dgn 2 pegawai organik - mohon dicek.</t>
  </si>
  <si>
    <t xml:space="preserve">Calon PML yang dialihkan jadi PPL</t>
  </si>
  <si>
    <t xml:space="preserve">Hanya 3 nama yang diminta (Amelia, ANIKE PUTRI, Annisa Suryani).</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</si>
  <si>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</si>
  <si>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</si>
  <si>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</si>
  <si>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</si>
  <si>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</si>
  <si>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</si>
  <si>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</si>
  <si>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</si>
  <si>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</si>
  <si>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</si>
  <si>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</si>
  <si>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</si>
  <si>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</si>
  <si>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</si>
  <si>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</si>
  <si>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Skema menginap untuk rekrutan baru</t>
  </si>
  <si>
    <t xml:space="preserve">Petugas terdaftar (belum diplot) yang ditawari menginap</t>
  </si>
  <si>
    <t xml:space="preserve">Penerima tawaran per lokasi ada di sheet Rencana Menginap, lengkap dengan kolom jawaban.</t>
  </si>
  <si>
    <t xml:space="preserve">Lokasi kontrakan BPS yang dibutuhkan</t>
  </si>
  <si>
    <t xml:space="preserve">Satu kontrakan per nagari pusat wilayah (Muaro Pingai, Paninggahan, Selayo, Saniang Baka, Sumani).</t>
  </si>
  <si>
    <t xml:space="preserve">Cadangan (terdaftar, belum diplot, tidak terpilih)</t>
  </si>
  <si>
    <t xml:space="preserve">Dipakai bila ada yang menolak menginap; sebagian belum dinilai.</t>
  </si>
  <si>
    <t xml:space="preserve">F.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</si>
  <si>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</si>
  <si>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ditambahkan di sheet Existing vs Saran, dan perbandingan lengkap per PPL di sheet Beban per PPL.</t>
  </si>
  <si>
    <t xml:space="preserve">3. Amelia, ANIKE PUTRI, Annisa Suryani ditetapkan sebagai PPL (wilayah terdekat) - lihat filter Sumber 'Nama diminta admin'.</t>
  </si>
  <si>
    <t xml:space="preserve">4. Nama rekrut untuk tiap slot PPL baru + alternatif ada di sheet Kebutuhan PPL Tambahan; saran klaster &amp; PML di sheet Saran PML dan Anggota Klaster PML.</t>
  </si>
  <si>
    <t xml:space="preserve">5. Revisi 5: kebutuhan rekrut kini diisi dari petugas yang sudah daftar tapi belum diplot, dengan tawaran menginap di kontrakan BPS (sheet Rencana Menginap memuat daftar penerima tawaran per lokasi, kolom jawaban, dan contoh pesan).</t>
  </si>
  <si>
    <t xml:space="preserve">6. Revisi 4: PPL berbeban terlalu kecil (&lt; 60 skor) digabung - satu PPL yang lebih dekat/layak memegang wilayah keduanya (lihat Jenis Perubahan 'Gabung' di sheet Existing vs Saran dan Catatan di Beban per PPL).</t>
  </si>
  <si>
    <t xml:space="preserve">7. Catatan: angka beban Clara Amelya Hendres (48,9) dan Indri septiadi (22,5) berasal dari Revisi 2; di revisi ini beban keduanya sudah 204,5 dan 150,3 karena tidak ada lagi calon PML yang mengambil wilayahnya.</t>
  </si>
  <si>
    <t xml:space="preserve">8. Revisi 3: calon PML dipertahankan sebagai PML (21 terpasang di 22 klaster + 5 cadangan); hanya 3 nama yang diminta dijadikan PPL. Konsekuensinya rekrut PPL baru naik dari 17 menjadi 32.</t>
  </si>
  <si>
    <t xml:space="preserve">Kebutuhan PPL Tambahan - rekrut dari petugas yang sudah daftar tapi belum diplot, dengan skema MENGINAP</t>
  </si>
  <si>
    <t xml:space="preserve">Slot = 1 orang PPL yang dibutuhkan agar semua Sub SLS terpegang dengan beban wajar. Kandidat utama = petugas terdaftar yang belum mendapat wilayah; ditawari menginap di kontrakan BPS di lokasi pendataan (tanpa pulang-pergi) bersama rekan PPL lain, sehingga jarak domisili tidak lagi membatasi.</t>
  </si>
  <si>
    <t xml:space="preserve">No</t>
  </si>
  <si>
    <t xml:space="preserve">Nagari</t>
  </si>
  <si>
    <t xml:space="preserve">Sub SLS yang dicakup</t>
  </si>
  <si>
    <t xml:space="preserve">Skor Beban Slot</t>
  </si>
  <si>
    <t xml:space="preserve">Kandidat Utama (ditawari menginap)</t>
  </si>
  <si>
    <t xml:space="preserve">ID</t>
  </si>
  <si>
    <t xml:space="preserve">Nilai</t>
  </si>
  <si>
    <t xml:space="preserve">Jarak Domisili ke Wilayah (km)</t>
  </si>
  <si>
    <t xml:space="preserve">Lokasi Domisili</t>
  </si>
  <si>
    <t xml:space="preserve">Sudah Daftar Bencana?</t>
  </si>
  <si>
    <t xml:space="preserve">No HP</t>
  </si>
  <si>
    <t xml:space="preserve">Cadangan 1</t>
  </si>
  <si>
    <t xml:space="preserve">Cadangan 2</t>
  </si>
  <si>
    <t xml:space="preserve">Cadangan 3</t>
  </si>
  <si>
    <t xml:space="preserve">Jumlah Kandidat Terdaftar yang Layak (nilai&gt;=4)</t>
  </si>
  <si>
    <t xml:space="preserve">Lokasi Menginap (kontrakan BPS)</t>
  </si>
  <si>
    <t xml:space="preserve">PANINGGAHAN</t>
  </si>
  <si>
    <t xml:space="preserve">JORONG GANDO /04</t>
  </si>
  <si>
    <t xml:space="preserve">Badrizal</t>
  </si>
  <si>
    <t xml:space="preserve">Perkiraan (kecamatan)</t>
  </si>
  <si>
    <t xml:space="preserve">Sudah</t>
  </si>
  <si>
    <t xml:space="preserve">+6281275622782</t>
  </si>
  <si>
    <t xml:space="preserve">Roza Novrika Sari (1.0 km, nilai None, -)</t>
  </si>
  <si>
    <t xml:space="preserve">Khairani Permata Wahyu (6.6 km, nilai None, -)</t>
  </si>
  <si>
    <t xml:space="preserve">Gustin Ekawati (20.5 km, nilai None, -)</t>
  </si>
  <si>
    <t xml:space="preserve">Nagari PANINGGAHAN, Kec. JUNJUNG SIRIH</t>
  </si>
  <si>
    <t xml:space="preserve">JORONG GANDO /03</t>
  </si>
  <si>
    <t xml:space="preserve">Julia Lara Zamzamy</t>
  </si>
  <si>
    <t xml:space="preserve">Titik riil</t>
  </si>
  <si>
    <t xml:space="preserve">+6285836071436</t>
  </si>
  <si>
    <t xml:space="preserve">Roza Novrika Sari (1.6 km, nilai None, -)</t>
  </si>
  <si>
    <t xml:space="preserve">Gustin Ekawati (20.2 km, nilai None, -)</t>
  </si>
  <si>
    <t xml:space="preserve">JORONG GANDO /05; JORONG PARUMAHAN /04</t>
  </si>
  <si>
    <t xml:space="preserve">Weza Deftalia</t>
  </si>
  <si>
    <t xml:space="preserve">+6282389879707</t>
  </si>
  <si>
    <t xml:space="preserve">Roza Novrika Sari (0.1 km, nilai None, -)</t>
  </si>
  <si>
    <t xml:space="preserve">Khairani Permata Wahyu (7.2 km, nilai None, -)</t>
  </si>
  <si>
    <t xml:space="preserve">Gustin Ekawati (21.4 km, nilai None, -)</t>
  </si>
  <si>
    <t xml:space="preserve">JORONG GANDO /06</t>
  </si>
  <si>
    <t xml:space="preserve">NIA FEBRIWENI</t>
  </si>
  <si>
    <t xml:space="preserve">Perkiraan (nagari)</t>
  </si>
  <si>
    <t xml:space="preserve">+6282285119219</t>
  </si>
  <si>
    <t xml:space="preserve">Khairani Permata Wahyu (6.3 km, nilai None, -)</t>
  </si>
  <si>
    <t xml:space="preserve">MUARO PINGAI, PANINGGAHAN</t>
  </si>
  <si>
    <t xml:space="preserve">JORONG GUCI II /00 (porsi 2); JORONG PARUMAHAN /05</t>
  </si>
  <si>
    <t xml:space="preserve">Wahyu Isman Asmi</t>
  </si>
  <si>
    <t xml:space="preserve">+6281324102700</t>
  </si>
  <si>
    <t xml:space="preserve">Roza Novrika Sari (1.1 km, nilai None, -)</t>
  </si>
  <si>
    <t xml:space="preserve">Gustin Ekawati (20.7 km, nilai None, -)</t>
  </si>
  <si>
    <t xml:space="preserve">Nagari MUARO PINGAI, Kec. JUNJUNG SIRIH</t>
  </si>
  <si>
    <t xml:space="preserve">MUARO PINGAI</t>
  </si>
  <si>
    <t xml:space="preserve">JORONG GUCI II /00 (porsi 3)</t>
  </si>
  <si>
    <t xml:space="preserve">Hafni Syamfitria</t>
  </si>
  <si>
    <t xml:space="preserve">+6282364860590</t>
  </si>
  <si>
    <t xml:space="preserve">Roza Novrika Sari (1.9 km, nilai None, -)</t>
  </si>
  <si>
    <t xml:space="preserve">Khairani Permata Wahyu (5.6 km, nilai None, -)</t>
  </si>
  <si>
    <t xml:space="preserve">Gustin Ekawati (20.1 km, nilai None, -)</t>
  </si>
  <si>
    <t xml:space="preserve">JORONG SUBARANG /01; JORONG SUBARANG /03</t>
  </si>
  <si>
    <t xml:space="preserve">Febri Handayani</t>
  </si>
  <si>
    <t xml:space="preserve">+6281365092925</t>
  </si>
  <si>
    <t xml:space="preserve">Khairani Permata Wahyu (9.1 km, nilai None, -)</t>
  </si>
  <si>
    <t xml:space="preserve">Gustin Ekawati (23.2 km, nilai None, -)</t>
  </si>
  <si>
    <t xml:space="preserve">JORONG PANYALAI /00 (porsi 2); JORONG SUBARANG /04</t>
  </si>
  <si>
    <t xml:space="preserve">NOVA ALIZA</t>
  </si>
  <si>
    <t xml:space="preserve">+6285199567959</t>
  </si>
  <si>
    <t xml:space="preserve">Roza Novrika Sari (0.6 km, nilai None, -)</t>
  </si>
  <si>
    <t xml:space="preserve">Gustin Ekawati (21.6 km, nilai None, -)</t>
  </si>
  <si>
    <t xml:space="preserve">JORONG KOTO /00 (porsi 2)</t>
  </si>
  <si>
    <t xml:space="preserve">Kodratur rahman</t>
  </si>
  <si>
    <t xml:space="preserve">+6282387374685</t>
  </si>
  <si>
    <t xml:space="preserve">Roza Novrika Sari (2.4 km, nilai None, -)</t>
  </si>
  <si>
    <t xml:space="preserve">Khairani Permata Wahyu (5.0 km, nilai None, -)</t>
  </si>
  <si>
    <t xml:space="preserve">Gustin Ekawati (19.4 km, nilai None, -)</t>
  </si>
  <si>
    <t xml:space="preserve">SELAYO</t>
  </si>
  <si>
    <t xml:space="preserve">JORONG SAWAH SUDUT /08 (porsi 2)</t>
  </si>
  <si>
    <t xml:space="preserve">Dini Fonika Putri</t>
  </si>
  <si>
    <t xml:space="preserve">+6283867137737</t>
  </si>
  <si>
    <t xml:space="preserve">Gustin Ekawati (2.1 km, nilai None, -)</t>
  </si>
  <si>
    <t xml:space="preserve">Larisa Dita Putri (2.1 km, nilai None, -)</t>
  </si>
  <si>
    <t xml:space="preserve">Leni Marta (2.1 km, nilai None, -)</t>
  </si>
  <si>
    <t xml:space="preserve">Nagari SELAYO, Kec. KUBUNG</t>
  </si>
  <si>
    <t xml:space="preserve">JORONG SAWAH SUDUT /03 (porsi 1)</t>
  </si>
  <si>
    <t xml:space="preserve">Nindi Oktaviana</t>
  </si>
  <si>
    <t xml:space="preserve">+628976579438</t>
  </si>
  <si>
    <t xml:space="preserve">JORONG SAWAH SUDUT /03 (porsi 2)</t>
  </si>
  <si>
    <t xml:space="preserve">Siti Oktavia</t>
  </si>
  <si>
    <t xml:space="preserve">+6283181393485</t>
  </si>
  <si>
    <t xml:space="preserve">JORONG SAWAH SUDUT /06 (porsi 1)</t>
  </si>
  <si>
    <t xml:space="preserve">Sherli Handayani</t>
  </si>
  <si>
    <t xml:space="preserve">+6285211620712</t>
  </si>
  <si>
    <t xml:space="preserve">Gustin Ekawati (1.5 km, nilai None, -)</t>
  </si>
  <si>
    <t xml:space="preserve">Larisa Dita Putri (1.5 km, nilai None, -)</t>
  </si>
  <si>
    <t xml:space="preserve">Leni Marta (1.5 km, nilai None, -)</t>
  </si>
  <si>
    <t xml:space="preserve">JORONG GALANGGANG TANGAH /07</t>
  </si>
  <si>
    <t xml:space="preserve">Nurul Fadila Ramadhani</t>
  </si>
  <si>
    <t xml:space="preserve">+6282286059710</t>
  </si>
  <si>
    <t xml:space="preserve">Gustin Ekawati (2.9 km, nilai None, -)</t>
  </si>
  <si>
    <t xml:space="preserve">Larisa Dita Putri (2.9 km, nilai None, -)</t>
  </si>
  <si>
    <t xml:space="preserve">Leni Marta (2.9 km, nilai None, -)</t>
  </si>
  <si>
    <t xml:space="preserve">JORONG GALANGGANG TANGAH /03</t>
  </si>
  <si>
    <t xml:space="preserve">Resi Linda Putri</t>
  </si>
  <si>
    <t xml:space="preserve">+6282228502224</t>
  </si>
  <si>
    <t xml:space="preserve">Gustin Ekawati (2.8 km, nilai None, -)</t>
  </si>
  <si>
    <t xml:space="preserve">Larisa Dita Putri (2.8 km, nilai None, -)</t>
  </si>
  <si>
    <t xml:space="preserve">Leni Marta (2.8 km, nilai None, -)</t>
  </si>
  <si>
    <t xml:space="preserve">JORONG SAWAH SUDUT /01 (porsi 1)</t>
  </si>
  <si>
    <t xml:space="preserve">Witri Nadia Devita Sari</t>
  </si>
  <si>
    <t xml:space="preserve">+6285363468546</t>
  </si>
  <si>
    <t xml:space="preserve">Gustin Ekawati (2.2 km, nilai None, -)</t>
  </si>
  <si>
    <t xml:space="preserve">Larisa Dita Putri (2.2 km, nilai None, -)</t>
  </si>
  <si>
    <t xml:space="preserve">Leni Marta (2.2 km, nilai None, -)</t>
  </si>
  <si>
    <t xml:space="preserve">JORONG SAWAH SUDUT /01 (porsi 2)</t>
  </si>
  <si>
    <t xml:space="preserve">Syafika Amalia</t>
  </si>
  <si>
    <t xml:space="preserve">+6282286552343</t>
  </si>
  <si>
    <t xml:space="preserve">JORONG SAWAH SUDUT /02 (porsi 1)</t>
  </si>
  <si>
    <t xml:space="preserve">Afdhal Rezeki</t>
  </si>
  <si>
    <t xml:space="preserve">+6282283507200</t>
  </si>
  <si>
    <t xml:space="preserve">JORONG SAWAH SUDUT /02 (porsi 2)</t>
  </si>
  <si>
    <t xml:space="preserve">Iza Mutiarana</t>
  </si>
  <si>
    <t xml:space="preserve">+6281270419996</t>
  </si>
  <si>
    <t xml:space="preserve">JORONG GALANGGANG TANGAH /04</t>
  </si>
  <si>
    <t xml:space="preserve">FELIA NOVELIZA</t>
  </si>
  <si>
    <t xml:space="preserve">+6282288368313</t>
  </si>
  <si>
    <t xml:space="preserve">JORONG GALANGGANG TANGAH /08</t>
  </si>
  <si>
    <t xml:space="preserve">Nurpatri</t>
  </si>
  <si>
    <t xml:space="preserve">+6281378702534</t>
  </si>
  <si>
    <t xml:space="preserve">Gustin Ekawati (2.6 km, nilai None, -)</t>
  </si>
  <si>
    <t xml:space="preserve">Larisa Dita Putri (2.6 km, nilai None, -)</t>
  </si>
  <si>
    <t xml:space="preserve">Leni Marta (2.6 km, nilai None, -)</t>
  </si>
  <si>
    <t xml:space="preserve">SANIANG BAKA</t>
  </si>
  <si>
    <t xml:space="preserve">JORONG BALAI BATINGKAH /01</t>
  </si>
  <si>
    <t xml:space="preserve">Alhammah Alam 'Gina</t>
  </si>
  <si>
    <t xml:space="preserve">+6281261493324</t>
  </si>
  <si>
    <t xml:space="preserve">Khairani Permata Wahyu (2.9 km, nilai None, -)</t>
  </si>
  <si>
    <t xml:space="preserve">Roza Novrika Sari (4.5 km, nilai None, -)</t>
  </si>
  <si>
    <t xml:space="preserve">Gustin Ekawati (17.1 km, nilai None, -)</t>
  </si>
  <si>
    <t xml:space="preserve">Nagari SANIANG BAKA, Kec. X KOTO SINGKARAK</t>
  </si>
  <si>
    <t xml:space="preserve">JORONG BALAI BATINGKAH /03</t>
  </si>
  <si>
    <t xml:space="preserve">Sukma Yuliandra Putri</t>
  </si>
  <si>
    <t xml:space="preserve">+6285363564871</t>
  </si>
  <si>
    <t xml:space="preserve">Khairani Permata Wahyu (1.7 km, nilai None, -)</t>
  </si>
  <si>
    <t xml:space="preserve">Roza Novrika Sari (5.7 km, nilai None, -)</t>
  </si>
  <si>
    <t xml:space="preserve">Gustin Ekawati (16.1 km, nilai None, -)</t>
  </si>
  <si>
    <t xml:space="preserve">SUMANI</t>
  </si>
  <si>
    <t xml:space="preserve">JORONG KOTO BARU /01</t>
  </si>
  <si>
    <t xml:space="preserve">Gusma Rida</t>
  </si>
  <si>
    <t xml:space="preserve">+628216610867</t>
  </si>
  <si>
    <t xml:space="preserve">Khairani Permata Wahyu (0.8 km, nilai None, -)</t>
  </si>
  <si>
    <t xml:space="preserve">Roza Novrika Sari (8.1 km, nilai None, -)</t>
  </si>
  <si>
    <t xml:space="preserve">Gustin Ekawati (14.1 km, nilai None, -)</t>
  </si>
  <si>
    <t xml:space="preserve">Nagari SUMANI, Kec. X KOTO SINGKARAK</t>
  </si>
  <si>
    <t xml:space="preserve">JORONG PBS /01</t>
  </si>
  <si>
    <t xml:space="preserve">Fahrul Ramadhani</t>
  </si>
  <si>
    <t xml:space="preserve">+6281261131692</t>
  </si>
  <si>
    <t xml:space="preserve">Khairani Permata Wahyu (1.2 km, nilai None, -)</t>
  </si>
  <si>
    <t xml:space="preserve">Roza Novrika Sari (8.5 km, nilai None, -)</t>
  </si>
  <si>
    <t xml:space="preserve">Gustin Ekawati (13.7 km, nilai None, -)</t>
  </si>
  <si>
    <t xml:space="preserve">JORONG PBS /02</t>
  </si>
  <si>
    <t xml:space="preserve">Filzah Asyet</t>
  </si>
  <si>
    <t xml:space="preserve">+6285364651538</t>
  </si>
  <si>
    <t xml:space="preserve">Khairani Permata Wahyu (1.3 km, nilai None, -)</t>
  </si>
  <si>
    <t xml:space="preserve">Roza Novrika Sari (8.6 km, nilai None, -)</t>
  </si>
  <si>
    <t xml:space="preserve">JORONG GUCI /02; JORONG SIKUMBANG /03</t>
  </si>
  <si>
    <t xml:space="preserve">WENI DESTI</t>
  </si>
  <si>
    <t xml:space="preserve">+6282172904394</t>
  </si>
  <si>
    <t xml:space="preserve">Khairani Permata Wahyu (0.6 km, nilai None, -)</t>
  </si>
  <si>
    <t xml:space="preserve">Roza Novrika Sari (7.8 km, nilai None, -)</t>
  </si>
  <si>
    <t xml:space="preserve">Gustin Ekawati (14.2 km, nilai None, -)</t>
  </si>
  <si>
    <t xml:space="preserve">JORONG BALAI PANJANG /01</t>
  </si>
  <si>
    <t xml:space="preserve">Debi Wulandari</t>
  </si>
  <si>
    <t xml:space="preserve">+6281267118982</t>
  </si>
  <si>
    <t xml:space="preserve">Khairani Permata Wahyu (1.5 km, nilai None, -)</t>
  </si>
  <si>
    <t xml:space="preserve">Roza Novrika Sari (5.8 km, nilai None, -)</t>
  </si>
  <si>
    <t xml:space="preserve">Gustin Ekawati (15.9 km, nilai None, -)</t>
  </si>
  <si>
    <t xml:space="preserve">JORONG BALAI LALANG /01</t>
  </si>
  <si>
    <t xml:space="preserve">Adri yoy marten</t>
  </si>
  <si>
    <t xml:space="preserve">+6283852520866</t>
  </si>
  <si>
    <t xml:space="preserve">Roza Novrika Sari (5.6 km, nilai None, -)</t>
  </si>
  <si>
    <t xml:space="preserve">JORONG BALAI LALANG /02</t>
  </si>
  <si>
    <t xml:space="preserve">desi warni</t>
  </si>
  <si>
    <t xml:space="preserve">+6282285033028</t>
  </si>
  <si>
    <t xml:space="preserve">Gustin Ekawati (16.2 km, nilai None, -)</t>
  </si>
  <si>
    <t xml:space="preserve">KOTO SANI, SANIANG BAKA</t>
  </si>
  <si>
    <t xml:space="preserve">JORONG BALAI PANJANG /02; JORONG LIMO NINIK /01</t>
  </si>
  <si>
    <t xml:space="preserve">Velmarniati</t>
  </si>
  <si>
    <t xml:space="preserve">+6282172061511</t>
  </si>
  <si>
    <t xml:space="preserve">Khairani Permata Wahyu (1.1 km, nilai None, -)</t>
  </si>
  <si>
    <t xml:space="preserve">Roza Novrika Sari (6.7 km, nilai None, -)</t>
  </si>
  <si>
    <t xml:space="preserve">Gustin Ekawati (15.0 km, nilai None, -)</t>
  </si>
  <si>
    <t xml:space="preserve">JORONG AIA ANGEK /00</t>
  </si>
  <si>
    <t xml:space="preserve">Berni desriyanti</t>
  </si>
  <si>
    <t xml:space="preserve">+6285374078252</t>
  </si>
  <si>
    <t xml:space="preserve">Roza Novrika Sari (4.1 km, nilai None, -)</t>
  </si>
  <si>
    <t xml:space="preserve">Khairani Permata Wahyu (5.3 km, nilai None, -)</t>
  </si>
  <si>
    <t xml:space="preserve">Gustin Ekawati (17.9 km, nilai None, -)</t>
  </si>
  <si>
    <t xml:space="preserve">Ringkasan per kecamatan</t>
  </si>
  <si>
    <t xml:space="preserve">Total skor beban</t>
  </si>
  <si>
    <t xml:space="preserve">Total</t>
  </si>
  <si>
    <t xml:space="preserve">Sensitivitas kebutuhan rekrut terhadap parameter (hasil simulasi ulang; skenario A = dipakai di sheet lain; semua skenario A-E sudah menggabungkan PPL berbeban terlalu kecil)</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</si>
  <si>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</si>
  <si>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</si>
  <si>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</si>
  <si>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</si>
  <si>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</si>
  <si>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</si>
  <si>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</si>
  <si>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</si>
  <si>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</si>
  <si>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</si>
  <si>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</si>
  <si>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</si>
  <si>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</si>
  <si>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</si>
  <si>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dasar (7/10 km, 180/220)</t>
  </si>
  <si>
    <t xml:space="preserve">B - beban lebih longgar (200/250)</t>
  </si>
  <si>
    <t xml:space="preserve">C - radius lebih luas (10/15 km)</t>
  </si>
  <si>
    <t xml:space="preserve">D - beban lebih ringan (160/200)</t>
  </si>
  <si>
    <t xml:space="preserve">E - radius luas + beban longgar</t>
  </si>
  <si>
    <t xml:space="preserve">Pembanding: Revisi 2 (calon PML boleh jadi PPL, dasar A)</t>
  </si>
  <si>
    <t xml:space="preserve">Pembanding: Revisi 3 (dasar A, tanpa penggabungan beban kecil)</t>
  </si>
  <si>
    <t xml:space="preserve">Rencana Tawaran Menginap - Kontrakan BPS di Lokasi Pendataan</t>
  </si>
  <si>
    <t xml:space="preserve">Penerima tawaran = petugas yang sudah daftar tapi belum mendapat wilayah. Kolom jawaban (biru, kuning) diisi admin. Tawaran per lokasi bisa langsung dibuat di fitur 'Tawaran Menginap' pada aplikasi (kecamatan + nagari + keterangan, pilih kandidat).</t>
  </si>
  <si>
    <t xml:space="preserve">Lokasi Kontrakan (Nagari)</t>
  </si>
  <si>
    <t xml:space="preserve">Jumlah PPL Menginap</t>
  </si>
  <si>
    <t xml:space="preserve">Total Skor Beban</t>
  </si>
  <si>
    <t xml:space="preserve">Laki-laki</t>
  </si>
  <si>
    <t xml:space="preserve">Perempuan</t>
  </si>
  <si>
    <t xml:space="preserve">Belum diisi</t>
  </si>
  <si>
    <t xml:space="preserve">Jarak Domisili Rata-rata (km)</t>
  </si>
  <si>
    <t xml:space="preserve">Jarak Domisili Terjauh (km)</t>
  </si>
  <si>
    <t xml:space="preserve">Teks Keterangan Tawaran (salin ke aplikasi)</t>
  </si>
  <si>
    <t xml:space="preserve">Kebutuhan PPL di Nagari MUARO PINGAI, Kec. JUNJUNG SIRIH - tawarkan skema menginap di kontrakan yang disediakan BPS Kabupaten Solok selama pendataan (10-31 Okt 2026) bersama rekan PPL lain, tanpa pulang-pergi. Jam kerja 5-7 jam per hari.</t>
  </si>
  <si>
    <t xml:space="preserve">Kebutuhan PPL di Nagari PANINGGAHAN, Kec. JUNJUNG SIRIH - tawarkan skema menginap di kontrakan yang disediakan BPS Kabupaten Solok selama pendataan (10-31 Okt 2026) bersama rekan PPL lain, tanpa pulang-pergi. Jam kerja 5-7 jam per hari.</t>
  </si>
  <si>
    <t xml:space="preserve">Kebutuhan PPL di Nagari SELAYO, Kec. KUBUNG - tawarkan skema menginap di kontrakan yang disediakan BPS Kabupaten Solok selama pendataan (10-31 Okt 2026) bersama rekan PPL lain, tanpa pulang-pergi. Jam kerja 5-7 jam per hari.</t>
  </si>
  <si>
    <t xml:space="preserve">Kebutuhan PPL di Nagari SANIANG BAKA, Kec. X KOTO SINGKARAK - tawarkan skema menginap di kontrakan yang disediakan BPS Kabupaten Solok selama pendataan (10-31 Okt 2026) bersama rekan PPL lain, tanpa pulang-pergi. Jam kerja 5-7 jam per hari.</t>
  </si>
  <si>
    <t xml:space="preserve">Kebutuhan PPL di Nagari SUMANI, Kec. X KOTO SINGKARAK - tawarkan skema menginap di kontrakan yang disediakan BPS Kabupaten Solok selama pendataan (10-31 Okt 2026) bersama rekan PPL lain, tanpa pulang-pergi. Jam kerja 5-7 jam per hari.</t>
  </si>
  <si>
    <t xml:space="preserve">Daftar penerima tawaran per lokasi</t>
  </si>
  <si>
    <t xml:space="preserve">Kecamatan Lokasi</t>
  </si>
  <si>
    <t xml:space="preserve">Nama</t>
  </si>
  <si>
    <t xml:space="preserve">Jenis Kelamin</t>
  </si>
  <si>
    <t xml:space="preserve">Umur</t>
  </si>
  <si>
    <t xml:space="preserve">Bisa Motor</t>
  </si>
  <si>
    <t xml:space="preserve">Domisili (Kec. / Nagari)</t>
  </si>
  <si>
    <t xml:space="preserve">Jarak Domisili ke Lokasi (km)</t>
  </si>
  <si>
    <t xml:space="preserve">Wilayah yang Dipegang (Sub SLS)</t>
  </si>
  <si>
    <t xml:space="preserve">Skor Beban</t>
  </si>
  <si>
    <t xml:space="preserve">Bersedia menginap? (Ya/Tidak) - isi admin</t>
  </si>
  <si>
    <t xml:space="preserve">Catatan jawaban - isi admin</t>
  </si>
  <si>
    <t xml:space="preserve">Ya</t>
  </si>
  <si>
    <t xml:space="preserve">TIGO LURAH / GARABAK DATA</t>
  </si>
  <si>
    <t xml:space="preserve">JORONG GUCI II /00; JORONG PARUMAHAN /05</t>
  </si>
  <si>
    <t xml:space="preserve">PAYUNG SEKAKI / AIA LUO</t>
  </si>
  <si>
    <t xml:space="preserve">JORONG GUCI II /00</t>
  </si>
  <si>
    <t xml:space="preserve">IX KOTO SUNGAI LASI / INDUDUA</t>
  </si>
  <si>
    <t xml:space="preserve">JORONG PANYALAI /00; JORONG SUBARANG /04</t>
  </si>
  <si>
    <t xml:space="preserve">LEMBAH GUMANTI / AIE DINGIN</t>
  </si>
  <si>
    <t xml:space="preserve">JORONG KOTO /00</t>
  </si>
  <si>
    <t xml:space="preserve">DANAU KEMBAR / KAMPUANG BATU DALAM</t>
  </si>
  <si>
    <t xml:space="preserve">GUNUNG TALANG / AIA BATUMBUAK</t>
  </si>
  <si>
    <t xml:space="preserve">X KOTO DIATAS / KUNCIA</t>
  </si>
  <si>
    <t xml:space="preserve">belum diisi</t>
  </si>
  <si>
    <t xml:space="preserve">LEMBAH GUMANTI / -</t>
  </si>
  <si>
    <t xml:space="preserve">JORONG SAWAH SUDUT /08</t>
  </si>
  <si>
    <t xml:space="preserve">JORONG SAWAH SUDUT /03</t>
  </si>
  <si>
    <t xml:space="preserve">- / -</t>
  </si>
  <si>
    <t xml:space="preserve">JORONG SAWAH SUDUT /06</t>
  </si>
  <si>
    <t xml:space="preserve">HILIRAN GUMANTI / TALANG BABUNGO</t>
  </si>
  <si>
    <t xml:space="preserve">LEMBAH GUMANTI / SUNGAI NANAM</t>
  </si>
  <si>
    <t xml:space="preserve">JORONG SAWAH SUDUT /01</t>
  </si>
  <si>
    <t xml:space="preserve">PANTAI CERMIN / SURIAN</t>
  </si>
  <si>
    <t xml:space="preserve">LEMBANG JAYA / KOTO ANAU</t>
  </si>
  <si>
    <t xml:space="preserve">JORONG SAWAH SUDUT /02</t>
  </si>
  <si>
    <t xml:space="preserve">LEMBAH GUMANTI / SALIMPEK</t>
  </si>
  <si>
    <t xml:space="preserve">Tidak</t>
  </si>
  <si>
    <t xml:space="preserve">LEMBANG JAYA / BATU BANYAK</t>
  </si>
  <si>
    <t xml:space="preserve">LEMBANG JAYA / SALAYO TANANG BUKIK SILEH</t>
  </si>
  <si>
    <t xml:space="preserve">LEMBANG JAYA / KOTO LAWEH</t>
  </si>
  <si>
    <t xml:space="preserve">PAYUNG SEKAKI / SIRUKAM</t>
  </si>
  <si>
    <t xml:space="preserve">LEMBANG JAYA / BATU BAJANJANG</t>
  </si>
  <si>
    <t xml:space="preserve">GUNUNG TALANG / KOTO GAEK GUGUAK</t>
  </si>
  <si>
    <t xml:space="preserve">TIGO LURAH / BATU BAJANJANG</t>
  </si>
  <si>
    <t xml:space="preserve">TIGO LURAH / RANGKIANG LULUIH</t>
  </si>
  <si>
    <t xml:space="preserve">Domisili (Kecamatan)</t>
  </si>
  <si>
    <t xml:space="preserve">Catatan</t>
  </si>
  <si>
    <t xml:space="preserve">Sinta Permatasari</t>
  </si>
  <si>
    <t xml:space="preserve">LEMBAH GUMANTI</t>
  </si>
  <si>
    <t xml:space="preserve">Nilai rendah (&lt; 3)</t>
  </si>
  <si>
    <t xml:space="preserve">Yesi Miharni</t>
  </si>
  <si>
    <t xml:space="preserve">BUKIT SUNDI</t>
  </si>
  <si>
    <t xml:space="preserve">Gusna Reni</t>
  </si>
  <si>
    <t xml:space="preserve">LEMBANG JAYA</t>
  </si>
  <si>
    <t xml:space="preserve">Belum dinilai - nilai kinerja perlu dilengkapi</t>
  </si>
  <si>
    <t xml:space="preserve">Gustin Ekawati</t>
  </si>
  <si>
    <t xml:space="preserve">Khairani Permata Wahyu</t>
  </si>
  <si>
    <t xml:space="preserve">Larisa Dita Putri</t>
  </si>
  <si>
    <t xml:space="preserve">Leni Marta</t>
  </si>
  <si>
    <t xml:space="preserve">Nofra Disman</t>
  </si>
  <si>
    <t xml:space="preserve">Roza Novrika Sari</t>
  </si>
  <si>
    <t xml:space="preserve">Contoh pesan penawaran (WhatsApp)</t>
  </si>
  <si>
    <t xml:space="preserve">Assalamu'alaikum Bapak/Ibu [Nama]. Terima kasih sudah mendaftar sebagai petugas pendataan bencana BPS Kabupaten Solok. Saat ini wilayah kerja di dekat domisili Bapak/Ibu sudah terisi, namun kami masih membutuhkan petugas di Nagari [Lokasi], Kec. [Kecamatan]. Kami menawarkan skema MENGINAP: selama pendataan (10-31 Oktober 2026) Bapak/Ibu tinggal di kontrakan yang disediakan BPS Kabupaten Solok di lokasi tersebut bersama rekan PPL lain, tanpa pulang-pergi. Jam kerja 5-7 jam per hari. Apakah Bapak/Ibu bersedia? Mohon balas Bersedia / Tidak bersedia. Terima kasih.</t>
  </si>
  <si>
    <t xml:space="preserve">Saran Klaster PML (1 PML membawahi 4 PPL, maksimal 5)</t>
  </si>
  <si>
    <t xml:space="preserve">22 klaster dibentuk dari kedekatan pusat wilayah kerja PPL (boleh lintas kecamatan yang berdekatan). Calon PML TIDAK dijadikan PPL (kecuali 3 nama yang diminta), lalu dicocokkan ke klaster berdasarkan jarak domisili ke pusat klaster (&lt;= 15 km).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</si>
  <si>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</si>
  <si>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</si>
  <si>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</si>
  <si>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</si>
  <si>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</si>
  <si>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Saran PML</t>
  </si>
  <si>
    <t xml:space="preserve">ID PML</t>
  </si>
  <si>
    <t xml:space="preserve">Jarak PML ke Pusat Klaster (km)</t>
  </si>
  <si>
    <t xml:space="preserve">Nilai PML</t>
  </si>
  <si>
    <t xml:space="preserve">Status PML</t>
  </si>
  <si>
    <t xml:space="preserve">K-01</t>
  </si>
  <si>
    <t xml:space="preserve">GUNUNG TALANG</t>
  </si>
  <si>
    <t xml:space="preserve">Diana Endang Pratiwi; FEBRIA RAMANITA; Mardiati; Sonya aldes fatma; Valina alsisri</t>
  </si>
  <si>
    <t xml:space="preserve">Ilham</t>
  </si>
  <si>
    <t xml:space="preserve">Calon PML</t>
  </si>
  <si>
    <t xml:space="preserve">Nama sama dgn pegawai organik (cek apakah orang yg sama); Belum konfirmasi bencana; Belum dinilai</t>
  </si>
  <si>
    <t xml:space="preserve">K-02</t>
  </si>
  <si>
    <t xml:space="preserve">Mustika Sari; NANDA WESTIA ADE NINGSIH; putri nasriati; Yola septya syamsi; Yulia ningsih</t>
  </si>
  <si>
    <t xml:space="preserve">Irawita</t>
  </si>
  <si>
    <t xml:space="preserve">K-03</t>
  </si>
  <si>
    <t xml:space="preserve">Ayang Syafriani; Indri septiadi; Mirvan Harvia; muhamad iqbal; Sherli Handayani *</t>
  </si>
  <si>
    <t xml:space="preserve">Inggrit yulia hastri</t>
  </si>
  <si>
    <t xml:space="preserve">K-04</t>
  </si>
  <si>
    <t xml:space="preserve">Alhammah Alam 'Gina *; Badrizal *; Berni desriyanti *; Julia Lara Zamzamy *; Reni Fatriani</t>
  </si>
  <si>
    <t xml:space="preserve">Leni Fatimah</t>
  </si>
  <si>
    <t xml:space="preserve">K-05</t>
  </si>
  <si>
    <t xml:space="preserve">Hafni Syamfitria *; Ira Wahyuni; Kodratur rahman *; ROBI ALVIAN</t>
  </si>
  <si>
    <t xml:space="preserve">Puji Putri</t>
  </si>
  <si>
    <t xml:space="preserve">K-06</t>
  </si>
  <si>
    <t xml:space="preserve">NIA FEBRIWENI *; Novi Endria Jhoni; Nurul vani fatia; Rini Nofsiska Sari</t>
  </si>
  <si>
    <t xml:space="preserve">usyenti</t>
  </si>
  <si>
    <t xml:space="preserve">K-07</t>
  </si>
  <si>
    <t xml:space="preserve">Aniza Nurzanah; Febri Handayani *; MINDA SUSANTI; NOVA ALIZA *; Weza Deftalia *</t>
  </si>
  <si>
    <t xml:space="preserve">Budi Pernandes</t>
  </si>
  <si>
    <t xml:space="preserve">K-08</t>
  </si>
  <si>
    <t xml:space="preserve">Dara muhaima febriana; M. Hafizh Dinu Aulia; Rivo Nofri Armon; Wahyu Isman Asmi *</t>
  </si>
  <si>
    <t xml:space="preserve">ONDRI YANDI</t>
  </si>
  <si>
    <t xml:space="preserve">K-09</t>
  </si>
  <si>
    <t xml:space="preserve">Biki Wabihamdika; Clara Amelya Hendres; PUSPITA PUTRI; Zheta Renisa Azani</t>
  </si>
  <si>
    <t xml:space="preserve">HANIFAH</t>
  </si>
  <si>
    <t xml:space="preserve">K-10</t>
  </si>
  <si>
    <t xml:space="preserve">ANIKE PUTRI; Defitra Yeni; Dhini oktaviani; NAILA SABATINI; nopi nofila</t>
  </si>
  <si>
    <t xml:space="preserve">MIRA ROZALINDA</t>
  </si>
  <si>
    <t xml:space="preserve">K-11</t>
  </si>
  <si>
    <t xml:space="preserve">Anggun Rahma Fajar; Elvira Okzayenti; IDORA ATIA; Nadia wati; Ranu Artysanda</t>
  </si>
  <si>
    <t xml:space="preserve">Hariston</t>
  </si>
  <si>
    <t xml:space="preserve">K-12</t>
  </si>
  <si>
    <t xml:space="preserve">Fuji erizka; Nindi Oktaviana *; Siti Oktavia *; Wirastri Widuri</t>
  </si>
  <si>
    <t xml:space="preserve">Widya Verawati</t>
  </si>
  <si>
    <t xml:space="preserve">Belum konfirmasi bencana</t>
  </si>
  <si>
    <t xml:space="preserve">K-13</t>
  </si>
  <si>
    <t xml:space="preserve">Farah Sahara; Nurpatri *; Yenni Rizka Putri; Yogi eka Putra; Yora Komala Sari</t>
  </si>
  <si>
    <t xml:space="preserve">Imilsi asgra varka</t>
  </si>
  <si>
    <t xml:space="preserve">K-14</t>
  </si>
  <si>
    <t xml:space="preserve">Afdhal Rezeki *; Iza Mutiarana *; Syafika Amalia *; Witri Nadia Devita Sari *</t>
  </si>
  <si>
    <t xml:space="preserve">Saputra Ebel Feri</t>
  </si>
  <si>
    <t xml:space="preserve">K-15</t>
  </si>
  <si>
    <t xml:space="preserve">Asmedi Surya; Dini Fonika Putri *; Eka ramadani; Nelva Roza Oktakia</t>
  </si>
  <si>
    <t xml:space="preserve">Yurneti</t>
  </si>
  <si>
    <t xml:space="preserve">K-16</t>
  </si>
  <si>
    <t xml:space="preserve">FELIA NOVELIZA *; NILAM SITARESMI CAHYONO; Nurul Fadila Ramadhani *; Resi Linda Putri *; Sri wahyuni</t>
  </si>
  <si>
    <t xml:space="preserve">Wina Zurlaili</t>
  </si>
  <si>
    <t xml:space="preserve">K-17</t>
  </si>
  <si>
    <t xml:space="preserve">Elvika oktasari; Gusna Wirda; HANIFAH TURAHMI; Lara Febria Sari; Wahyuni Oktavia</t>
  </si>
  <si>
    <t xml:space="preserve">Pegawai Organik (diplot nanti)</t>
  </si>
  <si>
    <t xml:space="preserve">Organik</t>
  </si>
  <si>
    <t xml:space="preserve">Tidak ada calon PML yang tersisa dalam 15 km</t>
  </si>
  <si>
    <t xml:space="preserve">K-18</t>
  </si>
  <si>
    <t xml:space="preserve">Fikri Mardiyani; Jahar Nas; Nur Aisyah; Zahria Fitri Andini</t>
  </si>
  <si>
    <t xml:space="preserve">Indah Permata Sari</t>
  </si>
  <si>
    <t xml:space="preserve">K-19</t>
  </si>
  <si>
    <t xml:space="preserve">Agri renta falusia; Fahrul Ramadhani *; Filzah Asyet *; Salsa Billa Duwita Putri</t>
  </si>
  <si>
    <t xml:space="preserve">Dessy Meiyarni</t>
  </si>
  <si>
    <t xml:space="preserve">K-20</t>
  </si>
  <si>
    <t xml:space="preserve">Annisa Suryani; Gusma Rida *; Mira apridayanti; Sri Hati Putri; WENI DESTI *</t>
  </si>
  <si>
    <t xml:space="preserve">ABDUL LATIF</t>
  </si>
  <si>
    <t xml:space="preserve">K-21</t>
  </si>
  <si>
    <t xml:space="preserve">Amelia; Bayu pratama; Debi Wulandari *; Velmarniati *</t>
  </si>
  <si>
    <t xml:space="preserve">Reza Sativa</t>
  </si>
  <si>
    <t xml:space="preserve">K-22</t>
  </si>
  <si>
    <t xml:space="preserve">Adri yoy marten *; desi warni *; FENNY ANDA LISTI; Sukma Yuliandra Putri *</t>
  </si>
  <si>
    <t xml:space="preserve">Rifa Amelia</t>
  </si>
  <si>
    <t xml:space="preserve">* = rekrut baru (belum dikonfirmasi). PML dari 'Calon PML' = sisa yang tidak dialihkan jadi PPL, tidak bentrok kegiatan lain, tidak red flag.</t>
  </si>
  <si>
    <t xml:space="preserve">Anggota Klaster PML per PPL</t>
  </si>
  <si>
    <t xml:space="preserve">Satu baris per PPL (termasuk rekrut baru). Klaster boleh lintas kecamatan.</t>
  </si>
  <si>
    <t xml:space="preserve">Nama PPL</t>
  </si>
  <si>
    <t xml:space="preserve">Jenis</t>
  </si>
  <si>
    <t xml:space="preserve">Beban Saran (skor)</t>
  </si>
  <si>
    <t xml:space="preserve">Saran PML Klaster</t>
  </si>
  <si>
    <t xml:space="preserve">Diana Endang Pratiwi</t>
  </si>
  <si>
    <t xml:space="preserve">PPL existing</t>
  </si>
  <si>
    <t xml:space="preserve">FEBRIA RAMANITA</t>
  </si>
  <si>
    <t xml:space="preserve">Mardiati</t>
  </si>
  <si>
    <t xml:space="preserve">Sonya aldes fatma</t>
  </si>
  <si>
    <t xml:space="preserve">Valina alsisri</t>
  </si>
  <si>
    <t xml:space="preserve">Mustika Sari</t>
  </si>
  <si>
    <t xml:space="preserve">NANDA WESTIA ADE NINGSIH</t>
  </si>
  <si>
    <t xml:space="preserve">putri nasriati</t>
  </si>
  <si>
    <t xml:space="preserve">Yola septya syamsi</t>
  </si>
  <si>
    <t xml:space="preserve">Yulia ningsih</t>
  </si>
  <si>
    <t xml:space="preserve">Ayang Syafriani</t>
  </si>
  <si>
    <t xml:space="preserve">Indri septiadi</t>
  </si>
  <si>
    <t xml:space="preserve">Mirvan Harvia</t>
  </si>
  <si>
    <t xml:space="preserve">muhamad iqbal</t>
  </si>
  <si>
    <t xml:space="preserve">Rekrut baru</t>
  </si>
  <si>
    <t xml:space="preserve">Reni Fatriani</t>
  </si>
  <si>
    <t xml:space="preserve">Ira Wahyuni</t>
  </si>
  <si>
    <t xml:space="preserve">ROBI ALVIAN</t>
  </si>
  <si>
    <t xml:space="preserve">Novi Endria Jhoni</t>
  </si>
  <si>
    <t xml:space="preserve">Nurul vani fatia</t>
  </si>
  <si>
    <t xml:space="preserve">Pool (baru diplot)</t>
  </si>
  <si>
    <t xml:space="preserve">Rini Nofsiska Sari</t>
  </si>
  <si>
    <t xml:space="preserve">Aniza Nurzanah</t>
  </si>
  <si>
    <t xml:space="preserve">MINDA SUSANTI</t>
  </si>
  <si>
    <t xml:space="preserve">Dara muhaima febriana</t>
  </si>
  <si>
    <t xml:space="preserve">M. Hafizh Dinu Aulia</t>
  </si>
  <si>
    <t xml:space="preserve">Rivo Nofri Armon</t>
  </si>
  <si>
    <t xml:space="preserve">Biki Wabihamdika</t>
  </si>
  <si>
    <t xml:space="preserve">Clara Amelya Hendres</t>
  </si>
  <si>
    <t xml:space="preserve">PUSPITA PUTRI</t>
  </si>
  <si>
    <t xml:space="preserve">Zheta Renisa Azani</t>
  </si>
  <si>
    <t xml:space="preserve">ANIKE PUTRI</t>
  </si>
  <si>
    <t xml:space="preserve">Nama diminta admin</t>
  </si>
  <si>
    <t xml:space="preserve">Defitra Yeni</t>
  </si>
  <si>
    <t xml:space="preserve">Dhini oktaviani</t>
  </si>
  <si>
    <t xml:space="preserve">NAILA SABATINI</t>
  </si>
  <si>
    <t xml:space="preserve">nopi nofila</t>
  </si>
  <si>
    <t xml:space="preserve">Anggun Rahma Fajar</t>
  </si>
  <si>
    <t xml:space="preserve">Elvira Okzayenti</t>
  </si>
  <si>
    <t xml:space="preserve">IDORA ATIA</t>
  </si>
  <si>
    <t xml:space="preserve">Nadia wati</t>
  </si>
  <si>
    <t xml:space="preserve">Ranu Artysanda</t>
  </si>
  <si>
    <t xml:space="preserve">Fuji erizka</t>
  </si>
  <si>
    <t xml:space="preserve">Wirastri Widuri</t>
  </si>
  <si>
    <t xml:space="preserve">Farah Sahara</t>
  </si>
  <si>
    <t xml:space="preserve">Yenni Rizka Putri</t>
  </si>
  <si>
    <t xml:space="preserve">Yogi eka Putra</t>
  </si>
  <si>
    <t xml:space="preserve">Yora Komala Sari</t>
  </si>
  <si>
    <t xml:space="preserve">Asmedi Surya</t>
  </si>
  <si>
    <t xml:space="preserve">Eka ramadani</t>
  </si>
  <si>
    <t xml:space="preserve">Nelva Roza Oktakia</t>
  </si>
  <si>
    <t xml:space="preserve">NILAM SITARESMI CAHYONO</t>
  </si>
  <si>
    <t xml:space="preserve">Sri wahyuni</t>
  </si>
  <si>
    <t xml:space="preserve">Elvika oktasari</t>
  </si>
  <si>
    <t xml:space="preserve">Gusna Wirda</t>
  </si>
  <si>
    <t xml:space="preserve">HANIFAH TURAHMI</t>
  </si>
  <si>
    <t xml:space="preserve">Lara Febria Sari</t>
  </si>
  <si>
    <t xml:space="preserve">Wahyuni Oktavia</t>
  </si>
  <si>
    <t xml:space="preserve">Fikri Mardiyani</t>
  </si>
  <si>
    <t xml:space="preserve">Jahar Nas</t>
  </si>
  <si>
    <t xml:space="preserve">Nur Aisyah</t>
  </si>
  <si>
    <t xml:space="preserve">Zahria Fitri Andini</t>
  </si>
  <si>
    <t xml:space="preserve">Agri renta falusia</t>
  </si>
  <si>
    <t xml:space="preserve">Salsa Billa Duwita Putri</t>
  </si>
  <si>
    <t xml:space="preserve">Annisa Suryani</t>
  </si>
  <si>
    <t xml:space="preserve">Mira apridayanti</t>
  </si>
  <si>
    <t xml:space="preserve">Sri Hati Putri</t>
  </si>
  <si>
    <t xml:space="preserve">Amelia</t>
  </si>
  <si>
    <t xml:space="preserve">Bayu pratama</t>
  </si>
  <si>
    <t xml:space="preserve">FENNY ANDA LISTI</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</si>
  <si>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</si>
  <si>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</si>
  <si>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</si>
  <si>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</si>
  <si>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</si>
  <si>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</si>
  <si>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</si>
  <si>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</si>
  <si>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</si>
  <si>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</si>
  <si>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</si>
  <si>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</si>
  <si>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</si>
  <si>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</si>
  <si>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</si>
  <si>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</si>
  <si>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</si>
  <si>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</si>
  <si>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</si>
  <si>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</si>
  <si>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DANAU KEMBAR</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</si>
  <si>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</si>
  <si>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</si>
  <si>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</si>
  <si>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</si>
  <si>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</si>
  <si>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</si>
  <si>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</si>
  <si>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</si>
  <si>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</si>
  <si>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</si>
  <si>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</si>
  <si>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</si>
  <si>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</si>
  <si>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</si>
  <si>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</si>
  <si>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Gabung (beban PPL terlalu kecil)</t>
  </si>
  <si>
    <t xml:space="preserve">Beban Weza Deftalia terlalu kecil (23.8) -&gt; digabung ke FEBRIA RAMANITA (total 145.5); jarak maks 4.7 km</t>
  </si>
  <si>
    <t xml:space="preserve">1303080008000401</t>
  </si>
  <si>
    <t xml:space="preserve">AIE BATUMBUAK</t>
  </si>
  <si>
    <t xml:space="preserve">JORONG KOTO BARUAH</t>
  </si>
  <si>
    <t xml:space="preserve">Beban Julia Lara Zamzamy terlalu kecil (27.5) -&gt; digabung ke Sonya aldes fatma (total 127.2); jarak maks 7.8 km [perluasan radius] [perluasan radius]</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</si>
  <si>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</si>
  <si>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</si>
  <si>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</si>
  <si>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</si>
  <si>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</si>
  <si>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</si>
  <si>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</si>
  <si>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</si>
  <si>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</si>
  <si>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</si>
  <si>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</si>
  <si>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</si>
  <si>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</si>
  <si>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</si>
  <si>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</si>
  <si>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</si>
  <si>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</si>
  <si>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</si>
  <si>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</si>
  <si>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</si>
  <si>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</si>
  <si>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</si>
  <si>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</si>
  <si>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</si>
  <si>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</si>
  <si>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</si>
  <si>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</si>
  <si>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</si>
  <si>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Beban Berni desriyanti terlalu kecil (23.3) -&gt; digabung ke Yola septya syamsi (total 159.7); jarak maks 2.0 km</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</si>
  <si>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</si>
  <si>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</si>
  <si>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</si>
  <si>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</si>
  <si>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</si>
  <si>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</si>
  <si>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</si>
  <si>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</si>
  <si>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</si>
  <si>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</si>
  <si>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</si>
  <si>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</si>
  <si>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</si>
  <si>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</si>
  <si>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</si>
  <si>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</si>
  <si>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1303080002000502</t>
  </si>
  <si>
    <t xml:space="preserve">1303080002000503</t>
  </si>
  <si>
    <t xml:space="preserve">1303080002000504</t>
  </si>
  <si>
    <t xml:space="preserve">1303140001000100</t>
  </si>
  <si>
    <t xml:space="preserve">JORONG KOTO</t>
  </si>
  <si>
    <t xml:space="preserve">1/2</t>
  </si>
  <si>
    <t xml:space="preserve">Tidak ada kandidat yg jauh lebih dekat/longgar dalam radius -- dipertahankan</t>
  </si>
  <si>
    <t xml:space="preserve">2/2</t>
  </si>
  <si>
    <t xml:space="preserve">Bagi porsi (Sub SLS berat)</t>
  </si>
  <si>
    <t xml:space="preserve">Tidak ada kandidat existing/pool yg memenuhi radius &amp; batas beban -&gt; disarankan rekrut baru (lihat sheet Kebutuhan PPL Tambahan)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</si>
  <si>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</si>
  <si>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</si>
  <si>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</si>
  <si>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</si>
  <si>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</si>
  <si>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</si>
  <si>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</si>
  <si>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</si>
  <si>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</si>
  <si>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3/3</t>
  </si>
  <si>
    <t xml:space="preserve">1303140001000400</t>
  </si>
  <si>
    <t xml:space="preserve">JORONG PANYALAI</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</si>
  <si>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</si>
  <si>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</si>
  <si>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</si>
  <si>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</si>
  <si>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</si>
  <si>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</si>
  <si>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</si>
  <si>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</si>
  <si>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</si>
  <si>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</si>
  <si>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</si>
  <si>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</si>
  <si>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</si>
  <si>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</si>
  <si>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</si>
  <si>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</si>
  <si>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</si>
  <si>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</si>
  <si>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</si>
  <si>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</si>
  <si>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</si>
  <si>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</si>
  <si>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</si>
  <si>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</si>
  <si>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6.2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</si>
  <si>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</si>
  <si>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</si>
  <si>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</si>
  <si>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</si>
  <si>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</si>
  <si>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</si>
  <si>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</si>
  <si>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</si>
  <si>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</si>
  <si>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</si>
  <si>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jarak 7.5 km [perluasan radius]</t>
  </si>
  <si>
    <t xml:space="preserve">1303140002000503</t>
  </si>
  <si>
    <t xml:space="preserve">jarak 0.8 km</t>
  </si>
  <si>
    <t xml:space="preserve">1303140002000504</t>
  </si>
  <si>
    <t xml:space="preserve">1303140002000505</t>
  </si>
  <si>
    <t xml:space="preserve">Relokasi - beban berlebih</t>
  </si>
  <si>
    <t xml:space="preserve">1303140002000601</t>
  </si>
  <si>
    <t xml:space="preserve">JORONG SUBARANG</t>
  </si>
  <si>
    <t xml:space="preserve">1303140002000602</t>
  </si>
  <si>
    <t xml:space="preserve">jarak 7.0 km</t>
  </si>
  <si>
    <t xml:space="preserve">1303140002000603</t>
  </si>
  <si>
    <t xml:space="preserve">1303140002000604</t>
  </si>
  <si>
    <t xml:space="preserve">1303140002000605</t>
  </si>
  <si>
    <t xml:space="preserve">jarak 3.4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</si>
  <si>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</si>
  <si>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</si>
  <si>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</si>
  <si>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</si>
  <si>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</si>
  <si>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</si>
  <si>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</si>
  <si>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</si>
  <si>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</si>
  <si>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</si>
  <si>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</si>
  <si>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</si>
  <si>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</si>
  <si>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</si>
  <si>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</si>
  <si>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</si>
  <si>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</si>
  <si>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</si>
  <si>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</si>
  <si>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</si>
  <si>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</si>
  <si>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</si>
  <si>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</si>
  <si>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</si>
  <si>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jarak 2.1 km</t>
  </si>
  <si>
    <t xml:space="preserve">1303110008000103</t>
  </si>
  <si>
    <t xml:space="preserve">1303110008000104</t>
  </si>
  <si>
    <t xml:space="preserve">1303110008000105</t>
  </si>
  <si>
    <t xml:space="preserve">1303110008000106</t>
  </si>
  <si>
    <t xml:space="preserve">jarak 6.5 km</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</si>
  <si>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</si>
  <si>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</si>
  <si>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</si>
  <si>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</si>
  <si>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</si>
  <si>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</si>
  <si>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</si>
  <si>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</si>
  <si>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</si>
  <si>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</si>
  <si>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</si>
  <si>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</si>
  <si>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</si>
  <si>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</si>
  <si>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</si>
  <si>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</si>
  <si>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</si>
  <si>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</si>
  <si>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</si>
  <si>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1303110006000501</t>
  </si>
  <si>
    <t xml:space="preserve">JORONG SIMPANG AMPEK</t>
  </si>
  <si>
    <t xml:space="preserve">1303110006000502</t>
  </si>
  <si>
    <t xml:space="preserve">1303110007000101</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</si>
  <si>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</si>
  <si>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</si>
  <si>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</si>
  <si>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</si>
  <si>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</si>
  <si>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</si>
  <si>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</si>
  <si>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</si>
  <si>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</si>
  <si>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</si>
  <si>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</si>
  <si>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</si>
  <si>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</si>
  <si>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</si>
  <si>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</si>
  <si>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</si>
  <si>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</si>
  <si>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</si>
  <si>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</si>
  <si>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</si>
  <si>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</si>
  <si>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</si>
  <si>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</si>
  <si>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</si>
  <si>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1303110007000302</t>
  </si>
  <si>
    <t xml:space="preserve">1303110007000303</t>
  </si>
  <si>
    <t xml:space="preserve">1303110007000304</t>
  </si>
  <si>
    <t xml:space="preserve">jarak 8.8 km [perluasan radius]</t>
  </si>
  <si>
    <t xml:space="preserve">1303110007000305</t>
  </si>
  <si>
    <t xml:space="preserve">1303110007000306</t>
  </si>
  <si>
    <t xml:space="preserve">jarak 6.9 km</t>
  </si>
  <si>
    <t xml:space="preserve">1303110007000307</t>
  </si>
  <si>
    <t xml:space="preserve">jarak 9.6 km [perluasan radius]</t>
  </si>
  <si>
    <t xml:space="preserve">1303110007000308</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</si>
  <si>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</si>
  <si>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</si>
  <si>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</si>
  <si>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</si>
  <si>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</si>
  <si>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</si>
  <si>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</si>
  <si>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jarak 2.7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</si>
  <si>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</si>
  <si>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</si>
  <si>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</si>
  <si>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</si>
  <si>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</si>
  <si>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</si>
  <si>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</si>
  <si>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</si>
  <si>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</si>
  <si>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</si>
  <si>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</si>
  <si>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1303050004000701</t>
  </si>
  <si>
    <t xml:space="preserve">JORONG KOTO BARU</t>
  </si>
  <si>
    <t xml:space="preserve">Beban Kodratur rahman terlalu kecil (46.3) -&gt; digabung ke Wahyuni Oktavia (total 188.2); jarak maks 4.9 km</t>
  </si>
  <si>
    <t xml:space="preserve">1303050004000702</t>
  </si>
  <si>
    <t xml:space="preserve">1303040002000900</t>
  </si>
  <si>
    <t xml:space="preserve">PANTAI CERMIN</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</si>
  <si>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</si>
  <si>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</si>
  <si>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</si>
  <si>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</si>
  <si>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</si>
  <si>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</si>
  <si>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</si>
  <si>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</si>
  <si>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</si>
  <si>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</si>
  <si>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</si>
  <si>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</si>
  <si>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</si>
  <si>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</si>
  <si>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</si>
  <si>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</si>
  <si>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</si>
  <si>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1303130006000302</t>
  </si>
  <si>
    <t xml:space="preserve">1303130006000303</t>
  </si>
  <si>
    <t xml:space="preserve">1303130006000401</t>
  </si>
  <si>
    <t xml:space="preserve">JORONG KASIK</t>
  </si>
  <si>
    <t xml:space="preserve">jarak 9.4 km [perluasan radius]</t>
  </si>
  <si>
    <t xml:space="preserve">1303130006000402</t>
  </si>
  <si>
    <t xml:space="preserve">1303130006000403</t>
  </si>
  <si>
    <t xml:space="preserve">jarak 3.5 km</t>
  </si>
  <si>
    <t xml:space="preserve">1303130006000404</t>
  </si>
  <si>
    <t xml:space="preserve">1303130005000104</t>
  </si>
  <si>
    <t xml:space="preserve">JORONG KAPALO LABUH</t>
  </si>
  <si>
    <t xml:space="preserve">1303130005000301</t>
  </si>
  <si>
    <t xml:space="preserve">JORONG BALAI PANJANG</t>
  </si>
  <si>
    <t xml:space="preserve">1303130005000302</t>
  </si>
  <si>
    <t xml:space="preserve">1303130005000303</t>
  </si>
  <si>
    <t xml:space="preserve">jarak 3.3 km</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</si>
  <si>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</si>
  <si>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</si>
  <si>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</si>
  <si>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</si>
  <si>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</si>
  <si>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</si>
  <si>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Ditetapkan sbg PPL (permintaan admin); jarak 0.3 km</t>
  </si>
  <si>
    <t xml:space="preserve">1303130005000503</t>
  </si>
  <si>
    <t xml:space="preserve">1303130005000600</t>
  </si>
  <si>
    <t xml:space="preserve">JORONG AIA ANGEK</t>
  </si>
  <si>
    <t xml:space="preserve">1303130004000101</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</si>
  <si>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</si>
  <si>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</si>
  <si>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</si>
  <si>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</si>
  <si>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</si>
  <si>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</si>
  <si>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</si>
  <si>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</si>
  <si>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</si>
  <si>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</si>
  <si>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</si>
  <si>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1303130004000502</t>
  </si>
  <si>
    <t xml:space="preserve">1303130004000600</t>
  </si>
  <si>
    <t xml:space="preserve">JORONG KAJANG</t>
  </si>
  <si>
    <t xml:space="preserve">1303130004000701</t>
  </si>
  <si>
    <t xml:space="preserve">JORONG SIKUMBANG</t>
  </si>
  <si>
    <t xml:space="preserve">jarak 6.3 km [perluasan radius]</t>
  </si>
  <si>
    <t xml:space="preserve">1303130004000702</t>
  </si>
  <si>
    <t xml:space="preserve">jarak 2.0 km</t>
  </si>
  <si>
    <t xml:space="preserve">1303130004000703</t>
  </si>
  <si>
    <t xml:space="preserve">1303130004000801</t>
  </si>
  <si>
    <t xml:space="preserve">jarak 2.4 km (calon PML dialihkan jadi PPL)</t>
  </si>
  <si>
    <t xml:space="preserve">1303130004000802</t>
  </si>
  <si>
    <t xml:space="preserve">1303130004000803</t>
  </si>
  <si>
    <t xml:space="preserve">1303130004000804</t>
  </si>
  <si>
    <t xml:space="preserve">jarak 4.5 km [perluasan radius]</t>
  </si>
  <si>
    <t xml:space="preserve">1303130004000900</t>
  </si>
  <si>
    <t xml:space="preserve">JORONG PINYANGEK</t>
  </si>
  <si>
    <t xml:space="preserve">jarak 8.3 km [perluasan radius]</t>
  </si>
  <si>
    <t xml:space="preserve">1303130004001001</t>
  </si>
  <si>
    <t xml:space="preserve">JORONG GUCI</t>
  </si>
  <si>
    <t xml:space="preserve">1303130004001002</t>
  </si>
  <si>
    <t xml:space="preserve">1303130004001101</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</si>
  <si>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</si>
  <si>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</si>
  <si>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</si>
  <si>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</si>
  <si>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</si>
  <si>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</si>
  <si>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</si>
  <si>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</si>
  <si>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</si>
  <si>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</si>
  <si>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</si>
  <si>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</si>
  <si>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</si>
  <si>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Nilai Kinerja</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</si>
  <si>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</si>
  <si>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</si>
  <si>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</si>
  <si>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</si>
  <si>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</si>
  <si>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</si>
  <si>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Rekrut skema MENGINAP: sudah daftar tapi belum diplot; tawarkan menginap di kontrakan PANINGGAHAN (Kec. JUNJUNG SIRIH)</t>
  </si>
  <si>
    <t xml:space="preserve">Memegang wilayah gabungan dari: Weza Deftalia</t>
  </si>
  <si>
    <t xml:space="preserve">Rekrut skema MENGINAP: sudah daftar tapi belum diplot; tawarkan menginap di kontrakan SELAYO (Kec. KUBUNG)</t>
  </si>
  <si>
    <t xml:space="preserve">Rekrut skema MENGINAP: sudah daftar tapi belum diplot; tawarkan menginap di kontrakan PANINGGAHAN (Kec. JUNJUNG SIRIH); Dilepas: beban terlalu kecil (&lt; 60) -&gt; wilayah digabung ke FEBRIA RAMANITA</t>
  </si>
  <si>
    <t xml:space="preserve">Rekrut skema MENGINAP: sudah daftar tapi belum diplot; tawarkan menginap di kontrakan SANIANG BAKA (Kec. X KOTO SINGKARAK); Dilepas: beban terlalu kecil (&lt; 60) -&gt; wilayah digabung ke Yola septya syamsi</t>
  </si>
  <si>
    <t xml:space="preserve">Rekrut skema MENGINAP: sudah daftar tapi belum diplot; tawarkan menginap di kontrakan PANINGGAHAN (Kec. JUNJUNG SIRIH); Dilepas: beban terlalu kecil (&lt; 60) -&gt; wilayah digabung ke Sonya aldes fatma</t>
  </si>
  <si>
    <t xml:space="preserve">Ikut kegiatan lain (SPDT NTP 2026) -&gt; diganti</t>
  </si>
  <si>
    <t xml:space="preserve">Memegang wilayah gabungan dari: Julia Lara Zamzamy</t>
  </si>
  <si>
    <t xml:space="preserve">Memegang wilayah gabungan dari: Berni desriyanti</t>
  </si>
  <si>
    <t xml:space="preserve">HILIRAN GUMANTI</t>
  </si>
  <si>
    <t xml:space="preserve">IX KOTO SUNGAI LASI</t>
  </si>
  <si>
    <t xml:space="preserve">Rekrut skema MENGINAP: sudah daftar tapi belum diplot; tawarkan menginap di kontrakan MUARO PINGAI (Kec. JUNJUNG SIRIH)</t>
  </si>
  <si>
    <t xml:space="preserve">Diminta admin dijadikan PPL</t>
  </si>
  <si>
    <t xml:space="preserve">Rekrut skema MENGINAP: sudah daftar tapi belum diplot; tawarkan menginap di kontrakan MUARO PINGAI (Kec. JUNJUNG SIRIH); Dilepas: beban terlalu kecil (&lt; 60) -&gt; wilayah digabung ke Wahyuni Oktavia</t>
  </si>
  <si>
    <t xml:space="preserve">Memegang wilayah gabungan dari: Kodratur rahman</t>
  </si>
  <si>
    <t xml:space="preserve">Rekrut skema MENGINAP: sudah daftar tapi belum diplot; tawarkan menginap di kontrakan SANIANG BAKA (Kec. X KOTO SINGKARAK)</t>
  </si>
  <si>
    <t xml:space="preserve">Rona Afriyeni</t>
  </si>
  <si>
    <t xml:space="preserve">PPL existing (tanpa wilayah)</t>
  </si>
  <si>
    <t xml:space="preserve">Ikut kegiatan lain (SPDT NTP 2026) -&gt; diganti; tidak punya wilayah (sarankan cabut peran PPL)</t>
  </si>
  <si>
    <t xml:space="preserve">PAYUNG SEKAKI</t>
  </si>
  <si>
    <t xml:space="preserve">Rekrut skema MENGINAP: sudah daftar tapi belum diplot; tawarkan menginap di kontrakan SUMANI (Kec. X KOTO SINGKARAK)</t>
  </si>
  <si>
    <t xml:space="preserve">TIGO LURAH</t>
  </si>
  <si>
    <t xml:space="preserve">X KOTO DIATAS</t>
  </si>
  <si>
    <t xml:space="preserve">DANA NOKELADIO</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</si>
  <si>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</si>
  <si>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</si>
  <si>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</si>
  <si>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Kegiatan Lain</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</si>
  <si>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</si>
  <si>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</si>
  <si>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</si>
  <si>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</si>
  <si>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</si>
  <si>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</si>
  <si>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</si>
  <si>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SPDT NTP 2026</t>
  </si>
  <si>
    <t xml:space="preserve">-</t>
  </si>
  <si>
    <t xml:space="preserve">Belum punya wilayah di plotting. Disarankan cabut peran PPL / tandai tidak dipakai di bencana.</t>
  </si>
  <si>
    <t xml:space="preserve">JUNJUNG SIRIH / PANINGGAHAN</t>
  </si>
  <si>
    <t xml:space="preserve">JORONG LURAH NAN TIGO /04</t>
  </si>
  <si>
    <t xml:space="preserve">KUBUNG / SELAYO</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</si>
  <si>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</si>
  <si>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</si>
  <si>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</si>
  <si>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</si>
  <si>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</si>
  <si>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</si>
  <si>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Status Kepegawaian</t>
  </si>
  <si>
    <t xml:space="preserve">Status pada Saran</t>
  </si>
  <si>
    <t xml:space="preserve">Daftar Bencana</t>
  </si>
  <si>
    <t xml:space="preserve">Rekomendasi PML</t>
  </si>
  <si>
    <t xml:space="preserve">Red Flag</t>
  </si>
  <si>
    <t xml:space="preserve">Catatan Kinerja</t>
  </si>
  <si>
    <t xml:space="preserve">Cadangan utk Kec.</t>
  </si>
  <si>
    <t xml:space="preserve">mitra</t>
  </si>
  <si>
    <t xml:space="preserve">PPL - baru dari pool</t>
  </si>
  <si>
    <t xml:space="preserve">SUNGAI JAMBUA</t>
  </si>
  <si>
    <t xml:space="preserve">PES SE2026</t>
  </si>
  <si>
    <t xml:space="preserve">+6285236070584</t>
  </si>
  <si>
    <t xml:space="preserve">bertanggungjawab dalam melaksanakan tugas</t>
  </si>
  <si>
    <t xml:space="preserve">+6285263809756</t>
  </si>
  <si>
    <t xml:space="preserve">Kinerjanya Lumayan bagus</t>
  </si>
  <si>
    <t xml:space="preserve">KOTO ANAU</t>
  </si>
  <si>
    <t xml:space="preserve">+62895325906513</t>
  </si>
  <si>
    <t xml:space="preserve">bisa dibina, cocok dg PML yang tegas</t>
  </si>
  <si>
    <t xml:space="preserve">ALAHAN PANJANG</t>
  </si>
  <si>
    <t xml:space="preserve">+628127087334</t>
  </si>
  <si>
    <t xml:space="preserve">telah menyelesaikan tugas tepat waktu dan sudah clean bagus untuk PML</t>
  </si>
  <si>
    <t xml:space="preserve">+6285187172026</t>
  </si>
  <si>
    <t xml:space="preserve">Melakukan  Pekerjaan dengan tepat waktu</t>
  </si>
  <si>
    <t xml:space="preserve">+6281277810008</t>
  </si>
  <si>
    <t xml:space="preserve">Bisa terbilang cepat untuk pendataan, dan paham pengerjaan anomali.</t>
  </si>
  <si>
    <t xml:space="preserve">GUGUAK SARAI</t>
  </si>
  <si>
    <t xml:space="preserve">+6282386450982</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</si>
  <si>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</si>
  <si>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</si>
  <si>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</si>
  <si>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</si>
  <si>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</si>
  <si>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</si>
  <si>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</si>
  <si>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</si>
  <si>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</si>
  <si>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</si>
  <si>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</si>
  <si>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</si>
  <si>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</si>
  <si>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</si>
  <si>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</si>
  <si>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</si>
  <si>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</si>
  <si>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Melakukan pekerjaan dengan tepat waktu</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</si>
  <si>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</si>
  <si>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</si>
  <si>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</si>
  <si>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</si>
  <si>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</si>
  <si>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</si>
  <si>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</si>
  <si>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</si>
  <si>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</si>
  <si>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</si>
  <si>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MUARO PANEH</t>
  </si>
  <si>
    <t xml:space="preserve">+6281366849669</t>
  </si>
  <si>
    <t xml:space="preserve">konsep oke, tanggungjawab</t>
  </si>
  <si>
    <t xml:space="preserve">PANYAKALAN</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</si>
  <si>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</si>
  <si>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</si>
  <si>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</si>
  <si>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</si>
  <si>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</si>
  <si>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</si>
  <si>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</si>
  <si>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</si>
  <si>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</si>
  <si>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</si>
  <si>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</si>
  <si>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</si>
  <si>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+6282285049476</t>
  </si>
  <si>
    <t xml:space="preserve">Disiplin, Tanggung jawab, Gesit, pantang mundur</t>
  </si>
  <si>
    <t xml:space="preserve">+6283164675622</t>
  </si>
  <si>
    <t xml:space="preserve">Melakukan pekerjaan dengan tanggung jawab dan tepat waktu</t>
  </si>
  <si>
    <t xml:space="preserve">+6282391381273</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</si>
  <si>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</si>
  <si>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</si>
  <si>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</si>
  <si>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</si>
  <si>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</si>
  <si>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</si>
  <si>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</si>
  <si>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</si>
  <si>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</si>
  <si>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</si>
  <si>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</si>
  <si>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KOTO GAEK GUGUAK</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</si>
  <si>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</si>
  <si>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</si>
  <si>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</si>
  <si>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</si>
  <si>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</si>
  <si>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</si>
  <si>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</si>
  <si>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</si>
  <si>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</si>
  <si>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</si>
  <si>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</si>
  <si>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+6282285986698</t>
  </si>
  <si>
    <t xml:space="preserve">Tanggung jawab, saling kordinasi, Disiplin, pantang mundur</t>
  </si>
  <si>
    <t xml:space="preserve">+6282288714041</t>
  </si>
  <si>
    <t xml:space="preserve">ARIPAN</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</si>
  <si>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</si>
  <si>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</si>
  <si>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</si>
  <si>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</si>
  <si>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</si>
  <si>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</si>
  <si>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</si>
  <si>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</si>
  <si>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</si>
  <si>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</si>
  <si>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</si>
  <si>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SULIK AIA</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</si>
  <si>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</si>
  <si>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</si>
  <si>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</si>
  <si>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</si>
  <si>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</si>
  <si>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</si>
  <si>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SKSPPI/SKLNPT/SKTNP/SKNP</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</si>
  <si>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</si>
  <si>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</si>
  <si>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</si>
  <si>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</si>
  <si>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</si>
  <si>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</si>
  <si>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</si>
  <si>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</si>
  <si>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</si>
  <si>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</si>
  <si>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</si>
  <si>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</si>
  <si>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</si>
  <si>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PPL - nama diminta admin</t>
  </si>
  <si>
    <t xml:space="preserve">+6282169359854</t>
  </si>
  <si>
    <t xml:space="preserve">+6283181953864</t>
  </si>
  <si>
    <t xml:space="preserve">Gigih, bertanggung jawab, Disiplin menage waktu</t>
  </si>
  <si>
    <t xml:space="preserve">+6282329520432</t>
  </si>
  <si>
    <t xml:space="preserve">Bentrok kegiatan - diganti</t>
  </si>
  <si>
    <t xml:space="preserve">+6282283068915</t>
  </si>
  <si>
    <t xml:space="preserve">+6282389890212</t>
  </si>
  <si>
    <t xml:space="preserve">+6289510182086</t>
  </si>
  <si>
    <t xml:space="preserve">Cekatan, Gesit, pantang menyerah, Disiplin</t>
  </si>
  <si>
    <t xml:space="preserve">+6282170733326</t>
  </si>
  <si>
    <t xml:space="preserve">Adrinadi</t>
  </si>
  <si>
    <t xml:space="preserve">Bentrok kegiatan lain</t>
  </si>
  <si>
    <t xml:space="preserve">+6282173387793</t>
  </si>
  <si>
    <t xml:space="preserve">Aidil Ode Pitra</t>
  </si>
  <si>
    <t xml:space="preserve">+6282384134568</t>
  </si>
  <si>
    <t xml:space="preserve">Tidak bertanggung jawab dan ketahuan menyalahi SOP di akhir pendataan</t>
  </si>
  <si>
    <t xml:space="preserve">Aldi Gusnanda</t>
  </si>
  <si>
    <t xml:space="preserve">+6285763562957</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</si>
  <si>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</si>
  <si>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</si>
  <si>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</si>
  <si>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</si>
  <si>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</si>
  <si>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</si>
  <si>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</si>
  <si>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</si>
  <si>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</si>
  <si>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</si>
  <si>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SITASI 2026</t>
  </si>
  <si>
    <t xml:space="preserve">+6285274744114</t>
  </si>
  <si>
    <t xml:space="preserve">Sebagai PML agak kurang, jadi PPL aja</t>
  </si>
  <si>
    <t xml:space="preserve">Arifandi shafitra</t>
  </si>
  <si>
    <t xml:space="preserve">PASILIHAN</t>
  </si>
  <si>
    <t xml:space="preserve">+6281261218780</t>
  </si>
  <si>
    <t xml:space="preserve">Arismen</t>
  </si>
  <si>
    <t xml:space="preserve">SUNGAI NANAM</t>
  </si>
  <si>
    <t xml:space="preserve">+6283182499668</t>
  </si>
  <si>
    <t xml:space="preserve">Asty novfelia</t>
  </si>
  <si>
    <t xml:space="preserve">SALAYO TANANG BUKIK SILEH</t>
  </si>
  <si>
    <t xml:space="preserve">+6283132967559</t>
  </si>
  <si>
    <t xml:space="preserve">cerewet, tapi konsep dan lapangan oke</t>
  </si>
  <si>
    <t xml:space="preserve">Atika Millinia Putri</t>
  </si>
  <si>
    <t xml:space="preserve">SARIAK ALAHAN TIGO</t>
  </si>
  <si>
    <t xml:space="preserve">+6282170212242</t>
  </si>
  <si>
    <t xml:space="preserve">pekerjaan dilakukan dengan baik dan bertanggung jawab</t>
  </si>
  <si>
    <t xml:space="preserve">Audira mart herda putri</t>
  </si>
  <si>
    <t xml:space="preserve">DILAM</t>
  </si>
  <si>
    <t xml:space="preserve">+6281430251685</t>
  </si>
  <si>
    <t xml:space="preserve">standar, seperti mitra pada umumnya</t>
  </si>
  <si>
    <t xml:space="preserve">BUKHTIAR</t>
  </si>
  <si>
    <t xml:space="preserve">SIRUKAM</t>
  </si>
  <si>
    <t xml:space="preserve">+6281374536081</t>
  </si>
  <si>
    <t xml:space="preserve">pekerjaan dilakukan dengan baik, sebagai PML merangkul PPL dengan bertanggung jawab</t>
  </si>
  <si>
    <t xml:space="preserve">Cindy Mutia Agustri</t>
  </si>
  <si>
    <t xml:space="preserve">+6282231090442</t>
  </si>
  <si>
    <t xml:space="preserve">DESTIFA ILHAMNI</t>
  </si>
  <si>
    <t xml:space="preserve">KAMPUANG BATU DALAM</t>
  </si>
  <si>
    <t xml:space="preserve">+6283193053123</t>
  </si>
  <si>
    <t xml:space="preserve">EGA ANDINI</t>
  </si>
  <si>
    <t xml:space="preserve">+6282283799800</t>
  </si>
  <si>
    <t xml:space="preserve">Gesit, Cetakan, Disiplin, suka menolong, tanggung jawab</t>
  </si>
  <si>
    <t xml:space="preserve">Elmiyanti</t>
  </si>
  <si>
    <t xml:space="preserve">+628392361112</t>
  </si>
  <si>
    <t xml:space="preserve">PML oke, konsep oke, komunikasi oke</t>
  </si>
  <si>
    <t xml:space="preserve">Febra Azizah</t>
  </si>
  <si>
    <t xml:space="preserve">BATU BAJANJANG</t>
  </si>
  <si>
    <t xml:space="preserve">+6282283528350</t>
  </si>
  <si>
    <t xml:space="preserve">Fitri Arestia</t>
  </si>
  <si>
    <t xml:space="preserve">+6285760742499</t>
  </si>
  <si>
    <t xml:space="preserve">bisa dibina, pertama kali jadi petugas langsung jadi pml</t>
  </si>
  <si>
    <t xml:space="preserve">Halimah Tusa'diah</t>
  </si>
  <si>
    <t xml:space="preserve">+6282391183884</t>
  </si>
  <si>
    <t xml:space="preserve">Hermansyah putra</t>
  </si>
  <si>
    <t xml:space="preserve">+6289601875085</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</si>
  <si>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</si>
  <si>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</si>
  <si>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</si>
  <si>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</si>
  <si>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</si>
  <si>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</si>
  <si>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</si>
  <si>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</si>
  <si>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</si>
  <si>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</si>
  <si>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</si>
  <si>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</si>
  <si>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</si>
  <si>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</si>
  <si>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</si>
  <si>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</si>
  <si>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</si>
  <si>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</si>
  <si>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</si>
  <si>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</si>
  <si>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</si>
  <si>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</si>
  <si>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</si>
  <si>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</si>
  <si>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</si>
  <si>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</si>
  <si>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</si>
  <si>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</si>
  <si>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</si>
  <si>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</si>
  <si>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</si>
  <si>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</si>
  <si>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</si>
  <si>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</si>
  <si>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</si>
  <si>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</si>
  <si>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</si>
  <si>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</si>
  <si>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</si>
  <si>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</si>
  <si>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</si>
  <si>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</si>
  <si>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Rahmi Febrinasari</t>
  </si>
  <si>
    <t xml:space="preserve">+6282383088675</t>
  </si>
  <si>
    <t xml:space="preserve">pekerjaan dilakukan dengan baik dan bertanggung jawab, sebagai PML merangkul petugas</t>
  </si>
  <si>
    <t xml:space="preserve">RAHMY ANNISA ADLIS</t>
  </si>
  <si>
    <t xml:space="preserve">+6281378226970</t>
  </si>
  <si>
    <t xml:space="preserve">Riri Puspita</t>
  </si>
  <si>
    <t xml:space="preserve">+6282288988952</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</si>
  <si>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</si>
  <si>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</si>
  <si>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</si>
  <si>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</si>
  <si>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</si>
  <si>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</si>
  <si>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</si>
  <si>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</si>
  <si>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</si>
  <si>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</si>
  <si>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</si>
  <si>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</si>
  <si>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</si>
  <si>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</si>
  <si>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</si>
  <si>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</si>
  <si>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</si>
  <si>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Solvia Maivita</t>
  </si>
  <si>
    <t xml:space="preserve">+6281365679188</t>
  </si>
  <si>
    <t xml:space="preserve">Sri mulyati</t>
  </si>
  <si>
    <t xml:space="preserve">+6285374403812</t>
  </si>
  <si>
    <t xml:space="preserve">jelek dalam organisasi timnya dan kuarang untuk mekoordinasikan tim</t>
  </si>
  <si>
    <t xml:space="preserve">Vegita Dwi Yuniza</t>
  </si>
  <si>
    <t xml:space="preserve">+6282284266196</t>
  </si>
  <si>
    <t xml:space="preserve">Yesi adriani</t>
  </si>
  <si>
    <t xml:space="preserve">+6282289600143</t>
  </si>
  <si>
    <t xml:space="preserve">direkomendasikan jadi PML, pemahaman oke</t>
  </si>
  <si>
    <t xml:space="preserve">Yola mulia putri</t>
  </si>
  <si>
    <t xml:space="preserve">+628385889037</t>
  </si>
  <si>
    <t xml:space="preserve">telah menyelesaikan tugas tepat waktu, unk jadi PMLmasih kurang kepemimpinannya</t>
  </si>
  <si>
    <t xml:space="preserve">Yulia Geni Putri</t>
  </si>
  <si>
    <t xml:space="preserve">+6285363674304</t>
  </si>
  <si>
    <t xml:space="preserve">Cadangan menginap (terdaftar, belum diplot)</t>
  </si>
  <si>
    <t xml:space="preserve">JUNJUNG SIRIH, KUBUNG, X KOTO SINGKARAK</t>
  </si>
  <si>
    <t xml:space="preserve">JUNJUNG SIRIH, X KOTO SINGKARAK</t>
  </si>
  <si>
    <t xml:space="preserve">+6281363086935</t>
  </si>
  <si>
    <t xml:space="preserve">+6281268332453</t>
  </si>
  <si>
    <t xml:space="preserve">timnya tidak kondusif jadi performanya kurang</t>
  </si>
  <si>
    <t xml:space="preserve">+6285765077088</t>
  </si>
  <si>
    <t xml:space="preserve">problematik, komunikasi oke tapi sulit dipercaya, indipendennya dipertanyakan</t>
  </si>
  <si>
    <t xml:space="preserve">Ayu Sepriani</t>
  </si>
  <si>
    <t xml:space="preserve">Calon PML - bentrok kegiatan lain</t>
  </si>
  <si>
    <t xml:space="preserve">+6281266863316</t>
  </si>
  <si>
    <t xml:space="preserve">FERIANTO</t>
  </si>
  <si>
    <t xml:space="preserve">GC Mix Method</t>
  </si>
  <si>
    <t xml:space="preserve">+6281374306238</t>
  </si>
  <si>
    <t xml:space="preserve">Bertanggung jawab sebagai PML, melakukan penyisiran tanpa perlu instruksi</t>
  </si>
  <si>
    <t xml:space="preserve">Lia angraini</t>
  </si>
  <si>
    <t xml:space="preserve">GC Mix Method, SPDT NTP 2026</t>
  </si>
  <si>
    <t xml:space="preserve">+6285364584187</t>
  </si>
  <si>
    <t xml:space="preserve">Mega Nana Yulianti</t>
  </si>
  <si>
    <t xml:space="preserve">+6285376699005</t>
  </si>
  <si>
    <t xml:space="preserve">Recommended jadi PML</t>
  </si>
  <si>
    <t xml:space="preserve">Megawati</t>
  </si>
  <si>
    <t xml:space="preserve">+6285256932265</t>
  </si>
  <si>
    <t xml:space="preserve">bertanggungjawab dalam melaksanakan tugas dan bagus dalam mengkoordinir petugas</t>
  </si>
  <si>
    <t xml:space="preserve">Widya elvera</t>
  </si>
  <si>
    <t xml:space="preserve">+6285356931012</t>
  </si>
  <si>
    <t xml:space="preserve">melakukan pekerjaan dengan tepat waktu</t>
  </si>
  <si>
    <t xml:space="preserve">Yelli Novita Sari</t>
  </si>
  <si>
    <t xml:space="preserve">GAUANG</t>
  </si>
  <si>
    <t xml:space="preserve">+6281363049023</t>
  </si>
  <si>
    <t xml:space="preserve">Konsep oke, tapi agak ngeyel</t>
  </si>
  <si>
    <t xml:space="preserve">Yusnita susanti</t>
  </si>
  <si>
    <t xml:space="preserve">+6282169634047</t>
  </si>
  <si>
    <t xml:space="preserve">Komunikasi oke, lapangan oke, boleh!!!</t>
  </si>
  <si>
    <t xml:space="preserve">Lucky Melan Sari</t>
  </si>
  <si>
    <t xml:space="preserve">Calon PML - cadangan</t>
  </si>
  <si>
    <t xml:space="preserve">+6281276525824</t>
  </si>
  <si>
    <t xml:space="preserve">Bertanggung jawab dan mantap, gass</t>
  </si>
  <si>
    <t xml:space="preserve">Luki Sirup Ramadan</t>
  </si>
  <si>
    <t xml:space="preserve">+6283182154338</t>
  </si>
  <si>
    <t xml:space="preserve">Pandai memanage waktu, pandai memimpin, pandai strategi lapangan, suka membantu, pantang menyerah</t>
  </si>
  <si>
    <t xml:space="preserve">Rini ferani</t>
  </si>
  <si>
    <t xml:space="preserve">+6285351440051</t>
  </si>
  <si>
    <t xml:space="preserve">Cepat tanggap dan mau membantu tim lain lintas nagari</t>
  </si>
  <si>
    <t xml:space="preserve">Rosserita</t>
  </si>
  <si>
    <t xml:space="preserve">+6282318299088</t>
  </si>
  <si>
    <t xml:space="preserve">Konsep kurang, kalau ada yang lain yg lain aja, mending jadi PPL</t>
  </si>
  <si>
    <t xml:space="preserve">Yeni siswanti</t>
  </si>
  <si>
    <t xml:space="preserve">+6283823236068</t>
  </si>
  <si>
    <t xml:space="preserve">Bisa meminimalisir non respon, tapi agak vokal</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</si>
  <si>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</si>
  <si>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</si>
  <si>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</si>
  <si>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</si>
  <si>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</si>
  <si>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</si>
  <si>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</si>
  <si>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</si>
  <si>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</si>
  <si>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</si>
  <si>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</si>
  <si>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</si>
  <si>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</si>
  <si>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</si>
  <si>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Aisah Mifti Jannah</t>
  </si>
  <si>
    <t xml:space="preserve">Potensial (belum dipakai)</t>
  </si>
  <si>
    <t xml:space="preserve">RANGKIANG LULUIH</t>
  </si>
  <si>
    <t xml:space="preserve">+6285365658288</t>
  </si>
  <si>
    <t xml:space="preserve">pekerjaan dilakukan dengan baik dan bertanggung jawab, tapi sering ga nyambung</t>
  </si>
  <si>
    <t xml:space="preserve">Alfi Rahmi Afzal</t>
  </si>
  <si>
    <t xml:space="preserve">+6281267766145</t>
  </si>
  <si>
    <t xml:space="preserve">lambat dalam menyelesaikan</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</si>
  <si>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</si>
  <si>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</si>
  <si>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</si>
  <si>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</si>
  <si>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</si>
  <si>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</si>
  <si>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</si>
  <si>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</si>
  <si>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</si>
  <si>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</si>
  <si>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</si>
  <si>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</si>
  <si>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</si>
  <si>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</si>
  <si>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</si>
  <si>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</si>
  <si>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</si>
  <si>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</si>
  <si>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</si>
  <si>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Ariska Komala sari</t>
  </si>
  <si>
    <t xml:space="preserve">+6281370557474</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</si>
  <si>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</si>
  <si>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</si>
  <si>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</si>
  <si>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</si>
  <si>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</si>
  <si>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</si>
  <si>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</si>
  <si>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</si>
  <si>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</si>
  <si>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</si>
  <si>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</si>
  <si>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Dea Suci Amanda</t>
  </si>
  <si>
    <t xml:space="preserve">TANJUANG BALIK SUMISO</t>
  </si>
  <si>
    <t xml:space="preserve">+6282286236116</t>
  </si>
  <si>
    <t xml:space="preserve">Defon ikbal</t>
  </si>
  <si>
    <t xml:space="preserve">+6287867666107</t>
  </si>
  <si>
    <t xml:space="preserve">Tanggung jawab, melaksanakan kerjaan di akhir, pandai berkomunikasi dengan responden</t>
  </si>
  <si>
    <t xml:space="preserve">Deli yanti</t>
  </si>
  <si>
    <t xml:space="preserve">AIA BATUMBUAK</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</si>
  <si>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</si>
  <si>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</si>
  <si>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</si>
  <si>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</si>
  <si>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</si>
  <si>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</si>
  <si>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</si>
  <si>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Deska Harnando</t>
  </si>
  <si>
    <t xml:space="preserve">+6285272338275</t>
  </si>
  <si>
    <t xml:space="preserve">Desmirawati</t>
  </si>
  <si>
    <t xml:space="preserve">+6285274871445</t>
  </si>
  <si>
    <t xml:space="preserve">Desri Nadia Fitri</t>
  </si>
  <si>
    <t xml:space="preserve">+6282169821898</t>
  </si>
  <si>
    <t xml:space="preserve">Desvia YR</t>
  </si>
  <si>
    <t xml:space="preserve">+6283169977935</t>
  </si>
  <si>
    <t xml:space="preserve">Semangat dan pantang menyerah meskipun menjadi pemain pengganti</t>
  </si>
  <si>
    <t xml:space="preserve">Dina Adriani</t>
  </si>
  <si>
    <t xml:space="preserve">+6281372998036</t>
  </si>
  <si>
    <t xml:space="preserve">Dinda Fajria</t>
  </si>
  <si>
    <t xml:space="preserve">+6282362159695</t>
  </si>
  <si>
    <t xml:space="preserve">tanggungjawab, pemahaman bagus, jujur</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</si>
  <si>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</si>
  <si>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</si>
  <si>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</si>
  <si>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</si>
  <si>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</si>
  <si>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</si>
  <si>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</si>
  <si>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</si>
  <si>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</si>
  <si>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</si>
  <si>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</si>
  <si>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</si>
  <si>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</si>
  <si>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</si>
  <si>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</si>
  <si>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</si>
  <si>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</si>
  <si>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Eki Saputra Nugraha</t>
  </si>
  <si>
    <t xml:space="preserve">+6281369771611</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</si>
  <si>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</si>
  <si>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</si>
  <si>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</si>
  <si>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</si>
  <si>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</si>
  <si>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</si>
  <si>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</si>
  <si>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</si>
  <si>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</si>
  <si>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</si>
  <si>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</si>
  <si>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rahmadona</t>
  </si>
  <si>
    <t xml:space="preserve">+6283827088859</t>
  </si>
  <si>
    <t xml:space="preserve">Fendra yupita</t>
  </si>
  <si>
    <t xml:space="preserve">+6282288757523</t>
  </si>
  <si>
    <t xml:space="preserve">Fitra Hasanah</t>
  </si>
  <si>
    <t xml:space="preserve">+6283893069125</t>
  </si>
  <si>
    <t xml:space="preserve">FITRI ZULVA HASANAH</t>
  </si>
  <si>
    <t xml:space="preserve">+6289530277934</t>
  </si>
  <si>
    <t xml:space="preserve">Fitria Maharani</t>
  </si>
  <si>
    <t xml:space="preserve">+6282180877674</t>
  </si>
  <si>
    <t xml:space="preserve">Fiza afriziana</t>
  </si>
  <si>
    <t xml:space="preserve">+6281430394189</t>
  </si>
  <si>
    <t xml:space="preserve">Fizi Rahmatullah</t>
  </si>
  <si>
    <t xml:space="preserve">+6282391183199</t>
  </si>
  <si>
    <t xml:space="preserve">Bibit mitra yang bisa diasah</t>
  </si>
  <si>
    <t xml:space="preserve">Gerviza Patjra Setia</t>
  </si>
  <si>
    <t xml:space="preserve">+6283801012493</t>
  </si>
  <si>
    <t xml:space="preserve">GITTI MUL ERLIS</t>
  </si>
  <si>
    <t xml:space="preserve">+6282386421174</t>
  </si>
  <si>
    <t xml:space="preserve">Konsep oke, lapangan mantap, gass</t>
  </si>
  <si>
    <t xml:space="preserve">Hanes Figa Mulyani</t>
  </si>
  <si>
    <t xml:space="preserve">+6289502502929</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</si>
  <si>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</si>
  <si>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</si>
  <si>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</si>
  <si>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</si>
  <si>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</si>
  <si>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</si>
  <si>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</si>
  <si>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</si>
  <si>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</si>
  <si>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</si>
  <si>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</si>
  <si>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</si>
  <si>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</si>
  <si>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</si>
  <si>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Ivani Latifah Efendi</t>
  </si>
  <si>
    <t xml:space="preserve">+6285264186823</t>
  </si>
  <si>
    <t xml:space="preserve">Iyana</t>
  </si>
  <si>
    <t xml:space="preserve">+6282389321879</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</si>
  <si>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</si>
  <si>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</si>
  <si>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</si>
  <si>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</si>
  <si>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</si>
  <si>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</si>
  <si>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</si>
  <si>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</si>
  <si>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</si>
  <si>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</si>
  <si>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Marlisa</t>
  </si>
  <si>
    <t xml:space="preserve">+6282386994517</t>
  </si>
  <si>
    <t xml:space="preserve">Masrizal Rahmadhani</t>
  </si>
  <si>
    <t xml:space="preserve">+6282237354994</t>
  </si>
  <si>
    <t xml:space="preserve">Mela Azhari</t>
  </si>
  <si>
    <t xml:space="preserve">+6283171434276</t>
  </si>
  <si>
    <t xml:space="preserve">Melia Novita Sari</t>
  </si>
  <si>
    <t xml:space="preserve">+6281264344778</t>
  </si>
  <si>
    <t xml:space="preserve">Miftahur rahmah</t>
  </si>
  <si>
    <t xml:space="preserve">+6282382092301</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</si>
  <si>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</si>
  <si>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</si>
  <si>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</si>
  <si>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</si>
  <si>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</si>
  <si>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</si>
  <si>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</si>
  <si>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</si>
  <si>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Muhamad Fajri Hena Putra</t>
  </si>
  <si>
    <t xml:space="preserve">+628136572287</t>
  </si>
  <si>
    <t xml:space="preserve">Bagus tapi agak slow respon</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</si>
  <si>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</si>
  <si>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</si>
  <si>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</si>
  <si>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</si>
  <si>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</si>
  <si>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</si>
  <si>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</si>
  <si>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</si>
  <si>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</si>
  <si>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</si>
  <si>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</si>
  <si>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KOTO LAWEH</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</si>
  <si>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</si>
  <si>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</si>
  <si>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</si>
  <si>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</si>
  <si>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</si>
  <si>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Mutia Putri</t>
  </si>
  <si>
    <t xml:space="preserve">+6281275645596</t>
  </si>
  <si>
    <t xml:space="preserve">Mau membantu teman satu tim</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</si>
  <si>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</si>
  <si>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</si>
  <si>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</si>
  <si>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</si>
  <si>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</si>
  <si>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</si>
  <si>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Yulira Wahyu</t>
  </si>
  <si>
    <t xml:space="preserve">+6283186812409</t>
  </si>
  <si>
    <t xml:space="preserve">Niky maifembri</t>
  </si>
  <si>
    <t xml:space="preserve">+6285279042760</t>
  </si>
  <si>
    <t xml:space="preserve">Nindy Susrianty</t>
  </si>
  <si>
    <t xml:space="preserve">+6285122742871</t>
  </si>
  <si>
    <t xml:space="preserve">Di awal semangat, mendekati akhir mulai kendor karena ada pekerjaan lain, tapi masih oke lah</t>
  </si>
  <si>
    <t xml:space="preserve">Nisa Andini Putri</t>
  </si>
  <si>
    <t xml:space="preserve">+6282253728904</t>
  </si>
  <si>
    <t xml:space="preserve">Nisa Anggraini</t>
  </si>
  <si>
    <t xml:space="preserve">+6285376154036</t>
  </si>
  <si>
    <t xml:space="preserve">Nofita Sari</t>
  </si>
  <si>
    <t xml:space="preserve">+6281277618894</t>
  </si>
  <si>
    <t xml:space="preserve">bagus untuk kinerja lapangannya</t>
  </si>
  <si>
    <t xml:space="preserve">Novia lastri suci</t>
  </si>
  <si>
    <t xml:space="preserve">+6281261299289</t>
  </si>
  <si>
    <t xml:space="preserve">Novia Rita</t>
  </si>
  <si>
    <t xml:space="preserve">+6282288988848</t>
  </si>
  <si>
    <t xml:space="preserve">Nurul Afizah</t>
  </si>
  <si>
    <t xml:space="preserve">SUNGAI JANIAH</t>
  </si>
  <si>
    <t xml:space="preserve">+62895347091021</t>
  </si>
  <si>
    <t xml:space="preserve">Cekatan, Gesit, tanggung jawab, Disiplin, berkordinasi</t>
  </si>
  <si>
    <t xml:space="preserve">Nurul Prima Annisa</t>
  </si>
  <si>
    <t xml:space="preserve">+6285762312076</t>
  </si>
  <si>
    <t xml:space="preserve">Tanggung jawab, pantang mundur, berkolaborasi, disiplin waktu</t>
  </si>
  <si>
    <t xml:space="preserve">OVILLA DECHIA</t>
  </si>
  <si>
    <t xml:space="preserve">+6282385062356</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</si>
  <si>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</si>
  <si>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</si>
  <si>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</si>
  <si>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</si>
  <si>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</si>
  <si>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</si>
  <si>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</si>
  <si>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</si>
  <si>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</si>
  <si>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Rahmat arfendi</t>
  </si>
  <si>
    <t xml:space="preserve">+6285355986808</t>
  </si>
  <si>
    <t xml:space="preserve">bagus dilapangan,mitra KSA juga</t>
  </si>
  <si>
    <t xml:space="preserve">Rainaldi</t>
  </si>
  <si>
    <t xml:space="preserve">+6282285074747</t>
  </si>
  <si>
    <t xml:space="preserve">Raniza Sunatra</t>
  </si>
  <si>
    <t xml:space="preserve">+6285271283381</t>
  </si>
  <si>
    <t xml:space="preserve">Rena Julita</t>
  </si>
  <si>
    <t xml:space="preserve">+6289601839406</t>
  </si>
  <si>
    <t xml:space="preserve">Revy Novian Wahyudi</t>
  </si>
  <si>
    <t xml:space="preserve">+6282223733907</t>
  </si>
  <si>
    <t xml:space="preserve">REZA MARDIYENI</t>
  </si>
  <si>
    <t xml:space="preserve">+6282286253845</t>
  </si>
  <si>
    <t xml:space="preserve">Rhani Yulia</t>
  </si>
  <si>
    <t xml:space="preserve">+6281378244604</t>
  </si>
  <si>
    <t xml:space="preserve">Rijalul Zikra Ridhwan</t>
  </si>
  <si>
    <t xml:space="preserve">+6289601884213</t>
  </si>
  <si>
    <t xml:space="preserve">Riri Firiyeni</t>
  </si>
  <si>
    <t xml:space="preserve">GARABAK DATA</t>
  </si>
  <si>
    <t xml:space="preserve">+6285126298251</t>
  </si>
  <si>
    <t xml:space="preserve">Ririn Dwiarianti</t>
  </si>
  <si>
    <t xml:space="preserve">+62895325897226</t>
  </si>
  <si>
    <t xml:space="preserve">Rora Natalia Susanty</t>
  </si>
  <si>
    <t xml:space="preserve">+6282384833363</t>
  </si>
  <si>
    <t xml:space="preserve">telah menyelesaikan tugas tepat waktu bagus sebagai PML dan bisa handle PPL nya</t>
  </si>
  <si>
    <t xml:space="preserve">Rozalia gita pratiwi</t>
  </si>
  <si>
    <t xml:space="preserve">+6283186503746</t>
  </si>
  <si>
    <t xml:space="preserve">Ruci Mahardika</t>
  </si>
  <si>
    <t xml:space="preserve">+6282287953720</t>
  </si>
  <si>
    <t xml:space="preserve">Cekatan dan mau membantu tim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</si>
  <si>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</si>
  <si>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</si>
  <si>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</si>
  <si>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</si>
  <si>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</si>
  <si>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</si>
  <si>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</si>
  <si>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</si>
  <si>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</si>
  <si>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</si>
  <si>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</si>
  <si>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</si>
  <si>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</si>
  <si>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</si>
  <si>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</si>
  <si>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</si>
  <si>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Shelvi Ariya</t>
  </si>
  <si>
    <t xml:space="preserve">+6282382687262</t>
  </si>
  <si>
    <t xml:space="preserve">SILVIA OKTATILOVA</t>
  </si>
  <si>
    <t xml:space="preserve">+6285198034018</t>
  </si>
  <si>
    <t xml:space="preserve">Siska nofri yosa</t>
  </si>
  <si>
    <t xml:space="preserve">+6282384145947</t>
  </si>
  <si>
    <t xml:space="preserve">bisa rekomendasi untuk SPKRT dan IHK</t>
  </si>
  <si>
    <t xml:space="preserve">SRI SELVIA</t>
  </si>
  <si>
    <t xml:space="preserve">+6282283685521</t>
  </si>
  <si>
    <t xml:space="preserve">nyinyia, sering menanyakan hal yang sama, progress oke</t>
  </si>
  <si>
    <t xml:space="preserve">Sri Wellia</t>
  </si>
  <si>
    <t xml:space="preserve">+6281266444804</t>
  </si>
  <si>
    <t xml:space="preserve">Suci Rahmadani</t>
  </si>
  <si>
    <t xml:space="preserve">+6283143728666</t>
  </si>
  <si>
    <t xml:space="preserve">Suci Ramadani</t>
  </si>
  <si>
    <t xml:space="preserve">+6282311260295</t>
  </si>
  <si>
    <t xml:space="preserve">Suri Hanifah</t>
  </si>
  <si>
    <t xml:space="preserve">+6282288237468</t>
  </si>
  <si>
    <t xml:space="preserve">Tanggung jawab, berkordinasi, kerjaan lambat</t>
  </si>
  <si>
    <t xml:space="preserve">Susi Adriyanti</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</si>
  <si>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</si>
  <si>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</si>
  <si>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</si>
  <si>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</si>
  <si>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</si>
  <si>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</si>
  <si>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</si>
  <si>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Triana Putri Lovica</t>
  </si>
  <si>
    <t xml:space="preserve">+6282289474197</t>
  </si>
  <si>
    <t xml:space="preserve">Ulfa Saputri</t>
  </si>
  <si>
    <t xml:space="preserve">+6282283633915</t>
  </si>
  <si>
    <t xml:space="preserve">Vina Oktaviani</t>
  </si>
  <si>
    <t xml:space="preserve">+6282386066209</t>
  </si>
  <si>
    <t xml:space="preserve">Weliya lasdiani</t>
  </si>
  <si>
    <t xml:space="preserve">+6281374331239</t>
  </si>
  <si>
    <t xml:space="preserve">Wilda Putri Yeni</t>
  </si>
  <si>
    <t xml:space="preserve">+6281378376948</t>
  </si>
  <si>
    <t xml:space="preserve">Winny Avria Lestin</t>
  </si>
  <si>
    <t xml:space="preserve">+6283184823501</t>
  </si>
  <si>
    <t xml:space="preserve">Wira Farma</t>
  </si>
  <si>
    <t xml:space="preserve">+6282284271073</t>
  </si>
  <si>
    <t xml:space="preserve">Kurang aktif tapi pendataan masih oke</t>
  </si>
  <si>
    <t xml:space="preserve">Wulan Afresia</t>
  </si>
  <si>
    <t xml:space="preserve">+6289676134941</t>
  </si>
  <si>
    <t xml:space="preserve">Aktif, komunikasi oke, tapi udah kerja</t>
  </si>
  <si>
    <t xml:space="preserve">Yola pramika</t>
  </si>
  <si>
    <t xml:space="preserve">+6282171114164</t>
  </si>
  <si>
    <t xml:space="preserve">Yoli Marda Novi</t>
  </si>
  <si>
    <t xml:space="preserve">LABUAH PANJANG</t>
  </si>
  <si>
    <t xml:space="preserve">+6282171659065</t>
  </si>
  <si>
    <t xml:space="preserve">Yosi Mithelia</t>
  </si>
  <si>
    <t xml:space="preserve">+6285272646160</t>
  </si>
  <si>
    <t xml:space="preserve">Yosi Mustika Sari</t>
  </si>
  <si>
    <t xml:space="preserve">+6282180289418</t>
  </si>
  <si>
    <t xml:space="preserve">perlu ditingkatkan cara komunikasi ke responden</t>
  </si>
  <si>
    <t xml:space="preserve">Yovinda Oktasia Rahmi</t>
  </si>
  <si>
    <t xml:space="preserve">+628127099100</t>
  </si>
  <si>
    <t xml:space="preserve">Yulia Hamdany</t>
  </si>
  <si>
    <t xml:space="preserve">+6281398075858</t>
  </si>
  <si>
    <t xml:space="preserve">Berkoordinasi dengan baik serta menjalankan tugasnya sebagai PML dengan baik</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</si>
  <si>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</si>
  <si>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</si>
  <si>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</si>
  <si>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</si>
  <si>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</si>
  <si>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</si>
  <si>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</si>
  <si>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</si>
  <si>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</si>
  <si>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</si>
  <si>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</si>
  <si>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</si>
  <si>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</si>
  <si>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</si>
  <si>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</si>
  <si>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AGUNG MAULANA DINATA</t>
  </si>
  <si>
    <t xml:space="preserve">Red flag kinerja</t>
  </si>
  <si>
    <t xml:space="preserve">+6281537555241</t>
  </si>
  <si>
    <t xml:space="preserve">kinerjanya kurang bagus, dan tidak bisa mengkoordinasikan PPL nya</t>
  </si>
  <si>
    <t xml:space="preserve">Alex sandryadi</t>
  </si>
  <si>
    <t xml:space="preserve">+6282283683828</t>
  </si>
  <si>
    <t xml:space="preserve">Tidak bertanggung jawab menjadi PML SE2026, BLACKLIST!!!!</t>
  </si>
  <si>
    <t xml:space="preserve">Andika Muliawan</t>
  </si>
  <si>
    <t xml:space="preserve">+6283134184530</t>
  </si>
  <si>
    <t xml:space="preserve">Andya Roza</t>
  </si>
  <si>
    <t xml:space="preserve">+6285264334662</t>
  </si>
  <si>
    <t xml:space="preserve">kurang probing, konsep nggak paham, sibuk jualan</t>
  </si>
  <si>
    <t xml:space="preserve">HUDRA MARFIADI</t>
  </si>
  <si>
    <t xml:space="preserve">+6281372404386</t>
  </si>
  <si>
    <t xml:space="preserve">Ival Rilando</t>
  </si>
  <si>
    <t xml:space="preserve">+6281276724852</t>
  </si>
  <si>
    <t xml:space="preserve">penyelesaian wilayah tugasnya dikeroyok karena lama, sulit dipercaya, tidak cocok untuk jadi mitra, sangat slow respon</t>
  </si>
  <si>
    <t xml:space="preserve">Jafri Naldo</t>
  </si>
  <si>
    <t xml:space="preserve">+6285274558191</t>
  </si>
  <si>
    <t xml:space="preserve">Kinerjanya masih belum terlalu bagus</t>
  </si>
  <si>
    <t xml:space="preserve">Marvi gusneriza</t>
  </si>
  <si>
    <t xml:space="preserve">+6282285119197</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</si>
  <si>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</si>
  <si>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</si>
  <si>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</si>
  <si>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</si>
  <si>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</si>
  <si>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Nurhaflah</t>
  </si>
  <si>
    <t xml:space="preserve">+6282283339363</t>
  </si>
  <si>
    <t xml:space="preserve">Tidak sopan dan tidak bertanggung jawab. Marah saat dievaluasi</t>
  </si>
  <si>
    <t xml:space="preserve">Tia melani</t>
  </si>
  <si>
    <t xml:space="preserve">+6282381125028</t>
  </si>
  <si>
    <t xml:space="preserve">kurang probing, konsep kurang</t>
  </si>
  <si>
    <t xml:space="preserve">Vebby Chapri Aulia</t>
  </si>
  <si>
    <t xml:space="preserve">+62895391576726</t>
  </si>
  <si>
    <t xml:space="preserve">Vivin afrita yeni</t>
  </si>
  <si>
    <t xml:space="preserve">+6282387454864</t>
  </si>
  <si>
    <t xml:space="preserve">Termasuk yang selesai terakhir</t>
  </si>
  <si>
    <t xml:space="preserve">Rekrut menginap (kandidat utama)</t>
  </si>
  <si>
    <t xml:space="preserve">konsep bagus, terlalu dominan di Lembang Jaya (PML diatas PML), jiwa mitra senior dapat, ibarat gelas kosong, bapaknya sudah merasa penuh pengetahuan karna senior, ketika ada pengumuman di grup, tidak digubris</t>
  </si>
  <si>
    <t xml:space="preserve">pemahaman oke di kelas dan di lapangan, tapi lama menyelesaikan pekerjaan</t>
  </si>
  <si>
    <t xml:space="preserve">cerewet, tapi paham konsep</t>
  </si>
  <si>
    <t xml:space="preserve">Gesit, Cetakan, pantang menyerah, berkordinasi, disiplin waktu</t>
  </si>
  <si>
    <t xml:space="preserve">pekerjaan dilakukan sangat lama, ke lapangan melebehi tanggal 31 agustus dan diawal sempat melakukan moral hazard</t>
  </si>
  <si>
    <t xml:space="preserve">KUNCIA</t>
  </si>
  <si>
    <t xml:space="preserve">AIA LUO</t>
  </si>
  <si>
    <t xml:space="preserve">Disiplin, tanggung jawab, Disiplin, berkordinasi, suka membantu</t>
  </si>
  <si>
    <t xml:space="preserve">sering enahan untuk melakukan submit</t>
  </si>
  <si>
    <t xml:space="preserve">INDUDUA</t>
  </si>
  <si>
    <t xml:space="preserve">BATU BANYAK</t>
  </si>
  <si>
    <t xml:space="preserve">cekatan dan respon cepat</t>
  </si>
  <si>
    <t xml:space="preserve">probing bagus, pemahaman bagus</t>
  </si>
  <si>
    <t xml:space="preserve">pekerjaan dilakukan dengan baik dan bertanggung jawab, bekerja di daerag sulitt</t>
  </si>
  <si>
    <t xml:space="preserve">pekerjaan dilakukan dengan baik dan bertanggung jawab, tapi sering miskom dengan ppl</t>
  </si>
  <si>
    <t xml:space="preserve">Kinerjanya lumayan bagus</t>
  </si>
  <si>
    <t xml:space="preserve">+6282296587337</t>
  </si>
  <si>
    <t xml:space="preserve">bisa bekerjasama dengan tim</t>
  </si>
  <si>
    <t xml:space="preserve">+6285271306838</t>
  </si>
  <si>
    <t xml:space="preserve">+6282285844564</t>
  </si>
  <si>
    <t xml:space="preserve">+6282170186535</t>
  </si>
  <si>
    <t xml:space="preserve">Konsep dan pendataan oke, tapi kurang sopan</t>
  </si>
  <si>
    <t xml:space="preserve">+6281370572508</t>
  </si>
  <si>
    <t xml:space="preserve">Bagus tapi agak sedikit kurang sabar menghadapi penolakan responden</t>
  </si>
  <si>
    <t xml:space="preserve">+6281365751427</t>
  </si>
  <si>
    <t xml:space="preserve">Konsep oke, lapangan mantap, peta rapi, agak trauma mendata, tapi gass</t>
  </si>
  <si>
    <t xml:space="preserve">+6285263341414</t>
  </si>
  <si>
    <t xml:space="preserve">Kurang menyimak informasi yang disampaikan di grup sehingga banyak bertanya yang seharusnya sudah terjawab</t>
  </si>
  <si>
    <t xml:space="preserve">+6281364496059</t>
  </si>
  <si>
    <t xml:space="preserve">Pandai memimpin, Disiplin, suka membantu, tanggung jawab, saling berkordinasi</t>
  </si>
  <si>
    <t xml:space="preserve">+6283178005904</t>
  </si>
  <si>
    <t xml:space="preserve">+6281374080153</t>
  </si>
  <si>
    <t xml:space="preserve">Bertanggung jawab dan sadar akan kemampuannya</t>
  </si>
  <si>
    <t xml:space="preserve">+6281381661987</t>
  </si>
  <si>
    <t xml:space="preserve">+6282382832500</t>
  </si>
  <si>
    <t xml:space="preserve">+6289516058303</t>
  </si>
  <si>
    <t xml:space="preserve">+6281365002864</t>
  </si>
  <si>
    <t xml:space="preserve">+6281363066329</t>
  </si>
  <si>
    <t xml:space="preserve">PML paling sabar, berpengalaman dan bertanggung jawab</t>
  </si>
  <si>
    <t xml:space="preserve">+6282388998063</t>
  </si>
  <si>
    <t xml:space="preserve">bertanggungjawab dalam melaksanakan tugas dan bagus dalam mengkoordinir PPL</t>
  </si>
  <si>
    <t xml:space="preserve">+6285274775368</t>
  </si>
  <si>
    <t xml:space="preserve">Bisa mengkoordinir petugasnya dengan baik</t>
  </si>
  <si>
    <t xml:space="preserve">+6282391089161</t>
  </si>
  <si>
    <t xml:space="preserve">Dari awal sampai akhir mantap jiwa, gass</t>
  </si>
  <si>
    <t xml:space="preserve">+6281266709257</t>
  </si>
  <si>
    <t xml:space="preserve">Berpengalaman tapi konsep agak kurang sedikit</t>
  </si>
  <si>
    <t xml:space="preserve">AHMAD SYAHRONI</t>
  </si>
  <si>
    <t xml:space="preserve">Tidak dipakai (nilai &lt; 4 / belum dinilai)</t>
  </si>
  <si>
    <t xml:space="preserve">+6282283289185</t>
  </si>
  <si>
    <t xml:space="preserve">Ali akbar</t>
  </si>
  <si>
    <t xml:space="preserve">+6282388770919</t>
  </si>
  <si>
    <t xml:space="preserve">Masih kurang pemahaman dan kurang tanggung jawab</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</si>
  <si>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</si>
  <si>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</si>
  <si>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</si>
  <si>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</si>
  <si>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</si>
  <si>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</si>
  <si>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Anisa Ramadhani</t>
  </si>
  <si>
    <t xml:space="preserve">+6283850043416</t>
  </si>
  <si>
    <t xml:space="preserve">Masih kurang dalam tanggung jawab</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</si>
  <si>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</si>
  <si>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</si>
  <si>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</si>
  <si>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</si>
  <si>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</si>
  <si>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</si>
  <si>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</si>
  <si>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</si>
  <si>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</si>
  <si>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</si>
  <si>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</si>
  <si>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</si>
  <si>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</si>
  <si>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</si>
  <si>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</si>
  <si>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</si>
  <si>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</si>
  <si>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</si>
  <si>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</si>
  <si>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</si>
  <si>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Boby erlanda</t>
  </si>
  <si>
    <t xml:space="preserve">+6282289669281</t>
  </si>
  <si>
    <t xml:space="preserve">Melakukan pekerjaan kurang tepat waktu</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</si>
  <si>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</si>
  <si>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</si>
  <si>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</si>
  <si>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</si>
  <si>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</si>
  <si>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</si>
  <si>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</si>
  <si>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</si>
  <si>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</si>
  <si>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</si>
  <si>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</si>
  <si>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</si>
  <si>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</si>
  <si>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</si>
  <si>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</si>
  <si>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</si>
  <si>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</si>
  <si>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</si>
  <si>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</si>
  <si>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</si>
  <si>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</si>
  <si>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</si>
  <si>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</si>
  <si>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</si>
  <si>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</si>
  <si>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</si>
  <si>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</si>
  <si>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</si>
  <si>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</si>
  <si>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</si>
  <si>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</si>
  <si>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</si>
  <si>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</si>
  <si>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</si>
  <si>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</si>
  <si>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</si>
  <si>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</si>
  <si>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</si>
  <si>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</si>
  <si>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</si>
  <si>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</si>
  <si>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</si>
  <si>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</si>
  <si>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</si>
  <si>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</si>
  <si>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</si>
  <si>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</si>
  <si>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</si>
  <si>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</si>
  <si>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 Yeni</t>
  </si>
  <si>
    <t xml:space="preserve">+6285250839495</t>
  </si>
  <si>
    <t xml:space="preserve">kurang bertanggung jawab dalam menyelesaikan pekerjaan</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</si>
  <si>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</si>
  <si>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</si>
  <si>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</si>
  <si>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</si>
  <si>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</si>
  <si>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</si>
  <si>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</si>
  <si>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</si>
  <si>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</si>
  <si>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</si>
  <si>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</si>
  <si>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</si>
  <si>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</si>
  <si>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</si>
  <si>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</si>
  <si>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</si>
  <si>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</si>
  <si>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</si>
  <si>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</si>
  <si>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</si>
  <si>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</si>
  <si>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</si>
  <si>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</si>
  <si>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</si>
  <si>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</si>
  <si>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</si>
  <si>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Khairunnisa Yolanda</t>
  </si>
  <si>
    <t xml:space="preserve">+6281276809108</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</si>
  <si>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</si>
  <si>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</si>
  <si>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</si>
  <si>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</si>
  <si>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</si>
  <si>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</si>
  <si>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</si>
  <si>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</si>
  <si>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</si>
  <si>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</si>
  <si>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</si>
  <si>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</si>
  <si>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</si>
  <si>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</si>
  <si>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</si>
  <si>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</si>
  <si>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</si>
  <si>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</si>
  <si>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</si>
  <si>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Misza Oktafiani</t>
  </si>
  <si>
    <t xml:space="preserve">+6281371772838</t>
  </si>
  <si>
    <t xml:space="preserve">Masih kurang pemahaman dan kurang  tanggung jawab</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</si>
  <si>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</si>
  <si>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</si>
  <si>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</si>
  <si>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</si>
  <si>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</si>
  <si>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</si>
  <si>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</si>
  <si>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</si>
  <si>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</si>
  <si>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</si>
  <si>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</si>
  <si>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</si>
  <si>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</si>
  <si>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</si>
  <si>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</si>
  <si>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</si>
  <si>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</si>
  <si>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</si>
  <si>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</si>
  <si>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</si>
  <si>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</si>
  <si>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</si>
  <si>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</si>
  <si>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</si>
  <si>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</si>
  <si>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</si>
  <si>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</si>
  <si>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</si>
  <si>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</si>
  <si>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</si>
  <si>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</si>
  <si>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</si>
  <si>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</si>
  <si>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</si>
  <si>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</si>
  <si>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</si>
  <si>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</si>
  <si>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Effendi</t>
  </si>
  <si>
    <t xml:space="preserve">+6283174291205</t>
  </si>
  <si>
    <t xml:space="preserve">Oke-oke aja, kalau ada yang lain, yang lain dulu</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</si>
  <si>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</si>
  <si>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</si>
  <si>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</si>
  <si>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</si>
  <si>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</si>
  <si>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</si>
  <si>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</si>
  <si>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</si>
  <si>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</si>
  <si>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</si>
  <si>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</si>
  <si>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</si>
  <si>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</si>
  <si>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</si>
  <si>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</si>
  <si>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</si>
  <si>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</si>
  <si>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</si>
  <si>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</si>
  <si>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</si>
  <si>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</si>
  <si>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</si>
  <si>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</si>
  <si>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</si>
  <si>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</si>
  <si>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</si>
  <si>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</si>
  <si>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</si>
  <si>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</si>
  <si>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</si>
  <si>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</si>
  <si>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</si>
  <si>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</si>
  <si>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</si>
  <si>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</si>
  <si>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</si>
  <si>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</si>
  <si>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</si>
  <si>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</si>
  <si>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</si>
  <si>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</si>
  <si>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</si>
  <si>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</si>
  <si>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</si>
  <si>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</si>
  <si>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</si>
  <si>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</si>
  <si>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</si>
  <si>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</si>
  <si>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</si>
  <si>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</si>
  <si>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</si>
  <si>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</si>
  <si>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</si>
  <si>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</si>
  <si>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</si>
  <si>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</si>
  <si>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</si>
  <si>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</si>
  <si>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</si>
  <si>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</si>
  <si>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</si>
  <si>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</si>
  <si>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</si>
  <si>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</si>
  <si>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</si>
  <si>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</si>
  <si>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</si>
  <si>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</si>
  <si>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</si>
  <si>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</si>
  <si>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</si>
  <si>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</si>
  <si>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</si>
  <si>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</si>
  <si>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</si>
  <si>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</si>
  <si>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</si>
  <si>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</si>
  <si>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</si>
  <si>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</si>
  <si>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</si>
  <si>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</si>
  <si>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</si>
  <si>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</si>
  <si>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</si>
  <si>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</si>
  <si>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</si>
  <si>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</si>
  <si>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</si>
  <si>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</si>
  <si>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</si>
  <si>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</si>
  <si>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klaster boleh 5 bila sisa tidak habis dibagi 4.</t>
  </si>
  <si>
    <t xml:space="preserve">Batas beban 'terlalu kecil' (skor)</t>
  </si>
  <si>
    <t xml:space="preserve">PPL di bawah batas ini digabung: dipilih SATU PPL terdekat/layak yang mendata wilayah keduanya (gabungan &lt;= beban maksimal, jarak &lt;= radius perluasan).</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</si>
  <si>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</si>
  <si>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</si>
  <si>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</si>
  <si>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</si>
  <si>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</si>
  <si>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</si>
  <si>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</si>
  <si>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</si>
  <si>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</si>
  <si>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</si>
  <si>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TIDAK dijadikan PPL, kecuali 3 nama yang diminta admin (Revisi 2 dulu memakai 19 calon PML sebagai PPL, sehingga kebutuhan rekrut baru kini lebih banyak). Kekosongan PML diisi pegawai organik yang diplot belakangan (tidak ditentukan namanya).</t>
  </si>
  <si>
    <t xml:space="preserve">5.</t>
  </si>
  <si>
    <t xml:space="preserve">Nama yang diminta (Amelia, ANIKE PUTRI, Annisa Suryani) dipaksa jadi PPL dengan wilayah terdekat (&lt;= radius normal) sampai mendekati beban ideal. Ketiganya termasuk calon PML, jadi calon PML yang tersedia untuk menjadi PML 26 orang (29 tidak bentrok dikurangi 3).</t>
  </si>
  <si>
    <t xml:space="preserve">6.</t>
  </si>
  <si>
    <t xml:space="preserve">Domisili tanpa titik koordinat riil diperkirakan dari rata-rata titik Sub SLS di nagari/kecamatan yang sama (kolom Lokasi Domisili menandai 'Perkiraan'). Jarak = garis lurus (haversine), bukan jarak jalan.</t>
  </si>
  <si>
    <t xml:space="preserve">7.</t>
  </si>
  <si>
    <t xml:space="preserve">Rekrut baru (skema menginap): dipilih dari petugas yang SUDAH DAFTAR bencana (atau ikut PES SE2026) tapi belum mendapat wilayah, aktif, tidak red flag, tidak ikut kegiatan bentrok, bukan calon PML, termasuk PPL yang dilepas karena penggabungan beban kecil. Karena menginap di kontrakan BPS selama pendataan, jarak domisili tidak lagi dibatasi radius; dicocokkan ke slot dengan penugasan optimal (jarak terdekat, prioritas nilai 5 &gt; 4 &gt; 3 &gt; belum dinilai). Domisili tanpa titik diperkirakan dari rata-rata titik petugas lain di kecamatan yang sama.</t>
  </si>
  <si>
    <t xml:space="preserve">8.</t>
  </si>
  <si>
    <t xml:space="preserve">Kontrakan: lokasi menginap = nagari yang menjadi pusat wilayah slot (lihat sheet Rencana Menginap). Jumlah kamar/kapasitas kontrakan belum diketahui; yang tercatat hanya jumlah PPL per lokasi. Pisahkan penghuni laki-laki dan perempuan; 'belum diisi' berarti jenis kelamin belum dilengkapi petugas.</t>
  </si>
  <si>
    <t xml:space="preserve">9.</t>
  </si>
  <si>
    <t xml:space="preserve">Klaster PML: seluruh 99 PPL dibagi menjadi 22 klaster berukuran 4-5 PPL (11 klaster 5 PPL + 11 klaster 4 PPL) dengan penugasan berkapasitas yang meminimalkan jarak ke pusat klaster; boleh lintas kecamatan yang berdekatan.</t>
  </si>
  <si>
    <t xml:space="preserve">10.</t>
  </si>
  <si>
    <t xml:space="preserve">Penggabungan beban kecil: PPL dengan beban &lt; 60 (skor) digabung - dipilih SATU PPL yang memegang wilayah keduanya (jarak domisili ke seluruh wilayah &lt;= radius perluasan, beban gabungan &lt;= maksimal; urutan prioritas jarak, mendekati beban ideal, nilai kinerja). Yang dilepas tercatat di sheet Beban per PPL (status 'Tidak dipakai'). Jika tidak ada pasangan yang cukup dekat, PPL itu tetap dipertahankan (lihat catatan).</t>
  </si>
  <si>
    <t xml:space="preserve">11.</t>
  </si>
  <si>
    <t xml:space="preserve">Dengan 22 klaster, 26 calon PML tersedia: 21 terpasang, 5 menjadi cadangan (bisa dipakai bila ada PML mundur, atau dijadikan PPL untuk mengurangi rekrut baru).</t>
  </si>
  <si>
    <t xml:space="preserve">12.</t>
  </si>
  <si>
    <t xml:space="preserve">Hariston dan Ilham di daftar calon PML memiliki nama yang sama dengan 2 pegawai organik (kemungkinan orang yang sama / baris ganda) - mohon dicek.</t>
  </si>
  <si>
    <t xml:space="preserve">13.</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</si>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</sst>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15" hidden="false" customHeight="false" outlineLevel="0" collapsed="false">
      <c r="A5" s="5" t="s">
        <v>3</v>
      </c>
      <c r="B5" s="6" t="n">
        <f aca="false">COUNTIF('Beban per PPL'!$H$5:$H$107,"&gt;0")-COUNTIF('Beban per PPL'!$C$5:$C$107,"Rekrut baru")</f>
        <v>67</v>
      </c>
      <c r="C5" s="7"/>
      <c r="D5" s="5" t="s">
        <v>4</v>
      </c>
    </row>
    <row r="6" customFormat="false" ht="23.85" hidden="false" customHeight="false" outlineLevel="0" collapsed="false">
      <c r="A6" s="5" t="s">
        <v>5</v>
      </c>
      <c r="B6" s="6" t="n">
        <f aca="false">'Kebutuhan PPL Tambahan'!$C$44</f>
        <v>32</v>
      </c>
      <c r="C6" s="7"/>
      <c r="D6" s="5" t="s">
        <v>6</v>
      </c>
    </row>
    <row r="7" customFormat="false" ht="15" hidden="false" customHeight="false" outlineLevel="0" collapsed="false">
      <c r="A7" s="5" t="s">
        <v>7</v>
      </c>
      <c r="B7" s="6" t="n">
        <f aca="false">B5+B6</f>
        <v>99</v>
      </c>
      <c r="C7" s="7"/>
      <c r="D7" s="5" t="s">
        <v>8</v>
      </c>
    </row>
    <row r="8" customFormat="false" ht="23.85" hidden="false" customHeight="false" outlineLevel="0" collapsed="false">
      <c r="A8" s="5" t="s">
        <v>9</v>
      </c>
      <c r="B8" s="6" t="n">
        <f aca="false">MIN('Kebutuhan PPL Tambahan'!H49:H53)</f>
        <v>17</v>
      </c>
      <c r="C8" s="7" t="n">
        <f aca="false">MAX('Kebutuhan PPL Tambahan'!H49:H53)</f>
        <v>40</v>
      </c>
      <c r="D8" s="5" t="s">
        <v>10</v>
      </c>
    </row>
    <row r="9" customFormat="false" ht="23.85" hidden="false" customHeight="false" outlineLevel="0" collapsed="false">
      <c r="A9" s="5" t="s">
        <v>11</v>
      </c>
      <c r="B9" s="6" t="str">
        <f aca="false">IF(B5&gt;80,"Ya","Tidak (perlu rekrut)")</f>
        <v>Tidak (perlu rekrut)</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Tambahan'!C41</f>
        <v>9</v>
      </c>
      <c r="C13" s="9" t="n">
        <f aca="false">'Kebutuhan PPL Tambahan'!D41</f>
        <v>1571.1</v>
      </c>
      <c r="D13" s="5" t="s">
        <v>19</v>
      </c>
    </row>
    <row r="14" customFormat="false" ht="15" hidden="false" customHeight="false" outlineLevel="0" collapsed="false">
      <c r="A14" s="5" t="s">
        <v>20</v>
      </c>
      <c r="B14" s="7" t="n">
        <f aca="false">'Kebutuhan PPL Tambahan'!C42</f>
        <v>12</v>
      </c>
      <c r="C14" s="9" t="n">
        <f aca="false">'Kebutuhan PPL Tambahan'!D42</f>
        <v>1411.7</v>
      </c>
      <c r="D14" s="5" t="s">
        <v>21</v>
      </c>
    </row>
    <row r="15" customFormat="false" ht="15" hidden="false" customHeight="false" outlineLevel="0" collapsed="false">
      <c r="A15" s="5" t="s">
        <v>22</v>
      </c>
      <c r="B15" s="7" t="n">
        <f aca="false">'Kebutuhan PPL Tambahan'!C43</f>
        <v>11</v>
      </c>
      <c r="C15" s="9" t="n">
        <f aca="false">'Kebutuhan PPL Tambahan'!D43</f>
        <v>1895.5</v>
      </c>
      <c r="D15" s="5" t="s">
        <v>23</v>
      </c>
    </row>
    <row r="17" customFormat="false" ht="15" hidden="false" customHeight="false" outlineLevel="0" collapsed="false">
      <c r="A17" s="3" t="s">
        <v>24</v>
      </c>
      <c r="B17" s="4"/>
      <c r="C17" s="4"/>
      <c r="D17" s="4"/>
    </row>
    <row r="18" customFormat="false" ht="15" hidden="false" customHeight="false" outlineLevel="0" collapsed="false">
      <c r="A18" s="5" t="s">
        <v>25</v>
      </c>
      <c r="B18" s="6" t="n">
        <f aca="false">COUNTA('Saran PML'!$A$5:$A$26)</f>
        <v>22</v>
      </c>
      <c r="C18" s="7"/>
      <c r="D18" s="5" t="s">
        <v>26</v>
      </c>
    </row>
    <row r="19" customFormat="false" ht="15" hidden="false" customHeight="false" outlineLevel="0" collapsed="false">
      <c r="A19" s="5" t="s">
        <v>27</v>
      </c>
      <c r="B19" s="6" t="n">
        <f aca="false">COUNTIF('Saran PML'!$K$5:$K$26,"Calon PML")</f>
        <v>21</v>
      </c>
      <c r="C19" s="7"/>
      <c r="D19" s="5" t="s">
        <v>28</v>
      </c>
    </row>
    <row r="20" customFormat="false" ht="23.85" hidden="false" customHeight="false" outlineLevel="0" collapsed="false">
      <c r="A20" s="5" t="s">
        <v>29</v>
      </c>
      <c r="B20" s="6" t="n">
        <f aca="false">COUNTIF('Saran PML'!$K$5:$K$26,"Organik")</f>
        <v>1</v>
      </c>
      <c r="C20" s="7"/>
      <c r="D20" s="5" t="s">
        <v>30</v>
      </c>
    </row>
    <row r="21" customFormat="false" ht="15" hidden="false" customHeight="false" outlineLevel="0" collapsed="false">
      <c r="A21" s="5" t="s">
        <v>31</v>
      </c>
      <c r="B21" s="6" t="n">
        <f aca="false">COUNTIF('Beban per PPL'!$C$5:$C$107,"Calon PML dialihkan jadi PPL")+COUNTIF('Beban per PPL'!$C$5:$C$107,"Nama diminta admin")</f>
        <v>3</v>
      </c>
      <c r="C21" s="7"/>
      <c r="D21" s="5" t="s">
        <v>32</v>
      </c>
    </row>
    <row r="22" customFormat="false" ht="15" hidden="false" customHeight="false" outlineLevel="0" collapsed="false">
      <c r="A22" s="5" t="s">
        <v>33</v>
      </c>
      <c r="B22" s="6" t="n">
        <f aca="false">COUNTIF('Direktori Petugas'!$D$5:$D$471,"Calon PML - cadangan")</f>
        <v>5</v>
      </c>
      <c r="C22" s="7"/>
      <c r="D22" s="5" t="s">
        <v>34</v>
      </c>
    </row>
    <row r="24" customFormat="false" ht="15" hidden="false" customHeight="false" outlineLevel="0" collapsed="false">
      <c r="A24" s="3" t="s">
        <v>35</v>
      </c>
      <c r="B24" s="4"/>
      <c r="C24" s="4"/>
      <c r="D24" s="4"/>
    </row>
    <row r="25" customFormat="false" ht="24" hidden="false" customHeight="true" outlineLevel="0" collapsed="false">
      <c r="A25" s="8" t="s">
        <v>36</v>
      </c>
      <c r="B25" s="8" t="s">
        <v>37</v>
      </c>
      <c r="C25" s="8" t="s">
        <v>38</v>
      </c>
      <c r="D25" s="8" t="s">
        <v>39</v>
      </c>
    </row>
    <row r="26" customFormat="false" ht="15" hidden="false" customHeight="false" outlineLevel="0" collapsed="false">
      <c r="A26" s="5" t="s">
        <v>40</v>
      </c>
      <c r="B26" s="10" t="n">
        <f aca="false">COUNTIF('Beban per PPL'!$F$5:$F$107,"&gt;0")</f>
        <v>62</v>
      </c>
      <c r="C26" s="10" t="n">
        <f aca="false">COUNTIF('Beban per PPL'!$H$5:$H$107,"&gt;0")</f>
        <v>99</v>
      </c>
      <c r="D26" s="5" t="s">
        <v>41</v>
      </c>
    </row>
    <row r="27" customFormat="false" ht="15" hidden="false" customHeight="false" outlineLevel="0" collapsed="false">
      <c r="A27" s="5" t="s">
        <v>42</v>
      </c>
      <c r="B27" s="9" t="n">
        <f aca="false">MAX('Beban per PPL'!$G$5:$G$107)</f>
        <v>515.77</v>
      </c>
      <c r="C27" s="9" t="n">
        <f aca="false">MAX('Beban per PPL'!$I$5:$I$107)</f>
        <v>219.12</v>
      </c>
      <c r="D27" s="5"/>
    </row>
    <row r="28" customFormat="false" ht="15" hidden="false" customHeight="false" outlineLevel="0" collapsed="false">
      <c r="A28" s="5" t="s">
        <v>43</v>
      </c>
      <c r="B28" s="9" t="n">
        <f aca="false">AVERAGEIF('Beban per PPL'!$F$5:$F$107,"&gt;0",'Beban per PPL'!$G$5:$G$107)</f>
        <v>191.25064516129</v>
      </c>
      <c r="C28" s="9" t="n">
        <f aca="false">AVERAGEIF('Beban per PPL'!$H$5:$H$107,"&gt;0",'Beban per PPL'!$I$5:$I$107)</f>
        <v>159.54595959596</v>
      </c>
      <c r="D28" s="5"/>
    </row>
    <row r="29" customFormat="false" ht="15" hidden="false" customHeight="false" outlineLevel="0" collapsed="false">
      <c r="A29" s="5" t="s">
        <v>44</v>
      </c>
      <c r="B29" s="9" t="n">
        <f aca="false">SQRT((SUMPRODUCT(('Beban per PPL'!$F$5:$F$107&gt;0)*'Beban per PPL'!$G$5:$G$107^2)-COUNTIF('Beban per PPL'!$F$5:$F$107,"&gt;0")*B28^2)/(COUNTIF('Beban per PPL'!$F$5:$F$107,"&gt;0")-1))</f>
        <v>103.579967774503</v>
      </c>
      <c r="C29" s="9" t="n">
        <f aca="false">SQRT((SUMPRODUCT(('Beban per PPL'!$H$5:$H$107&gt;0)*'Beban per PPL'!$I$5:$I$107^2)-COUNTIF('Beban per PPL'!$H$5:$H$107,"&gt;0")*C28^2)/(COUNTIF('Beban per PPL'!$H$5:$H$107,"&gt;0")-1))</f>
        <v>44.6454655676638</v>
      </c>
      <c r="D29" s="5" t="s">
        <v>45</v>
      </c>
    </row>
    <row r="30" customFormat="false" ht="15" hidden="false" customHeight="false" outlineLevel="0" collapsed="false">
      <c r="A30" s="5" t="s">
        <v>46</v>
      </c>
      <c r="B30" s="10" t="n">
        <f aca="false">COUNTIF('Beban per PPL'!$G$5:$G$107,"&gt;"&amp;'Parameter &amp; Asumsi'!$B$8)</f>
        <v>25</v>
      </c>
      <c r="C30" s="10" t="n">
        <f aca="false">COUNTIF('Beban per PPL'!$I$5:$I$107,"&gt;"&amp;'Parameter &amp; Asumsi'!$B$8)</f>
        <v>0</v>
      </c>
      <c r="D30" s="5" t="s">
        <v>47</v>
      </c>
    </row>
    <row r="32" customFormat="false" ht="15" hidden="false" customHeight="false" outlineLevel="0" collapsed="false">
      <c r="A32" s="3" t="s">
        <v>48</v>
      </c>
      <c r="B32" s="4"/>
      <c r="C32" s="4"/>
      <c r="D32" s="4"/>
    </row>
    <row r="33" customFormat="false" ht="23.85" hidden="false" customHeight="false" outlineLevel="0" collapsed="false">
      <c r="A33" s="5" t="s">
        <v>49</v>
      </c>
      <c r="B33" s="6" t="n">
        <f aca="false">'Rencana Menginap'!$C$10</f>
        <v>32</v>
      </c>
      <c r="C33" s="7"/>
      <c r="D33" s="5" t="s">
        <v>50</v>
      </c>
    </row>
    <row r="34" customFormat="false" ht="23.85" hidden="false" customHeight="false" outlineLevel="0" collapsed="false">
      <c r="A34" s="5" t="s">
        <v>51</v>
      </c>
      <c r="B34" s="6" t="n">
        <f aca="false">COUNTA('Rencana Menginap'!$B$5:$B$9)</f>
        <v>5</v>
      </c>
      <c r="C34" s="7"/>
      <c r="D34" s="5" t="s">
        <v>52</v>
      </c>
    </row>
    <row r="35" customFormat="false" ht="15" hidden="false" customHeight="false" outlineLevel="0" collapsed="false">
      <c r="A35" s="5" t="s">
        <v>53</v>
      </c>
      <c r="B35" s="6" t="n">
        <f aca="false">COUNTIF('Direktori Petugas'!$D$5:$D$471,"Cadangan menginap*")</f>
        <v>9</v>
      </c>
      <c r="C35" s="7"/>
      <c r="D35" s="5" t="s">
        <v>54</v>
      </c>
    </row>
    <row r="37" customFormat="false" ht="15" hidden="false" customHeight="false" outlineLevel="0" collapsed="false">
      <c r="A37" s="3" t="s">
        <v>55</v>
      </c>
      <c r="B37" s="4"/>
      <c r="C37" s="4"/>
      <c r="D37" s="4"/>
    </row>
    <row r="38" customFormat="false" ht="31.5" hidden="false" customHeight="true" outlineLevel="0" collapsed="false">
      <c r="A38" s="11" t="s">
        <v>56</v>
      </c>
      <c r="B38" s="11"/>
      <c r="C38" s="11"/>
      <c r="D38" s="11"/>
    </row>
    <row r="39" customFormat="false" ht="31.5" hidden="false" customHeight="true" outlineLevel="0" collapsed="false">
      <c r="A39" s="11" t="s">
        <v>57</v>
      </c>
      <c r="B39" s="11"/>
      <c r="C39" s="11"/>
      <c r="D39" s="11"/>
    </row>
    <row r="40" customFormat="false" ht="31.5" hidden="false" customHeight="true" outlineLevel="0" collapsed="false">
      <c r="A40" s="11" t="s">
        <v>58</v>
      </c>
      <c r="B40" s="11"/>
      <c r="C40" s="11"/>
      <c r="D40" s="11"/>
    </row>
    <row r="41" customFormat="false" ht="31.5" hidden="false" customHeight="true" outlineLevel="0" collapsed="false">
      <c r="A41" s="11" t="s">
        <v>59</v>
      </c>
      <c r="B41" s="11"/>
      <c r="C41" s="11"/>
      <c r="D41" s="11"/>
    </row>
    <row r="42" customFormat="false" ht="31.5" hidden="false" customHeight="true" outlineLevel="0" collapsed="false">
      <c r="A42" s="11" t="s">
        <v>60</v>
      </c>
      <c r="B42" s="11"/>
      <c r="C42" s="11"/>
      <c r="D42" s="11"/>
    </row>
    <row r="43" customFormat="false" ht="31.5" hidden="false" customHeight="true" outlineLevel="0" collapsed="false">
      <c r="A43" s="11" t="s">
        <v>61</v>
      </c>
      <c r="B43" s="11"/>
      <c r="C43" s="11"/>
      <c r="D43" s="11"/>
    </row>
    <row r="44" customFormat="false" ht="31.5" hidden="false" customHeight="true" outlineLevel="0" collapsed="false">
      <c r="A44" s="11" t="s">
        <v>62</v>
      </c>
      <c r="B44" s="11"/>
      <c r="C44" s="11"/>
      <c r="D44" s="11"/>
    </row>
    <row r="45" customFormat="false" ht="31.5" hidden="false" customHeight="true" outlineLevel="0" collapsed="false">
      <c r="A45" s="11" t="s">
        <v>63</v>
      </c>
      <c r="B45" s="11"/>
      <c r="C45" s="11"/>
      <c r="D45" s="11"/>
    </row>
  </sheetData>
  <mergeCells count="8">
    <mergeCell ref="A38:D38"/>
    <mergeCell ref="A39:D39"/>
    <mergeCell ref="A40:D40"/>
    <mergeCell ref="A41:D41"/>
    <mergeCell ref="A42:D42"/>
    <mergeCell ref="A43:D43"/>
    <mergeCell ref="A44:D44"/>
    <mergeCell ref="A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 collapsed="false" customWidth="true" hidden="false" outlineLevel="0" max="17" min="17" style="0" width="34"/>
  </cols>
  <sheetData>
    <row r="1" customFormat="false" ht="17.35" hidden="false" customHeight="false" outlineLevel="0" collapsed="false">
      <c r="A1" s="1" t="s">
        <v>64</v>
      </c>
    </row>
    <row r="2" customFormat="false" ht="15" hidden="false" customHeight="false" outlineLevel="0" collapsed="false">
      <c r="A2" s="2" t="s">
        <v>65</v>
      </c>
    </row>
    <row r="4" customFormat="false" ht="43.5" hidden="false" customHeight="true" outlineLevel="0" collapsed="false">
      <c r="A4" s="8" t="s">
        <v>66</v>
      </c>
      <c r="B4" s="8" t="s">
        <v>14</v>
      </c>
      <c r="C4" s="8" t="s">
        <v>67</v>
      </c>
      <c r="D4" s="8" t="s">
        <v>68</v>
      </c>
      <c r="E4" s="8" t="s">
        <v>69</v>
      </c>
      <c r="F4" s="8" t="s">
        <v>70</v>
      </c>
      <c r="G4" s="8" t="s">
        <v>71</v>
      </c>
      <c r="H4" s="8" t="s">
        <v>72</v>
      </c>
      <c r="I4" s="8" t="s">
        <v>73</v>
      </c>
      <c r="J4" s="8" t="s">
        <v>74</v>
      </c>
      <c r="K4" s="8" t="s">
        <v>75</v>
      </c>
      <c r="L4" s="8" t="s">
        <v>76</v>
      </c>
      <c r="M4" s="8" t="s">
        <v>77</v>
      </c>
      <c r="N4" s="8" t="s">
        <v>78</v>
      </c>
      <c r="O4" s="8" t="s">
        <v>79</v>
      </c>
      <c r="P4" s="8" t="s">
        <v>80</v>
      </c>
      <c r="Q4" s="8" t="s">
        <v>81</v>
      </c>
    </row>
    <row r="5" customFormat="false" ht="23.85" hidden="false" customHeight="false" outlineLevel="0" collapsed="false">
      <c r="A5" s="12" t="n">
        <v>1</v>
      </c>
      <c r="B5" s="12" t="s">
        <v>18</v>
      </c>
      <c r="C5" s="5" t="s">
        <v>82</v>
      </c>
      <c r="D5" s="5" t="s">
        <v>83</v>
      </c>
      <c r="E5" s="13" t="n">
        <v>156</v>
      </c>
      <c r="F5" s="12" t="s">
        <v>84</v>
      </c>
      <c r="G5" s="12" t="n">
        <v>44</v>
      </c>
      <c r="H5" s="12" t="n">
        <v>5</v>
      </c>
      <c r="I5" s="13" t="n">
        <v>48.03</v>
      </c>
      <c r="J5" s="12" t="s">
        <v>85</v>
      </c>
      <c r="K5" s="12" t="s">
        <v>86</v>
      </c>
      <c r="L5" s="12" t="s">
        <v>87</v>
      </c>
      <c r="M5" s="5" t="s">
        <v>88</v>
      </c>
      <c r="N5" s="5" t="s">
        <v>89</v>
      </c>
      <c r="O5" s="5" t="s">
        <v>90</v>
      </c>
      <c r="P5" s="12" t="n">
        <v>28</v>
      </c>
      <c r="Q5" s="12" t="s">
        <v>91</v>
      </c>
    </row>
    <row r="6" customFormat="false" ht="23.85" hidden="false" customHeight="false" outlineLevel="0" collapsed="false">
      <c r="A6" s="12" t="n">
        <v>2</v>
      </c>
      <c r="B6" s="12" t="s">
        <v>18</v>
      </c>
      <c r="C6" s="5" t="s">
        <v>82</v>
      </c>
      <c r="D6" s="5" t="s">
        <v>92</v>
      </c>
      <c r="E6" s="13" t="n">
        <v>155.3</v>
      </c>
      <c r="F6" s="12" t="s">
        <v>93</v>
      </c>
      <c r="G6" s="12" t="n">
        <v>99</v>
      </c>
      <c r="H6" s="12" t="n">
        <v>5</v>
      </c>
      <c r="I6" s="13" t="n">
        <v>40.12</v>
      </c>
      <c r="J6" s="12" t="s">
        <v>94</v>
      </c>
      <c r="K6" s="12" t="s">
        <v>86</v>
      </c>
      <c r="L6" s="12" t="s">
        <v>95</v>
      </c>
      <c r="M6" s="5" t="s">
        <v>96</v>
      </c>
      <c r="N6" s="5" t="s">
        <v>89</v>
      </c>
      <c r="O6" s="5" t="s">
        <v>97</v>
      </c>
      <c r="P6" s="12" t="n">
        <v>28</v>
      </c>
      <c r="Q6" s="12" t="s">
        <v>91</v>
      </c>
    </row>
    <row r="7" customFormat="false" ht="23.85" hidden="false" customHeight="false" outlineLevel="0" collapsed="false">
      <c r="A7" s="12" t="n">
        <v>3</v>
      </c>
      <c r="B7" s="12" t="s">
        <v>18</v>
      </c>
      <c r="C7" s="5" t="s">
        <v>82</v>
      </c>
      <c r="D7" s="5" t="s">
        <v>98</v>
      </c>
      <c r="E7" s="13" t="n">
        <v>218.6</v>
      </c>
      <c r="F7" s="12" t="s">
        <v>99</v>
      </c>
      <c r="G7" s="12" t="n">
        <v>65</v>
      </c>
      <c r="H7" s="12" t="n">
        <v>4</v>
      </c>
      <c r="I7" s="13" t="n">
        <v>44.81</v>
      </c>
      <c r="J7" s="12" t="s">
        <v>94</v>
      </c>
      <c r="K7" s="12" t="s">
        <v>86</v>
      </c>
      <c r="L7" s="12" t="s">
        <v>100</v>
      </c>
      <c r="M7" s="5" t="s">
        <v>101</v>
      </c>
      <c r="N7" s="5" t="s">
        <v>102</v>
      </c>
      <c r="O7" s="5" t="s">
        <v>103</v>
      </c>
      <c r="P7" s="12" t="n">
        <v>28</v>
      </c>
      <c r="Q7" s="12" t="s">
        <v>91</v>
      </c>
    </row>
    <row r="8" customFormat="false" ht="23.85" hidden="false" customHeight="false" outlineLevel="0" collapsed="false">
      <c r="A8" s="12" t="n">
        <v>4</v>
      </c>
      <c r="B8" s="12" t="s">
        <v>18</v>
      </c>
      <c r="C8" s="5" t="s">
        <v>82</v>
      </c>
      <c r="D8" s="5" t="s">
        <v>104</v>
      </c>
      <c r="E8" s="13" t="n">
        <v>155.1</v>
      </c>
      <c r="F8" s="12" t="s">
        <v>105</v>
      </c>
      <c r="G8" s="12" t="n">
        <v>283</v>
      </c>
      <c r="H8" s="12" t="n">
        <v>4</v>
      </c>
      <c r="I8" s="13" t="n">
        <v>59.26</v>
      </c>
      <c r="J8" s="12" t="s">
        <v>106</v>
      </c>
      <c r="K8" s="12" t="s">
        <v>86</v>
      </c>
      <c r="L8" s="12" t="s">
        <v>107</v>
      </c>
      <c r="M8" s="5" t="s">
        <v>88</v>
      </c>
      <c r="N8" s="5" t="s">
        <v>108</v>
      </c>
      <c r="O8" s="5" t="s">
        <v>90</v>
      </c>
      <c r="P8" s="12" t="n">
        <v>28</v>
      </c>
      <c r="Q8" s="12" t="s">
        <v>91</v>
      </c>
    </row>
    <row r="9" customFormat="false" ht="23.85" hidden="false" customHeight="false" outlineLevel="0" collapsed="false">
      <c r="A9" s="12" t="n">
        <v>5</v>
      </c>
      <c r="B9" s="12" t="s">
        <v>18</v>
      </c>
      <c r="C9" s="5" t="s">
        <v>109</v>
      </c>
      <c r="D9" s="5" t="s">
        <v>110</v>
      </c>
      <c r="E9" s="13" t="n">
        <v>213</v>
      </c>
      <c r="F9" s="12" t="s">
        <v>111</v>
      </c>
      <c r="G9" s="12" t="n">
        <v>380</v>
      </c>
      <c r="H9" s="12" t="n">
        <v>5</v>
      </c>
      <c r="I9" s="13" t="n">
        <v>79.66</v>
      </c>
      <c r="J9" s="12" t="s">
        <v>94</v>
      </c>
      <c r="K9" s="12" t="s">
        <v>86</v>
      </c>
      <c r="L9" s="12" t="s">
        <v>112</v>
      </c>
      <c r="M9" s="5" t="s">
        <v>113</v>
      </c>
      <c r="N9" s="5" t="s">
        <v>108</v>
      </c>
      <c r="O9" s="5" t="s">
        <v>114</v>
      </c>
      <c r="P9" s="12" t="n">
        <v>28</v>
      </c>
      <c r="Q9" s="12" t="s">
        <v>115</v>
      </c>
    </row>
    <row r="10" customFormat="false" ht="23.85" hidden="false" customHeight="false" outlineLevel="0" collapsed="false">
      <c r="A10" s="12" t="n">
        <v>6</v>
      </c>
      <c r="B10" s="12" t="s">
        <v>18</v>
      </c>
      <c r="C10" s="5" t="s">
        <v>116</v>
      </c>
      <c r="D10" s="5" t="s">
        <v>117</v>
      </c>
      <c r="E10" s="13" t="n">
        <v>143.2</v>
      </c>
      <c r="F10" s="12" t="s">
        <v>118</v>
      </c>
      <c r="G10" s="12" t="n">
        <v>365</v>
      </c>
      <c r="H10" s="12" t="n">
        <v>5</v>
      </c>
      <c r="I10" s="13" t="n">
        <v>35.26</v>
      </c>
      <c r="J10" s="12" t="s">
        <v>94</v>
      </c>
      <c r="K10" s="12" t="s">
        <v>86</v>
      </c>
      <c r="L10" s="12" t="s">
        <v>119</v>
      </c>
      <c r="M10" s="5" t="s">
        <v>120</v>
      </c>
      <c r="N10" s="5" t="s">
        <v>121</v>
      </c>
      <c r="O10" s="5" t="s">
        <v>122</v>
      </c>
      <c r="P10" s="12" t="n">
        <v>28</v>
      </c>
      <c r="Q10" s="12" t="s">
        <v>115</v>
      </c>
    </row>
    <row r="11" customFormat="false" ht="23.85" hidden="false" customHeight="false" outlineLevel="0" collapsed="false">
      <c r="A11" s="12" t="n">
        <v>7</v>
      </c>
      <c r="B11" s="12" t="s">
        <v>18</v>
      </c>
      <c r="C11" s="5" t="s">
        <v>82</v>
      </c>
      <c r="D11" s="5" t="s">
        <v>123</v>
      </c>
      <c r="E11" s="13" t="n">
        <v>209.7</v>
      </c>
      <c r="F11" s="12" t="s">
        <v>124</v>
      </c>
      <c r="G11" s="12" t="n">
        <v>389</v>
      </c>
      <c r="H11" s="12" t="n">
        <v>4</v>
      </c>
      <c r="I11" s="13" t="n">
        <v>13.69</v>
      </c>
      <c r="J11" s="12" t="s">
        <v>85</v>
      </c>
      <c r="K11" s="12" t="s">
        <v>86</v>
      </c>
      <c r="L11" s="12" t="s">
        <v>125</v>
      </c>
      <c r="M11" s="5" t="s">
        <v>120</v>
      </c>
      <c r="N11" s="5" t="s">
        <v>126</v>
      </c>
      <c r="O11" s="5" t="s">
        <v>127</v>
      </c>
      <c r="P11" s="12" t="n">
        <v>28</v>
      </c>
      <c r="Q11" s="12" t="s">
        <v>91</v>
      </c>
    </row>
    <row r="12" customFormat="false" ht="23.85" hidden="false" customHeight="false" outlineLevel="0" collapsed="false">
      <c r="A12" s="12" t="n">
        <v>8</v>
      </c>
      <c r="B12" s="12" t="s">
        <v>18</v>
      </c>
      <c r="C12" s="5" t="s">
        <v>109</v>
      </c>
      <c r="D12" s="5" t="s">
        <v>128</v>
      </c>
      <c r="E12" s="13" t="n">
        <v>205.5</v>
      </c>
      <c r="F12" s="12" t="s">
        <v>129</v>
      </c>
      <c r="G12" s="12" t="n">
        <v>153</v>
      </c>
      <c r="H12" s="12" t="n">
        <v>5</v>
      </c>
      <c r="I12" s="13" t="n">
        <v>22.41</v>
      </c>
      <c r="J12" s="12" t="s">
        <v>94</v>
      </c>
      <c r="K12" s="12" t="s">
        <v>86</v>
      </c>
      <c r="L12" s="12" t="s">
        <v>130</v>
      </c>
      <c r="M12" s="5" t="s">
        <v>131</v>
      </c>
      <c r="N12" s="5" t="s">
        <v>102</v>
      </c>
      <c r="O12" s="5" t="s">
        <v>132</v>
      </c>
      <c r="P12" s="12" t="n">
        <v>28</v>
      </c>
      <c r="Q12" s="12" t="s">
        <v>115</v>
      </c>
    </row>
    <row r="13" customFormat="false" ht="23.85" hidden="false" customHeight="false" outlineLevel="0" collapsed="false">
      <c r="A13" s="12" t="n">
        <v>9</v>
      </c>
      <c r="B13" s="12" t="s">
        <v>18</v>
      </c>
      <c r="C13" s="5" t="s">
        <v>116</v>
      </c>
      <c r="D13" s="5" t="s">
        <v>133</v>
      </c>
      <c r="E13" s="13" t="n">
        <v>114.7</v>
      </c>
      <c r="F13" s="12" t="s">
        <v>134</v>
      </c>
      <c r="G13" s="12" t="n">
        <v>276</v>
      </c>
      <c r="H13" s="12" t="n">
        <v>3</v>
      </c>
      <c r="I13" s="13" t="n">
        <v>64.05</v>
      </c>
      <c r="J13" s="12" t="s">
        <v>94</v>
      </c>
      <c r="K13" s="12" t="s">
        <v>86</v>
      </c>
      <c r="L13" s="12" t="s">
        <v>135</v>
      </c>
      <c r="M13" s="5" t="s">
        <v>136</v>
      </c>
      <c r="N13" s="5" t="s">
        <v>137</v>
      </c>
      <c r="O13" s="5" t="s">
        <v>138</v>
      </c>
      <c r="P13" s="12" t="n">
        <v>28</v>
      </c>
      <c r="Q13" s="12" t="s">
        <v>115</v>
      </c>
    </row>
    <row r="14" customFormat="false" ht="15" hidden="false" customHeight="false" outlineLevel="0" collapsed="false">
      <c r="A14" s="12" t="n">
        <v>10</v>
      </c>
      <c r="B14" s="12" t="s">
        <v>20</v>
      </c>
      <c r="C14" s="5" t="s">
        <v>139</v>
      </c>
      <c r="D14" s="5" t="s">
        <v>140</v>
      </c>
      <c r="E14" s="13" t="n">
        <v>128.2</v>
      </c>
      <c r="F14" s="12" t="s">
        <v>141</v>
      </c>
      <c r="G14" s="12" t="n">
        <v>255</v>
      </c>
      <c r="H14" s="12" t="n">
        <v>4</v>
      </c>
      <c r="I14" s="13" t="n">
        <v>40.77</v>
      </c>
      <c r="J14" s="12" t="s">
        <v>85</v>
      </c>
      <c r="K14" s="12" t="s">
        <v>86</v>
      </c>
      <c r="L14" s="12" t="s">
        <v>142</v>
      </c>
      <c r="M14" s="5" t="s">
        <v>143</v>
      </c>
      <c r="N14" s="5" t="s">
        <v>144</v>
      </c>
      <c r="O14" s="5" t="s">
        <v>145</v>
      </c>
      <c r="P14" s="12" t="n">
        <v>28</v>
      </c>
      <c r="Q14" s="12" t="s">
        <v>146</v>
      </c>
    </row>
    <row r="15" customFormat="false" ht="15" hidden="false" customHeight="false" outlineLevel="0" collapsed="false">
      <c r="A15" s="12" t="n">
        <v>11</v>
      </c>
      <c r="B15" s="12" t="s">
        <v>20</v>
      </c>
      <c r="C15" s="5" t="s">
        <v>139</v>
      </c>
      <c r="D15" s="5" t="s">
        <v>147</v>
      </c>
      <c r="E15" s="13" t="n">
        <v>120.6</v>
      </c>
      <c r="F15" s="12" t="s">
        <v>148</v>
      </c>
      <c r="G15" s="12" t="n">
        <v>284</v>
      </c>
      <c r="H15" s="12" t="n">
        <v>4</v>
      </c>
      <c r="I15" s="13" t="n">
        <v>30.37</v>
      </c>
      <c r="J15" s="12" t="s">
        <v>94</v>
      </c>
      <c r="K15" s="12" t="s">
        <v>86</v>
      </c>
      <c r="L15" s="12" t="s">
        <v>149</v>
      </c>
      <c r="M15" s="5" t="s">
        <v>143</v>
      </c>
      <c r="N15" s="5" t="s">
        <v>144</v>
      </c>
      <c r="O15" s="5" t="s">
        <v>145</v>
      </c>
      <c r="P15" s="12" t="n">
        <v>28</v>
      </c>
      <c r="Q15" s="12" t="s">
        <v>146</v>
      </c>
    </row>
    <row r="16" customFormat="false" ht="15" hidden="false" customHeight="false" outlineLevel="0" collapsed="false">
      <c r="A16" s="12" t="n">
        <v>12</v>
      </c>
      <c r="B16" s="12" t="s">
        <v>20</v>
      </c>
      <c r="C16" s="5" t="s">
        <v>139</v>
      </c>
      <c r="D16" s="5" t="s">
        <v>150</v>
      </c>
      <c r="E16" s="13" t="n">
        <v>120.6</v>
      </c>
      <c r="F16" s="12" t="s">
        <v>151</v>
      </c>
      <c r="G16" s="12" t="n">
        <v>457</v>
      </c>
      <c r="H16" s="12" t="n">
        <v>4</v>
      </c>
      <c r="I16" s="13" t="n">
        <v>31.1</v>
      </c>
      <c r="J16" s="12" t="s">
        <v>94</v>
      </c>
      <c r="K16" s="12" t="s">
        <v>86</v>
      </c>
      <c r="L16" s="12" t="s">
        <v>152</v>
      </c>
      <c r="M16" s="5" t="s">
        <v>143</v>
      </c>
      <c r="N16" s="5" t="s">
        <v>144</v>
      </c>
      <c r="O16" s="5" t="s">
        <v>145</v>
      </c>
      <c r="P16" s="12" t="n">
        <v>28</v>
      </c>
      <c r="Q16" s="12" t="s">
        <v>146</v>
      </c>
    </row>
    <row r="17" customFormat="false" ht="15" hidden="false" customHeight="false" outlineLevel="0" collapsed="false">
      <c r="A17" s="12" t="n">
        <v>13</v>
      </c>
      <c r="B17" s="12" t="s">
        <v>20</v>
      </c>
      <c r="C17" s="5" t="s">
        <v>139</v>
      </c>
      <c r="D17" s="5" t="s">
        <v>153</v>
      </c>
      <c r="E17" s="13" t="n">
        <v>119.7</v>
      </c>
      <c r="F17" s="12" t="s">
        <v>154</v>
      </c>
      <c r="G17" s="12" t="n">
        <v>60</v>
      </c>
      <c r="H17" s="12" t="n">
        <v>5</v>
      </c>
      <c r="I17" s="13" t="n">
        <v>20.49</v>
      </c>
      <c r="J17" s="12" t="s">
        <v>94</v>
      </c>
      <c r="K17" s="12" t="s">
        <v>86</v>
      </c>
      <c r="L17" s="12" t="s">
        <v>155</v>
      </c>
      <c r="M17" s="5" t="s">
        <v>156</v>
      </c>
      <c r="N17" s="5" t="s">
        <v>157</v>
      </c>
      <c r="O17" s="5" t="s">
        <v>158</v>
      </c>
      <c r="P17" s="12" t="n">
        <v>28</v>
      </c>
      <c r="Q17" s="12" t="s">
        <v>146</v>
      </c>
    </row>
    <row r="18" customFormat="false" ht="15" hidden="false" customHeight="false" outlineLevel="0" collapsed="false">
      <c r="A18" s="12" t="n">
        <v>14</v>
      </c>
      <c r="B18" s="12" t="s">
        <v>20</v>
      </c>
      <c r="C18" s="5" t="s">
        <v>139</v>
      </c>
      <c r="D18" s="5" t="s">
        <v>159</v>
      </c>
      <c r="E18" s="13" t="n">
        <v>118.8</v>
      </c>
      <c r="F18" s="12" t="s">
        <v>160</v>
      </c>
      <c r="G18" s="12" t="n">
        <v>138</v>
      </c>
      <c r="H18" s="12" t="n">
        <v>5</v>
      </c>
      <c r="I18" s="13" t="n">
        <v>39.66</v>
      </c>
      <c r="J18" s="12" t="s">
        <v>94</v>
      </c>
      <c r="K18" s="12" t="s">
        <v>86</v>
      </c>
      <c r="L18" s="12" t="s">
        <v>161</v>
      </c>
      <c r="M18" s="5" t="s">
        <v>162</v>
      </c>
      <c r="N18" s="5" t="s">
        <v>163</v>
      </c>
      <c r="O18" s="5" t="s">
        <v>164</v>
      </c>
      <c r="P18" s="12" t="n">
        <v>28</v>
      </c>
      <c r="Q18" s="12" t="s">
        <v>146</v>
      </c>
    </row>
    <row r="19" customFormat="false" ht="15" hidden="false" customHeight="false" outlineLevel="0" collapsed="false">
      <c r="A19" s="12" t="n">
        <v>15</v>
      </c>
      <c r="B19" s="12" t="s">
        <v>20</v>
      </c>
      <c r="C19" s="5" t="s">
        <v>139</v>
      </c>
      <c r="D19" s="5" t="s">
        <v>165</v>
      </c>
      <c r="E19" s="13" t="n">
        <v>117</v>
      </c>
      <c r="F19" s="12" t="s">
        <v>166</v>
      </c>
      <c r="G19" s="12" t="n">
        <v>291</v>
      </c>
      <c r="H19" s="12" t="n">
        <v>4</v>
      </c>
      <c r="I19" s="13" t="n">
        <v>27.03</v>
      </c>
      <c r="J19" s="12" t="s">
        <v>94</v>
      </c>
      <c r="K19" s="12" t="s">
        <v>86</v>
      </c>
      <c r="L19" s="12" t="s">
        <v>167</v>
      </c>
      <c r="M19" s="5" t="s">
        <v>168</v>
      </c>
      <c r="N19" s="5" t="s">
        <v>169</v>
      </c>
      <c r="O19" s="5" t="s">
        <v>170</v>
      </c>
      <c r="P19" s="12" t="n">
        <v>28</v>
      </c>
      <c r="Q19" s="12" t="s">
        <v>146</v>
      </c>
    </row>
    <row r="20" customFormat="false" ht="15" hidden="false" customHeight="false" outlineLevel="0" collapsed="false">
      <c r="A20" s="12" t="n">
        <v>16</v>
      </c>
      <c r="B20" s="12" t="s">
        <v>20</v>
      </c>
      <c r="C20" s="5" t="s">
        <v>139</v>
      </c>
      <c r="D20" s="5" t="s">
        <v>171</v>
      </c>
      <c r="E20" s="13" t="n">
        <v>117</v>
      </c>
      <c r="F20" s="12" t="s">
        <v>172</v>
      </c>
      <c r="G20" s="12" t="n">
        <v>303</v>
      </c>
      <c r="H20" s="12" t="n">
        <v>4</v>
      </c>
      <c r="I20" s="13" t="n">
        <v>28.11</v>
      </c>
      <c r="J20" s="12" t="s">
        <v>94</v>
      </c>
      <c r="K20" s="12" t="s">
        <v>86</v>
      </c>
      <c r="L20" s="12" t="s">
        <v>173</v>
      </c>
      <c r="M20" s="5" t="s">
        <v>174</v>
      </c>
      <c r="N20" s="5" t="s">
        <v>175</v>
      </c>
      <c r="O20" s="5" t="s">
        <v>176</v>
      </c>
      <c r="P20" s="12" t="n">
        <v>28</v>
      </c>
      <c r="Q20" s="12" t="s">
        <v>146</v>
      </c>
    </row>
    <row r="21" customFormat="false" ht="15" hidden="false" customHeight="false" outlineLevel="0" collapsed="false">
      <c r="A21" s="12" t="n">
        <v>17</v>
      </c>
      <c r="B21" s="12" t="s">
        <v>20</v>
      </c>
      <c r="C21" s="5" t="s">
        <v>139</v>
      </c>
      <c r="D21" s="5" t="s">
        <v>177</v>
      </c>
      <c r="E21" s="13" t="n">
        <v>117</v>
      </c>
      <c r="F21" s="12" t="s">
        <v>178</v>
      </c>
      <c r="G21" s="12" t="n">
        <v>357</v>
      </c>
      <c r="H21" s="12" t="n">
        <v>5</v>
      </c>
      <c r="I21" s="13" t="n">
        <v>55.57</v>
      </c>
      <c r="J21" s="12" t="s">
        <v>94</v>
      </c>
      <c r="K21" s="12" t="s">
        <v>86</v>
      </c>
      <c r="L21" s="12" t="s">
        <v>179</v>
      </c>
      <c r="M21" s="5" t="s">
        <v>174</v>
      </c>
      <c r="N21" s="5" t="s">
        <v>175</v>
      </c>
      <c r="O21" s="5" t="s">
        <v>176</v>
      </c>
      <c r="P21" s="12" t="n">
        <v>28</v>
      </c>
      <c r="Q21" s="12" t="s">
        <v>146</v>
      </c>
    </row>
    <row r="22" customFormat="false" ht="15" hidden="false" customHeight="false" outlineLevel="0" collapsed="false">
      <c r="A22" s="12" t="n">
        <v>18</v>
      </c>
      <c r="B22" s="12" t="s">
        <v>20</v>
      </c>
      <c r="C22" s="5" t="s">
        <v>139</v>
      </c>
      <c r="D22" s="5" t="s">
        <v>180</v>
      </c>
      <c r="E22" s="13" t="n">
        <v>115.8</v>
      </c>
      <c r="F22" s="12" t="s">
        <v>181</v>
      </c>
      <c r="G22" s="12" t="n">
        <v>309</v>
      </c>
      <c r="H22" s="12" t="n">
        <v>4</v>
      </c>
      <c r="I22" s="13" t="n">
        <v>15</v>
      </c>
      <c r="J22" s="12" t="s">
        <v>85</v>
      </c>
      <c r="K22" s="12" t="s">
        <v>86</v>
      </c>
      <c r="L22" s="12" t="s">
        <v>182</v>
      </c>
      <c r="M22" s="5" t="s">
        <v>174</v>
      </c>
      <c r="N22" s="5" t="s">
        <v>175</v>
      </c>
      <c r="O22" s="5" t="s">
        <v>176</v>
      </c>
      <c r="P22" s="12" t="n">
        <v>28</v>
      </c>
      <c r="Q22" s="12" t="s">
        <v>146</v>
      </c>
    </row>
    <row r="23" customFormat="false" ht="15" hidden="false" customHeight="false" outlineLevel="0" collapsed="false">
      <c r="A23" s="12" t="n">
        <v>19</v>
      </c>
      <c r="B23" s="12" t="s">
        <v>20</v>
      </c>
      <c r="C23" s="5" t="s">
        <v>139</v>
      </c>
      <c r="D23" s="5" t="s">
        <v>183</v>
      </c>
      <c r="E23" s="13" t="n">
        <v>115.8</v>
      </c>
      <c r="F23" s="12" t="s">
        <v>184</v>
      </c>
      <c r="G23" s="12" t="n">
        <v>344</v>
      </c>
      <c r="H23" s="12" t="n">
        <v>5</v>
      </c>
      <c r="I23" s="13" t="n">
        <v>55.91</v>
      </c>
      <c r="J23" s="12" t="s">
        <v>94</v>
      </c>
      <c r="K23" s="12" t="s">
        <v>86</v>
      </c>
      <c r="L23" s="12" t="s">
        <v>185</v>
      </c>
      <c r="M23" s="5" t="s">
        <v>174</v>
      </c>
      <c r="N23" s="5" t="s">
        <v>175</v>
      </c>
      <c r="O23" s="5" t="s">
        <v>176</v>
      </c>
      <c r="P23" s="12" t="n">
        <v>28</v>
      </c>
      <c r="Q23" s="12" t="s">
        <v>146</v>
      </c>
    </row>
    <row r="24" customFormat="false" ht="15" hidden="false" customHeight="false" outlineLevel="0" collapsed="false">
      <c r="A24" s="12" t="n">
        <v>20</v>
      </c>
      <c r="B24" s="12" t="s">
        <v>20</v>
      </c>
      <c r="C24" s="5" t="s">
        <v>139</v>
      </c>
      <c r="D24" s="5" t="s">
        <v>186</v>
      </c>
      <c r="E24" s="13" t="n">
        <v>111.2</v>
      </c>
      <c r="F24" s="12" t="s">
        <v>187</v>
      </c>
      <c r="G24" s="12" t="n">
        <v>262</v>
      </c>
      <c r="H24" s="12" t="n">
        <v>4</v>
      </c>
      <c r="I24" s="13" t="n">
        <v>34.83</v>
      </c>
      <c r="J24" s="12" t="s">
        <v>94</v>
      </c>
      <c r="K24" s="12" t="s">
        <v>86</v>
      </c>
      <c r="L24" s="12" t="s">
        <v>188</v>
      </c>
      <c r="M24" s="5" t="s">
        <v>168</v>
      </c>
      <c r="N24" s="5" t="s">
        <v>169</v>
      </c>
      <c r="O24" s="5" t="s">
        <v>170</v>
      </c>
      <c r="P24" s="12" t="n">
        <v>28</v>
      </c>
      <c r="Q24" s="12" t="s">
        <v>146</v>
      </c>
    </row>
    <row r="25" customFormat="false" ht="15" hidden="false" customHeight="false" outlineLevel="0" collapsed="false">
      <c r="A25" s="12" t="n">
        <v>21</v>
      </c>
      <c r="B25" s="12" t="s">
        <v>20</v>
      </c>
      <c r="C25" s="5" t="s">
        <v>139</v>
      </c>
      <c r="D25" s="5" t="s">
        <v>189</v>
      </c>
      <c r="E25" s="13" t="n">
        <v>110</v>
      </c>
      <c r="F25" s="12" t="s">
        <v>190</v>
      </c>
      <c r="G25" s="12" t="n">
        <v>324</v>
      </c>
      <c r="H25" s="12" t="n">
        <v>4</v>
      </c>
      <c r="I25" s="13" t="n">
        <v>11.14</v>
      </c>
      <c r="J25" s="12" t="s">
        <v>94</v>
      </c>
      <c r="K25" s="12" t="s">
        <v>86</v>
      </c>
      <c r="L25" s="12" t="s">
        <v>191</v>
      </c>
      <c r="M25" s="5" t="s">
        <v>192</v>
      </c>
      <c r="N25" s="5" t="s">
        <v>193</v>
      </c>
      <c r="O25" s="5" t="s">
        <v>194</v>
      </c>
      <c r="P25" s="12" t="n">
        <v>28</v>
      </c>
      <c r="Q25" s="12" t="s">
        <v>146</v>
      </c>
    </row>
    <row r="26" customFormat="false" ht="23.85" hidden="false" customHeight="false" outlineLevel="0" collapsed="false">
      <c r="A26" s="12" t="n">
        <v>22</v>
      </c>
      <c r="B26" s="12" t="s">
        <v>22</v>
      </c>
      <c r="C26" s="5" t="s">
        <v>195</v>
      </c>
      <c r="D26" s="5" t="s">
        <v>196</v>
      </c>
      <c r="E26" s="13" t="n">
        <v>216.7</v>
      </c>
      <c r="F26" s="12" t="s">
        <v>197</v>
      </c>
      <c r="G26" s="12" t="n">
        <v>310</v>
      </c>
      <c r="H26" s="12" t="n">
        <v>4</v>
      </c>
      <c r="I26" s="13" t="n">
        <v>28.5</v>
      </c>
      <c r="J26" s="12" t="s">
        <v>94</v>
      </c>
      <c r="K26" s="12" t="s">
        <v>86</v>
      </c>
      <c r="L26" s="12" t="s">
        <v>198</v>
      </c>
      <c r="M26" s="5" t="s">
        <v>199</v>
      </c>
      <c r="N26" s="5" t="s">
        <v>200</v>
      </c>
      <c r="O26" s="5" t="s">
        <v>201</v>
      </c>
      <c r="P26" s="12" t="n">
        <v>28</v>
      </c>
      <c r="Q26" s="12" t="s">
        <v>202</v>
      </c>
    </row>
    <row r="27" customFormat="false" ht="23.85" hidden="false" customHeight="false" outlineLevel="0" collapsed="false">
      <c r="A27" s="12" t="n">
        <v>23</v>
      </c>
      <c r="B27" s="12" t="s">
        <v>22</v>
      </c>
      <c r="C27" s="5" t="s">
        <v>195</v>
      </c>
      <c r="D27" s="5" t="s">
        <v>203</v>
      </c>
      <c r="E27" s="13" t="n">
        <v>216.7</v>
      </c>
      <c r="F27" s="12" t="s">
        <v>204</v>
      </c>
      <c r="G27" s="12" t="n">
        <v>330</v>
      </c>
      <c r="H27" s="12" t="n">
        <v>3</v>
      </c>
      <c r="I27" s="13" t="n">
        <v>33.3</v>
      </c>
      <c r="J27" s="12" t="s">
        <v>94</v>
      </c>
      <c r="K27" s="12" t="s">
        <v>86</v>
      </c>
      <c r="L27" s="12" t="s">
        <v>205</v>
      </c>
      <c r="M27" s="5" t="s">
        <v>206</v>
      </c>
      <c r="N27" s="5" t="s">
        <v>207</v>
      </c>
      <c r="O27" s="5" t="s">
        <v>208</v>
      </c>
      <c r="P27" s="12" t="n">
        <v>28</v>
      </c>
      <c r="Q27" s="12" t="s">
        <v>202</v>
      </c>
    </row>
    <row r="28" customFormat="false" ht="23.85" hidden="false" customHeight="false" outlineLevel="0" collapsed="false">
      <c r="A28" s="12" t="n">
        <v>24</v>
      </c>
      <c r="B28" s="12" t="s">
        <v>22</v>
      </c>
      <c r="C28" s="5" t="s">
        <v>209</v>
      </c>
      <c r="D28" s="5" t="s">
        <v>210</v>
      </c>
      <c r="E28" s="13" t="n">
        <v>182</v>
      </c>
      <c r="F28" s="12" t="s">
        <v>211</v>
      </c>
      <c r="G28" s="12" t="n">
        <v>375</v>
      </c>
      <c r="H28" s="12" t="n">
        <v>5</v>
      </c>
      <c r="I28" s="13" t="n">
        <v>47.57</v>
      </c>
      <c r="J28" s="12" t="s">
        <v>94</v>
      </c>
      <c r="K28" s="12" t="s">
        <v>86</v>
      </c>
      <c r="L28" s="12" t="s">
        <v>212</v>
      </c>
      <c r="M28" s="5" t="s">
        <v>213</v>
      </c>
      <c r="N28" s="5" t="s">
        <v>214</v>
      </c>
      <c r="O28" s="5" t="s">
        <v>215</v>
      </c>
      <c r="P28" s="12" t="n">
        <v>28</v>
      </c>
      <c r="Q28" s="12" t="s">
        <v>216</v>
      </c>
    </row>
    <row r="29" customFormat="false" ht="23.85" hidden="false" customHeight="false" outlineLevel="0" collapsed="false">
      <c r="A29" s="12" t="n">
        <v>25</v>
      </c>
      <c r="B29" s="12" t="s">
        <v>22</v>
      </c>
      <c r="C29" s="5" t="s">
        <v>209</v>
      </c>
      <c r="D29" s="5" t="s">
        <v>217</v>
      </c>
      <c r="E29" s="13" t="n">
        <v>182</v>
      </c>
      <c r="F29" s="12" t="s">
        <v>218</v>
      </c>
      <c r="G29" s="12" t="n">
        <v>364</v>
      </c>
      <c r="H29" s="12" t="n">
        <v>3</v>
      </c>
      <c r="I29" s="13" t="n">
        <v>25.93</v>
      </c>
      <c r="J29" s="12" t="s">
        <v>85</v>
      </c>
      <c r="K29" s="12" t="s">
        <v>86</v>
      </c>
      <c r="L29" s="12" t="s">
        <v>219</v>
      </c>
      <c r="M29" s="5" t="s">
        <v>220</v>
      </c>
      <c r="N29" s="5" t="s">
        <v>221</v>
      </c>
      <c r="O29" s="5" t="s">
        <v>222</v>
      </c>
      <c r="P29" s="12" t="n">
        <v>28</v>
      </c>
      <c r="Q29" s="12" t="s">
        <v>216</v>
      </c>
    </row>
    <row r="30" customFormat="false" ht="23.85" hidden="false" customHeight="false" outlineLevel="0" collapsed="false">
      <c r="A30" s="12" t="n">
        <v>26</v>
      </c>
      <c r="B30" s="12" t="s">
        <v>22</v>
      </c>
      <c r="C30" s="5" t="s">
        <v>209</v>
      </c>
      <c r="D30" s="5" t="s">
        <v>223</v>
      </c>
      <c r="E30" s="13" t="n">
        <v>182</v>
      </c>
      <c r="F30" s="12" t="s">
        <v>224</v>
      </c>
      <c r="G30" s="12" t="n">
        <v>374</v>
      </c>
      <c r="H30" s="12" t="n">
        <v>5</v>
      </c>
      <c r="I30" s="13" t="n">
        <v>44.76</v>
      </c>
      <c r="J30" s="12" t="s">
        <v>94</v>
      </c>
      <c r="K30" s="12" t="s">
        <v>86</v>
      </c>
      <c r="L30" s="12" t="s">
        <v>225</v>
      </c>
      <c r="M30" s="5" t="s">
        <v>226</v>
      </c>
      <c r="N30" s="5" t="s">
        <v>227</v>
      </c>
      <c r="O30" s="5" t="s">
        <v>222</v>
      </c>
      <c r="P30" s="12" t="n">
        <v>28</v>
      </c>
      <c r="Q30" s="12" t="s">
        <v>216</v>
      </c>
    </row>
    <row r="31" customFormat="false" ht="23.85" hidden="false" customHeight="false" outlineLevel="0" collapsed="false">
      <c r="A31" s="12" t="n">
        <v>27</v>
      </c>
      <c r="B31" s="12" t="s">
        <v>22</v>
      </c>
      <c r="C31" s="5" t="s">
        <v>209</v>
      </c>
      <c r="D31" s="5" t="s">
        <v>228</v>
      </c>
      <c r="E31" s="13" t="n">
        <v>215</v>
      </c>
      <c r="F31" s="12" t="s">
        <v>229</v>
      </c>
      <c r="G31" s="12" t="n">
        <v>382</v>
      </c>
      <c r="H31" s="12" t="n">
        <v>4</v>
      </c>
      <c r="I31" s="13" t="n">
        <v>42.21</v>
      </c>
      <c r="J31" s="12" t="s">
        <v>94</v>
      </c>
      <c r="K31" s="12" t="s">
        <v>86</v>
      </c>
      <c r="L31" s="12" t="s">
        <v>230</v>
      </c>
      <c r="M31" s="5" t="s">
        <v>231</v>
      </c>
      <c r="N31" s="5" t="s">
        <v>232</v>
      </c>
      <c r="O31" s="5" t="s">
        <v>233</v>
      </c>
      <c r="P31" s="12" t="n">
        <v>28</v>
      </c>
      <c r="Q31" s="12" t="s">
        <v>216</v>
      </c>
    </row>
    <row r="32" customFormat="false" ht="23.85" hidden="false" customHeight="false" outlineLevel="0" collapsed="false">
      <c r="A32" s="12" t="n">
        <v>28</v>
      </c>
      <c r="B32" s="12" t="s">
        <v>22</v>
      </c>
      <c r="C32" s="5" t="s">
        <v>195</v>
      </c>
      <c r="D32" s="5" t="s">
        <v>234</v>
      </c>
      <c r="E32" s="13" t="n">
        <v>139.6</v>
      </c>
      <c r="F32" s="12" t="s">
        <v>235</v>
      </c>
      <c r="G32" s="12" t="n">
        <v>340</v>
      </c>
      <c r="H32" s="12" t="n">
        <v>5</v>
      </c>
      <c r="I32" s="13" t="n">
        <v>70.07</v>
      </c>
      <c r="J32" s="12" t="s">
        <v>94</v>
      </c>
      <c r="K32" s="12" t="s">
        <v>86</v>
      </c>
      <c r="L32" s="12" t="s">
        <v>236</v>
      </c>
      <c r="M32" s="5" t="s">
        <v>237</v>
      </c>
      <c r="N32" s="5" t="s">
        <v>238</v>
      </c>
      <c r="O32" s="5" t="s">
        <v>239</v>
      </c>
      <c r="P32" s="12" t="n">
        <v>28</v>
      </c>
      <c r="Q32" s="12" t="s">
        <v>202</v>
      </c>
    </row>
    <row r="33" customFormat="false" ht="23.85" hidden="false" customHeight="false" outlineLevel="0" collapsed="false">
      <c r="A33" s="12" t="n">
        <v>29</v>
      </c>
      <c r="B33" s="12" t="s">
        <v>22</v>
      </c>
      <c r="C33" s="5" t="s">
        <v>195</v>
      </c>
      <c r="D33" s="5" t="s">
        <v>240</v>
      </c>
      <c r="E33" s="13" t="n">
        <v>138.4</v>
      </c>
      <c r="F33" s="12" t="s">
        <v>241</v>
      </c>
      <c r="G33" s="12" t="n">
        <v>308</v>
      </c>
      <c r="H33" s="12" t="n">
        <v>3</v>
      </c>
      <c r="I33" s="13" t="n">
        <v>29.52</v>
      </c>
      <c r="J33" s="12" t="s">
        <v>94</v>
      </c>
      <c r="K33" s="12" t="s">
        <v>86</v>
      </c>
      <c r="L33" s="12" t="s">
        <v>242</v>
      </c>
      <c r="M33" s="5" t="s">
        <v>206</v>
      </c>
      <c r="N33" s="5" t="s">
        <v>243</v>
      </c>
      <c r="O33" s="5" t="s">
        <v>208</v>
      </c>
      <c r="P33" s="12" t="n">
        <v>28</v>
      </c>
      <c r="Q33" s="12" t="s">
        <v>202</v>
      </c>
    </row>
    <row r="34" customFormat="false" ht="23.85" hidden="false" customHeight="false" outlineLevel="0" collapsed="false">
      <c r="A34" s="12" t="n">
        <v>30</v>
      </c>
      <c r="B34" s="12" t="s">
        <v>22</v>
      </c>
      <c r="C34" s="5" t="s">
        <v>195</v>
      </c>
      <c r="D34" s="5" t="s">
        <v>244</v>
      </c>
      <c r="E34" s="13" t="n">
        <v>137.4</v>
      </c>
      <c r="F34" s="12" t="s">
        <v>245</v>
      </c>
      <c r="G34" s="12" t="n">
        <v>363</v>
      </c>
      <c r="H34" s="12" t="n">
        <v>5</v>
      </c>
      <c r="I34" s="13" t="n">
        <v>28.8</v>
      </c>
      <c r="J34" s="12" t="s">
        <v>94</v>
      </c>
      <c r="K34" s="12" t="s">
        <v>86</v>
      </c>
      <c r="L34" s="12" t="s">
        <v>246</v>
      </c>
      <c r="M34" s="5" t="s">
        <v>206</v>
      </c>
      <c r="N34" s="5" t="s">
        <v>243</v>
      </c>
      <c r="O34" s="5" t="s">
        <v>247</v>
      </c>
      <c r="P34" s="12" t="n">
        <v>28</v>
      </c>
      <c r="Q34" s="12" t="s">
        <v>202</v>
      </c>
    </row>
    <row r="35" customFormat="false" ht="23.85" hidden="false" customHeight="false" outlineLevel="0" collapsed="false">
      <c r="A35" s="12" t="n">
        <v>31</v>
      </c>
      <c r="B35" s="12" t="s">
        <v>22</v>
      </c>
      <c r="C35" s="5" t="s">
        <v>248</v>
      </c>
      <c r="D35" s="5" t="s">
        <v>249</v>
      </c>
      <c r="E35" s="13" t="n">
        <v>187.6</v>
      </c>
      <c r="F35" s="12" t="s">
        <v>250</v>
      </c>
      <c r="G35" s="12" t="n">
        <v>334</v>
      </c>
      <c r="H35" s="12" t="n">
        <v>5</v>
      </c>
      <c r="I35" s="13" t="n">
        <v>29.64</v>
      </c>
      <c r="J35" s="12" t="s">
        <v>94</v>
      </c>
      <c r="K35" s="12" t="s">
        <v>86</v>
      </c>
      <c r="L35" s="12" t="s">
        <v>251</v>
      </c>
      <c r="M35" s="5" t="s">
        <v>252</v>
      </c>
      <c r="N35" s="5" t="s">
        <v>253</v>
      </c>
      <c r="O35" s="5" t="s">
        <v>254</v>
      </c>
      <c r="P35" s="12" t="n">
        <v>28</v>
      </c>
      <c r="Q35" s="12" t="s">
        <v>202</v>
      </c>
    </row>
    <row r="36" customFormat="false" ht="23.85" hidden="false" customHeight="false" outlineLevel="0" collapsed="false">
      <c r="A36" s="12" t="n">
        <v>32</v>
      </c>
      <c r="B36" s="12" t="s">
        <v>22</v>
      </c>
      <c r="C36" s="5" t="s">
        <v>195</v>
      </c>
      <c r="D36" s="5" t="s">
        <v>255</v>
      </c>
      <c r="E36" s="13" t="n">
        <v>98.1</v>
      </c>
      <c r="F36" s="12" t="s">
        <v>256</v>
      </c>
      <c r="G36" s="12" t="n">
        <v>77</v>
      </c>
      <c r="H36" s="12" t="n">
        <v>5</v>
      </c>
      <c r="I36" s="13" t="n">
        <v>25.8</v>
      </c>
      <c r="J36" s="12" t="s">
        <v>94</v>
      </c>
      <c r="K36" s="12" t="s">
        <v>86</v>
      </c>
      <c r="L36" s="12" t="s">
        <v>257</v>
      </c>
      <c r="M36" s="5" t="s">
        <v>258</v>
      </c>
      <c r="N36" s="5" t="s">
        <v>259</v>
      </c>
      <c r="O36" s="5" t="s">
        <v>260</v>
      </c>
      <c r="P36" s="12" t="n">
        <v>28</v>
      </c>
      <c r="Q36" s="12" t="s">
        <v>202</v>
      </c>
    </row>
    <row r="39" customFormat="false" ht="15" hidden="false" customHeight="false" outlineLevel="0" collapsed="false">
      <c r="B39" s="14" t="s">
        <v>261</v>
      </c>
    </row>
    <row r="40" customFormat="false" ht="24" hidden="false" customHeight="true" outlineLevel="0" collapsed="false">
      <c r="A40" s="8"/>
      <c r="B40" s="8" t="s">
        <v>14</v>
      </c>
      <c r="C40" s="8" t="s">
        <v>15</v>
      </c>
      <c r="D40" s="8" t="s">
        <v>262</v>
      </c>
    </row>
    <row r="41" customFormat="false" ht="15" hidden="false" customHeight="false" outlineLevel="0" collapsed="false">
      <c r="B41" s="15" t="s">
        <v>18</v>
      </c>
      <c r="C41" s="15" t="n">
        <f aca="false">COUNTIF($B$5:$B$36,B41)</f>
        <v>9</v>
      </c>
      <c r="D41" s="16" t="n">
        <f aca="false">SUMIF($B$5:$B$36,B41,$E$5:$E$36)</f>
        <v>1571.1</v>
      </c>
    </row>
    <row r="42" customFormat="false" ht="15" hidden="false" customHeight="false" outlineLevel="0" collapsed="false">
      <c r="B42" s="15" t="s">
        <v>20</v>
      </c>
      <c r="C42" s="15" t="n">
        <f aca="false">COUNTIF($B$5:$B$36,B42)</f>
        <v>12</v>
      </c>
      <c r="D42" s="16" t="n">
        <f aca="false">SUMIF($B$5:$B$36,B42,$E$5:$E$36)</f>
        <v>1411.7</v>
      </c>
    </row>
    <row r="43" customFormat="false" ht="15" hidden="false" customHeight="false" outlineLevel="0" collapsed="false">
      <c r="B43" s="15" t="s">
        <v>22</v>
      </c>
      <c r="C43" s="15" t="n">
        <f aca="false">COUNTIF($B$5:$B$36,B43)</f>
        <v>11</v>
      </c>
      <c r="D43" s="16" t="n">
        <f aca="false">SUMIF($B$5:$B$36,B43,$E$5:$E$36)</f>
        <v>1895.5</v>
      </c>
    </row>
    <row r="44" customFormat="false" ht="15" hidden="false" customHeight="false" outlineLevel="0" collapsed="false">
      <c r="B44" s="14" t="s">
        <v>263</v>
      </c>
      <c r="C44" s="14" t="n">
        <f aca="false">SUM(C41:C43)</f>
        <v>32</v>
      </c>
      <c r="D44" s="17" t="n">
        <f aca="false">SUM(D41:D43)</f>
        <v>4878.3</v>
      </c>
    </row>
    <row r="47" customFormat="false" ht="15" hidden="false" customHeight="false" outlineLevel="0" collapsed="false">
      <c r="B47" s="14" t="s">
        <v>264</v>
      </c>
    </row>
    <row r="48" customFormat="false" ht="43.5" hidden="false" customHeight="true" outlineLevel="0" collapsed="false">
      <c r="A48" s="8"/>
      <c r="B48" s="8" t="s">
        <v>265</v>
      </c>
      <c r="C48" s="8" t="s">
        <v>266</v>
      </c>
      <c r="D48" s="8" t="s">
        <v>267</v>
      </c>
      <c r="E48" s="8" t="s">
        <v>268</v>
      </c>
      <c r="F48" s="8" t="s">
        <v>269</v>
      </c>
      <c r="G48" s="8" t="s">
        <v>270</v>
      </c>
      <c r="H48" s="8" t="s">
        <v>271</v>
      </c>
      <c r="I48" s="8" t="s">
        <v>272</v>
      </c>
      <c r="J48" s="8" t="s">
        <v>273</v>
      </c>
      <c r="K48" s="8" t="s">
        <v>274</v>
      </c>
      <c r="L48" s="8" t="s">
        <v>275</v>
      </c>
      <c r="M48" s="8" t="s">
        <v>276</v>
      </c>
      <c r="N48" s="8" t="s">
        <v>277</v>
      </c>
      <c r="O48" s="8" t="s">
        <v>278</v>
      </c>
    </row>
    <row r="49" customFormat="false" ht="15" hidden="false" customHeight="false" outlineLevel="0" collapsed="false">
      <c r="A49" s="15"/>
      <c r="B49" s="18" t="s">
        <v>279</v>
      </c>
      <c r="C49" s="18" t="n">
        <v>7</v>
      </c>
      <c r="D49" s="18" t="n">
        <v>10</v>
      </c>
      <c r="E49" s="18" t="n">
        <v>180</v>
      </c>
      <c r="F49" s="18" t="n">
        <v>220</v>
      </c>
      <c r="G49" s="18" t="n">
        <v>67</v>
      </c>
      <c r="H49" s="18" t="n">
        <v>32</v>
      </c>
      <c r="I49" s="18" t="n">
        <f aca="false">G49+H49</f>
        <v>99</v>
      </c>
      <c r="J49" s="18" t="n">
        <v>0</v>
      </c>
      <c r="K49" s="19" t="n">
        <v>219.1</v>
      </c>
      <c r="L49" s="18" t="n">
        <v>3</v>
      </c>
      <c r="M49" s="18" t="n">
        <v>9</v>
      </c>
      <c r="N49" s="18" t="n">
        <v>11</v>
      </c>
      <c r="O49" s="18" t="n">
        <v>12</v>
      </c>
    </row>
    <row r="50" customFormat="false" ht="15" hidden="false" customHeight="false" outlineLevel="0" collapsed="false">
      <c r="A50" s="15"/>
      <c r="B50" s="15" t="s">
        <v>280</v>
      </c>
      <c r="C50" s="15" t="n">
        <v>7</v>
      </c>
      <c r="D50" s="15" t="n">
        <v>10</v>
      </c>
      <c r="E50" s="15" t="n">
        <v>200</v>
      </c>
      <c r="F50" s="15" t="n">
        <v>250</v>
      </c>
      <c r="G50" s="15" t="n">
        <v>64</v>
      </c>
      <c r="H50" s="15" t="n">
        <v>20</v>
      </c>
      <c r="I50" s="15" t="n">
        <f aca="false">G50+H50</f>
        <v>84</v>
      </c>
      <c r="J50" s="15" t="n">
        <v>0</v>
      </c>
      <c r="K50" s="20" t="n">
        <v>249.6</v>
      </c>
      <c r="L50" s="15" t="n">
        <v>3</v>
      </c>
      <c r="M50" s="15" t="n">
        <v>8</v>
      </c>
      <c r="N50" s="15" t="n">
        <v>10</v>
      </c>
      <c r="O50" s="15" t="n">
        <v>2</v>
      </c>
    </row>
    <row r="51" customFormat="false" ht="15" hidden="false" customHeight="false" outlineLevel="0" collapsed="false">
      <c r="A51" s="15"/>
      <c r="B51" s="15" t="s">
        <v>281</v>
      </c>
      <c r="C51" s="15" t="n">
        <v>10</v>
      </c>
      <c r="D51" s="15" t="n">
        <v>15</v>
      </c>
      <c r="E51" s="15" t="n">
        <v>180</v>
      </c>
      <c r="F51" s="15" t="n">
        <v>220</v>
      </c>
      <c r="G51" s="15" t="n">
        <v>72</v>
      </c>
      <c r="H51" s="15" t="n">
        <v>20</v>
      </c>
      <c r="I51" s="15" t="n">
        <f aca="false">G51+H51</f>
        <v>92</v>
      </c>
      <c r="J51" s="15" t="n">
        <v>0</v>
      </c>
      <c r="K51" s="20" t="n">
        <v>219.1</v>
      </c>
      <c r="L51" s="15" t="n">
        <v>3</v>
      </c>
      <c r="M51" s="15" t="n">
        <v>9</v>
      </c>
      <c r="N51" s="15" t="n">
        <v>9</v>
      </c>
      <c r="O51" s="15" t="n">
        <v>2</v>
      </c>
    </row>
    <row r="52" customFormat="false" ht="15" hidden="false" customHeight="false" outlineLevel="0" collapsed="false">
      <c r="A52" s="15"/>
      <c r="B52" s="15" t="s">
        <v>282</v>
      </c>
      <c r="C52" s="15" t="n">
        <v>7</v>
      </c>
      <c r="D52" s="15" t="n">
        <v>10</v>
      </c>
      <c r="E52" s="15" t="n">
        <v>160</v>
      </c>
      <c r="F52" s="15" t="n">
        <v>200</v>
      </c>
      <c r="G52" s="15" t="n">
        <v>66</v>
      </c>
      <c r="H52" s="15" t="n">
        <v>40</v>
      </c>
      <c r="I52" s="15" t="n">
        <f aca="false">G52+H52</f>
        <v>106</v>
      </c>
      <c r="J52" s="15" t="n">
        <v>0</v>
      </c>
      <c r="K52" s="20" t="n">
        <v>199.9</v>
      </c>
      <c r="L52" s="15" t="n">
        <v>3</v>
      </c>
      <c r="M52" s="15" t="n">
        <v>10</v>
      </c>
      <c r="N52" s="15" t="n">
        <v>16</v>
      </c>
      <c r="O52" s="15" t="n">
        <v>14</v>
      </c>
    </row>
    <row r="53" customFormat="false" ht="15" hidden="false" customHeight="false" outlineLevel="0" collapsed="false">
      <c r="A53" s="15"/>
      <c r="B53" s="15" t="s">
        <v>283</v>
      </c>
      <c r="C53" s="15" t="n">
        <v>10</v>
      </c>
      <c r="D53" s="15" t="n">
        <v>15</v>
      </c>
      <c r="E53" s="15" t="n">
        <v>200</v>
      </c>
      <c r="F53" s="15" t="n">
        <v>250</v>
      </c>
      <c r="G53" s="15" t="n">
        <v>67</v>
      </c>
      <c r="H53" s="15" t="n">
        <v>17</v>
      </c>
      <c r="I53" s="15" t="n">
        <f aca="false">G53+H53</f>
        <v>84</v>
      </c>
      <c r="J53" s="15" t="n">
        <v>0</v>
      </c>
      <c r="K53" s="20" t="n">
        <v>249.5</v>
      </c>
      <c r="L53" s="15" t="n">
        <v>3</v>
      </c>
      <c r="M53" s="15" t="n">
        <v>8</v>
      </c>
      <c r="N53" s="15" t="n">
        <v>9</v>
      </c>
      <c r="O53" s="15" t="n">
        <v>0</v>
      </c>
    </row>
    <row r="54" customFormat="false" ht="15" hidden="false" customHeight="false" outlineLevel="0" collapsed="false">
      <c r="A54" s="15"/>
      <c r="B54" s="21" t="s">
        <v>284</v>
      </c>
      <c r="C54" s="21" t="n">
        <v>7</v>
      </c>
      <c r="D54" s="21" t="n">
        <v>10</v>
      </c>
      <c r="E54" s="21" t="n">
        <v>180</v>
      </c>
      <c r="F54" s="21" t="n">
        <v>220</v>
      </c>
      <c r="G54" s="21" t="n">
        <v>86</v>
      </c>
      <c r="H54" s="21" t="n">
        <v>17</v>
      </c>
      <c r="I54" s="21" t="n">
        <f aca="false">G54+H54</f>
        <v>103</v>
      </c>
      <c r="J54" s="21" t="n">
        <v>4</v>
      </c>
      <c r="K54" s="22" t="n">
        <v>248.6</v>
      </c>
      <c r="L54" s="21" t="n">
        <v>19</v>
      </c>
      <c r="M54" s="21" t="n">
        <v>8</v>
      </c>
      <c r="N54" s="21" t="n">
        <v>8</v>
      </c>
      <c r="O54" s="21" t="n">
        <v>1</v>
      </c>
    </row>
    <row r="55" customFormat="false" ht="15" hidden="false" customHeight="false" outlineLevel="0" collapsed="false">
      <c r="A55" s="15"/>
      <c r="B55" s="21" t="s">
        <v>285</v>
      </c>
      <c r="C55" s="21" t="n">
        <v>7</v>
      </c>
      <c r="D55" s="21" t="n">
        <v>10</v>
      </c>
      <c r="E55" s="21" t="n">
        <v>180</v>
      </c>
      <c r="F55" s="21" t="n">
        <v>220</v>
      </c>
      <c r="G55" s="21" t="n">
        <v>71</v>
      </c>
      <c r="H55" s="21" t="n">
        <v>32</v>
      </c>
      <c r="I55" s="21" t="n">
        <f aca="false">G55+H55</f>
        <v>103</v>
      </c>
      <c r="J55" s="21" t="n">
        <v>0</v>
      </c>
      <c r="K55" s="22" t="n">
        <v>219.1</v>
      </c>
      <c r="L55" s="21" t="n">
        <v>3</v>
      </c>
      <c r="M55" s="21" t="n">
        <v>9</v>
      </c>
      <c r="N55" s="21" t="n">
        <v>11</v>
      </c>
      <c r="O55" s="21"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6"/>
    <col collapsed="false" customWidth="true" hidden="false" outlineLevel="0" max="4" min="4" style="0" width="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26"/>
    <col collapsed="false" customWidth="true" hidden="false" outlineLevel="0" max="9" min="9" style="0" width="14"/>
    <col collapsed="false" customWidth="true" hidden="false" outlineLevel="0" max="10" min="10" style="0" width="8"/>
    <col collapsed="false" customWidth="true" hidden="false" outlineLevel="0" max="11" min="11" style="0" width="44"/>
    <col collapsed="false" customWidth="true" hidden="false" outlineLevel="0" max="12" min="12" style="0" width="10"/>
    <col collapsed="false" customWidth="true" hidden="false" outlineLevel="0" max="13" min="13" style="0" width="16"/>
    <col collapsed="false" customWidth="true" hidden="false" outlineLevel="0" max="14" min="14" style="0" width="22"/>
    <col collapsed="false" customWidth="true" hidden="false" outlineLevel="0" max="15" min="15" style="0" width="30"/>
  </cols>
  <sheetData>
    <row r="1" customFormat="false" ht="17.35" hidden="false" customHeight="false" outlineLevel="0" collapsed="false">
      <c r="A1" s="1" t="s">
        <v>286</v>
      </c>
    </row>
    <row r="2" customFormat="false" ht="15" hidden="false" customHeight="false" outlineLevel="0" collapsed="false">
      <c r="A2" s="2" t="s">
        <v>287</v>
      </c>
    </row>
    <row r="4" customFormat="false" ht="43.5" hidden="false" customHeight="true" outlineLevel="0" collapsed="false">
      <c r="A4" s="8" t="s">
        <v>14</v>
      </c>
      <c r="B4" s="8" t="s">
        <v>288</v>
      </c>
      <c r="C4" s="8" t="s">
        <v>289</v>
      </c>
      <c r="D4" s="8" t="s">
        <v>290</v>
      </c>
      <c r="E4" s="8" t="s">
        <v>291</v>
      </c>
      <c r="F4" s="8" t="s">
        <v>292</v>
      </c>
      <c r="G4" s="8" t="s">
        <v>293</v>
      </c>
      <c r="H4" s="8" t="s">
        <v>294</v>
      </c>
      <c r="I4" s="8" t="s">
        <v>295</v>
      </c>
      <c r="J4" s="8" t="s">
        <v>296</v>
      </c>
    </row>
    <row r="5" customFormat="false" ht="382.05" hidden="false" customHeight="false" outlineLevel="0" collapsed="false">
      <c r="A5" s="12" t="s">
        <v>18</v>
      </c>
      <c r="B5" s="12" t="s">
        <v>116</v>
      </c>
      <c r="C5" s="12" t="n">
        <f aca="false">COUNTIF($B$15:$B$46,B5)</f>
        <v>4</v>
      </c>
      <c r="D5" s="23" t="n">
        <f aca="false">SUMIF($B$15:$B$46,B5,$L$15:$L$46)</f>
        <v>676.4</v>
      </c>
      <c r="E5" s="12" t="n">
        <f aca="false">COUNTIFS($B$15:$B$46,B5,$E$15:$E$46,"Laki-laki")</f>
        <v>2</v>
      </c>
      <c r="F5" s="12" t="n">
        <f aca="false">COUNTIFS($B$15:$B$46,B5,$E$15:$E$46,"Perempuan")</f>
        <v>2</v>
      </c>
      <c r="G5" s="12" t="n">
        <f aca="false">COUNTIFS($B$15:$B$46,B5,$E$15:$E$46,"belum diisi")</f>
        <v>0</v>
      </c>
      <c r="H5" s="13" t="n">
        <f aca="false">AVERAGEIF($B$15:$B$46,B5,$I$15:$I$46)</f>
        <v>50.345</v>
      </c>
      <c r="I5" s="13" t="n">
        <v>79.7</v>
      </c>
      <c r="J5" s="5" t="s">
        <v>297</v>
      </c>
    </row>
    <row r="6" customFormat="false" ht="382.05" hidden="false" customHeight="false" outlineLevel="0" collapsed="false">
      <c r="A6" s="12" t="s">
        <v>18</v>
      </c>
      <c r="B6" s="12" t="s">
        <v>82</v>
      </c>
      <c r="C6" s="12" t="n">
        <f aca="false">COUNTIF($B$15:$B$46,B6)</f>
        <v>5</v>
      </c>
      <c r="D6" s="23" t="n">
        <f aca="false">SUMIF($B$15:$B$46,B6,$L$15:$L$46)</f>
        <v>894.7</v>
      </c>
      <c r="E6" s="12" t="n">
        <f aca="false">COUNTIFS($B$15:$B$46,B6,$E$15:$E$46,"Laki-laki")</f>
        <v>1</v>
      </c>
      <c r="F6" s="12" t="n">
        <f aca="false">COUNTIFS($B$15:$B$46,B6,$E$15:$E$46,"Perempuan")</f>
        <v>4</v>
      </c>
      <c r="G6" s="12" t="n">
        <f aca="false">COUNTIFS($B$15:$B$46,B6,$E$15:$E$46,"belum diisi")</f>
        <v>0</v>
      </c>
      <c r="H6" s="13" t="n">
        <f aca="false">AVERAGEIF($B$15:$B$46,B6,$I$15:$I$46)</f>
        <v>41.182</v>
      </c>
      <c r="I6" s="13" t="n">
        <v>59.3</v>
      </c>
      <c r="J6" s="5" t="s">
        <v>298</v>
      </c>
    </row>
    <row r="7" customFormat="false" ht="359.7" hidden="false" customHeight="false" outlineLevel="0" collapsed="false">
      <c r="A7" s="12" t="s">
        <v>20</v>
      </c>
      <c r="B7" s="12" t="s">
        <v>139</v>
      </c>
      <c r="C7" s="12" t="n">
        <f aca="false">COUNTIF($B$15:$B$46,B7)</f>
        <v>12</v>
      </c>
      <c r="D7" s="23" t="n">
        <f aca="false">SUMIF($B$15:$B$46,B7,$L$15:$L$46)</f>
        <v>1411.7</v>
      </c>
      <c r="E7" s="12" t="n">
        <f aca="false">COUNTIFS($B$15:$B$46,B7,$E$15:$E$46,"Laki-laki")</f>
        <v>1</v>
      </c>
      <c r="F7" s="12" t="n">
        <f aca="false">COUNTIFS($B$15:$B$46,B7,$E$15:$E$46,"Perempuan")</f>
        <v>7</v>
      </c>
      <c r="G7" s="12" t="n">
        <f aca="false">COUNTIFS($B$15:$B$46,B7,$E$15:$E$46,"belum diisi")</f>
        <v>4</v>
      </c>
      <c r="H7" s="13" t="n">
        <f aca="false">AVERAGEIF($B$15:$B$46,B7,$I$15:$I$46)</f>
        <v>32.4983333333333</v>
      </c>
      <c r="I7" s="13" t="n">
        <v>55.9</v>
      </c>
      <c r="J7" s="5" t="s">
        <v>299</v>
      </c>
    </row>
    <row r="8" customFormat="false" ht="382.05" hidden="false" customHeight="false" outlineLevel="0" collapsed="false">
      <c r="A8" s="12" t="s">
        <v>22</v>
      </c>
      <c r="B8" s="12" t="s">
        <v>195</v>
      </c>
      <c r="C8" s="12" t="n">
        <f aca="false">COUNTIF($B$15:$B$46,B8)</f>
        <v>7</v>
      </c>
      <c r="D8" s="23" t="n">
        <f aca="false">SUMIF($B$15:$B$46,B8,$L$15:$L$46)</f>
        <v>1134.5</v>
      </c>
      <c r="E8" s="12" t="n">
        <f aca="false">COUNTIFS($B$15:$B$46,B8,$E$15:$E$46,"Laki-laki")</f>
        <v>1</v>
      </c>
      <c r="F8" s="12" t="n">
        <f aca="false">COUNTIFS($B$15:$B$46,B8,$E$15:$E$46,"Perempuan")</f>
        <v>6</v>
      </c>
      <c r="G8" s="12" t="n">
        <f aca="false">COUNTIFS($B$15:$B$46,B8,$E$15:$E$46,"belum diisi")</f>
        <v>0</v>
      </c>
      <c r="H8" s="13" t="n">
        <f aca="false">AVERAGEIF($B$15:$B$46,B8,$I$15:$I$46)</f>
        <v>35.09</v>
      </c>
      <c r="I8" s="13" t="n">
        <v>70.1</v>
      </c>
      <c r="J8" s="5" t="s">
        <v>300</v>
      </c>
    </row>
    <row r="9" customFormat="false" ht="370.85" hidden="false" customHeight="false" outlineLevel="0" collapsed="false">
      <c r="A9" s="12" t="s">
        <v>22</v>
      </c>
      <c r="B9" s="12" t="s">
        <v>209</v>
      </c>
      <c r="C9" s="12" t="n">
        <f aca="false">COUNTIF($B$15:$B$46,B9)</f>
        <v>4</v>
      </c>
      <c r="D9" s="23" t="n">
        <f aca="false">SUMIF($B$15:$B$46,B9,$L$15:$L$46)</f>
        <v>761</v>
      </c>
      <c r="E9" s="12" t="n">
        <f aca="false">COUNTIFS($B$15:$B$46,B9,$E$15:$E$46,"Laki-laki")</f>
        <v>1</v>
      </c>
      <c r="F9" s="12" t="n">
        <f aca="false">COUNTIFS($B$15:$B$46,B9,$E$15:$E$46,"Perempuan")</f>
        <v>3</v>
      </c>
      <c r="G9" s="12" t="n">
        <f aca="false">COUNTIFS($B$15:$B$46,B9,$E$15:$E$46,"belum diisi")</f>
        <v>0</v>
      </c>
      <c r="H9" s="13" t="n">
        <f aca="false">AVERAGEIF($B$15:$B$46,B9,$I$15:$I$46)</f>
        <v>40.1175</v>
      </c>
      <c r="I9" s="13" t="n">
        <v>47.6</v>
      </c>
      <c r="J9" s="5" t="s">
        <v>301</v>
      </c>
    </row>
    <row r="10" customFormat="false" ht="15" hidden="false" customHeight="false" outlineLevel="0" collapsed="false">
      <c r="A10" s="14" t="s">
        <v>263</v>
      </c>
      <c r="C10" s="14" t="n">
        <f aca="false">SUM(C5:C9)</f>
        <v>32</v>
      </c>
      <c r="D10" s="17" t="n">
        <f aca="false">SUM(D5:D9)</f>
        <v>4878.3</v>
      </c>
      <c r="E10" s="14" t="n">
        <f aca="false">SUM(E5:E9)</f>
        <v>6</v>
      </c>
      <c r="F10" s="14" t="n">
        <f aca="false">SUM(F5:F9)</f>
        <v>22</v>
      </c>
      <c r="G10" s="14" t="n">
        <f aca="false">SUM(G5:G9)</f>
        <v>4</v>
      </c>
    </row>
    <row r="13" customFormat="false" ht="15" hidden="false" customHeight="false" outlineLevel="0" collapsed="false">
      <c r="A13" s="14" t="s">
        <v>302</v>
      </c>
    </row>
    <row r="14" customFormat="false" ht="43.5" hidden="false" customHeight="true" outlineLevel="0" collapsed="false">
      <c r="A14" s="8" t="s">
        <v>303</v>
      </c>
      <c r="B14" s="8" t="s">
        <v>288</v>
      </c>
      <c r="C14" s="8" t="s">
        <v>304</v>
      </c>
      <c r="D14" s="8" t="s">
        <v>71</v>
      </c>
      <c r="E14" s="8" t="s">
        <v>305</v>
      </c>
      <c r="F14" s="8" t="s">
        <v>306</v>
      </c>
      <c r="G14" s="8" t="s">
        <v>307</v>
      </c>
      <c r="H14" s="8" t="s">
        <v>308</v>
      </c>
      <c r="I14" s="8" t="s">
        <v>309</v>
      </c>
      <c r="J14" s="8" t="s">
        <v>72</v>
      </c>
      <c r="K14" s="8" t="s">
        <v>310</v>
      </c>
      <c r="L14" s="8" t="s">
        <v>311</v>
      </c>
      <c r="M14" s="8" t="s">
        <v>76</v>
      </c>
      <c r="N14" s="8" t="s">
        <v>312</v>
      </c>
      <c r="O14" s="8" t="s">
        <v>313</v>
      </c>
    </row>
    <row r="15" customFormat="false" ht="23.85" hidden="false" customHeight="false" outlineLevel="0" collapsed="false">
      <c r="A15" s="12" t="s">
        <v>18</v>
      </c>
      <c r="B15" s="12" t="s">
        <v>116</v>
      </c>
      <c r="C15" s="12" t="s">
        <v>111</v>
      </c>
      <c r="D15" s="12" t="n">
        <v>380</v>
      </c>
      <c r="E15" s="12" t="s">
        <v>291</v>
      </c>
      <c r="F15" s="12" t="n">
        <v>29</v>
      </c>
      <c r="G15" s="12" t="s">
        <v>314</v>
      </c>
      <c r="H15" s="5" t="s">
        <v>315</v>
      </c>
      <c r="I15" s="13" t="n">
        <v>79.66</v>
      </c>
      <c r="J15" s="12" t="n">
        <v>5</v>
      </c>
      <c r="K15" s="5" t="s">
        <v>316</v>
      </c>
      <c r="L15" s="13" t="n">
        <v>213</v>
      </c>
      <c r="M15" s="12" t="s">
        <v>112</v>
      </c>
      <c r="N15" s="24"/>
      <c r="O15" s="25"/>
    </row>
    <row r="16" customFormat="false" ht="15" hidden="false" customHeight="false" outlineLevel="0" collapsed="false">
      <c r="A16" s="12" t="s">
        <v>18</v>
      </c>
      <c r="B16" s="12" t="s">
        <v>116</v>
      </c>
      <c r="C16" s="12" t="s">
        <v>118</v>
      </c>
      <c r="D16" s="12" t="n">
        <v>365</v>
      </c>
      <c r="E16" s="12" t="s">
        <v>292</v>
      </c>
      <c r="F16" s="12" t="n">
        <v>35</v>
      </c>
      <c r="G16" s="12" t="s">
        <v>314</v>
      </c>
      <c r="H16" s="5" t="s">
        <v>317</v>
      </c>
      <c r="I16" s="13" t="n">
        <v>35.26</v>
      </c>
      <c r="J16" s="12" t="n">
        <v>5</v>
      </c>
      <c r="K16" s="5" t="s">
        <v>318</v>
      </c>
      <c r="L16" s="13" t="n">
        <v>143.2</v>
      </c>
      <c r="M16" s="12" t="s">
        <v>119</v>
      </c>
      <c r="N16" s="24"/>
      <c r="O16" s="25"/>
    </row>
    <row r="17" customFormat="false" ht="23.85" hidden="false" customHeight="false" outlineLevel="0" collapsed="false">
      <c r="A17" s="12" t="s">
        <v>18</v>
      </c>
      <c r="B17" s="12" t="s">
        <v>116</v>
      </c>
      <c r="C17" s="12" t="s">
        <v>129</v>
      </c>
      <c r="D17" s="12" t="n">
        <v>153</v>
      </c>
      <c r="E17" s="12" t="s">
        <v>292</v>
      </c>
      <c r="F17" s="12" t="n">
        <v>24</v>
      </c>
      <c r="G17" s="12" t="s">
        <v>314</v>
      </c>
      <c r="H17" s="5" t="s">
        <v>319</v>
      </c>
      <c r="I17" s="13" t="n">
        <v>22.41</v>
      </c>
      <c r="J17" s="12" t="n">
        <v>5</v>
      </c>
      <c r="K17" s="5" t="s">
        <v>320</v>
      </c>
      <c r="L17" s="13" t="n">
        <v>205.5</v>
      </c>
      <c r="M17" s="12" t="s">
        <v>130</v>
      </c>
      <c r="N17" s="24"/>
      <c r="O17" s="25"/>
    </row>
    <row r="18" customFormat="false" ht="23.85" hidden="false" customHeight="false" outlineLevel="0" collapsed="false">
      <c r="A18" s="12" t="s">
        <v>18</v>
      </c>
      <c r="B18" s="12" t="s">
        <v>116</v>
      </c>
      <c r="C18" s="12" t="s">
        <v>134</v>
      </c>
      <c r="D18" s="12" t="n">
        <v>276</v>
      </c>
      <c r="E18" s="12" t="s">
        <v>291</v>
      </c>
      <c r="F18" s="12" t="n">
        <v>27</v>
      </c>
      <c r="G18" s="12" t="s">
        <v>314</v>
      </c>
      <c r="H18" s="5" t="s">
        <v>321</v>
      </c>
      <c r="I18" s="13" t="n">
        <v>64.05</v>
      </c>
      <c r="J18" s="12" t="n">
        <v>3</v>
      </c>
      <c r="K18" s="5" t="s">
        <v>322</v>
      </c>
      <c r="L18" s="13" t="n">
        <v>114.7</v>
      </c>
      <c r="M18" s="12" t="s">
        <v>135</v>
      </c>
      <c r="N18" s="24"/>
      <c r="O18" s="25"/>
    </row>
    <row r="19" customFormat="false" ht="23.85" hidden="false" customHeight="false" outlineLevel="0" collapsed="false">
      <c r="A19" s="12" t="s">
        <v>18</v>
      </c>
      <c r="B19" s="12" t="s">
        <v>82</v>
      </c>
      <c r="C19" s="12" t="s">
        <v>84</v>
      </c>
      <c r="D19" s="12" t="n">
        <v>44</v>
      </c>
      <c r="E19" s="12" t="s">
        <v>291</v>
      </c>
      <c r="F19" s="12" t="n">
        <v>30</v>
      </c>
      <c r="G19" s="12" t="s">
        <v>314</v>
      </c>
      <c r="H19" s="5" t="s">
        <v>323</v>
      </c>
      <c r="I19" s="13" t="n">
        <v>48.03</v>
      </c>
      <c r="J19" s="12" t="n">
        <v>5</v>
      </c>
      <c r="K19" s="5" t="s">
        <v>83</v>
      </c>
      <c r="L19" s="13" t="n">
        <v>156</v>
      </c>
      <c r="M19" s="12" t="s">
        <v>87</v>
      </c>
      <c r="N19" s="24"/>
      <c r="O19" s="25"/>
    </row>
    <row r="20" customFormat="false" ht="23.85" hidden="false" customHeight="false" outlineLevel="0" collapsed="false">
      <c r="A20" s="12" t="s">
        <v>18</v>
      </c>
      <c r="B20" s="12" t="s">
        <v>82</v>
      </c>
      <c r="C20" s="12" t="s">
        <v>93</v>
      </c>
      <c r="D20" s="12" t="n">
        <v>99</v>
      </c>
      <c r="E20" s="12" t="s">
        <v>292</v>
      </c>
      <c r="F20" s="12" t="n">
        <v>30</v>
      </c>
      <c r="G20" s="12" t="s">
        <v>314</v>
      </c>
      <c r="H20" s="5" t="s">
        <v>324</v>
      </c>
      <c r="I20" s="13" t="n">
        <v>40.12</v>
      </c>
      <c r="J20" s="12" t="n">
        <v>5</v>
      </c>
      <c r="K20" s="5" t="s">
        <v>92</v>
      </c>
      <c r="L20" s="13" t="n">
        <v>155.3</v>
      </c>
      <c r="M20" s="12" t="s">
        <v>95</v>
      </c>
      <c r="N20" s="24"/>
      <c r="O20" s="25"/>
    </row>
    <row r="21" customFormat="false" ht="23.85" hidden="false" customHeight="false" outlineLevel="0" collapsed="false">
      <c r="A21" s="12" t="s">
        <v>18</v>
      </c>
      <c r="B21" s="12" t="s">
        <v>82</v>
      </c>
      <c r="C21" s="12" t="s">
        <v>99</v>
      </c>
      <c r="D21" s="12" t="n">
        <v>65</v>
      </c>
      <c r="E21" s="12" t="s">
        <v>292</v>
      </c>
      <c r="F21" s="12" t="n">
        <v>23</v>
      </c>
      <c r="G21" s="12" t="s">
        <v>314</v>
      </c>
      <c r="H21" s="5" t="s">
        <v>323</v>
      </c>
      <c r="I21" s="13" t="n">
        <v>44.81</v>
      </c>
      <c r="J21" s="12" t="n">
        <v>4</v>
      </c>
      <c r="K21" s="5" t="s">
        <v>98</v>
      </c>
      <c r="L21" s="13" t="n">
        <v>218.6</v>
      </c>
      <c r="M21" s="12" t="s">
        <v>100</v>
      </c>
      <c r="N21" s="24"/>
      <c r="O21" s="25"/>
    </row>
    <row r="22" customFormat="false" ht="23.85" hidden="false" customHeight="false" outlineLevel="0" collapsed="false">
      <c r="A22" s="12" t="s">
        <v>18</v>
      </c>
      <c r="B22" s="12" t="s">
        <v>82</v>
      </c>
      <c r="C22" s="12" t="s">
        <v>105</v>
      </c>
      <c r="D22" s="12" t="n">
        <v>283</v>
      </c>
      <c r="E22" s="12" t="s">
        <v>292</v>
      </c>
      <c r="F22" s="12" t="n">
        <v>27</v>
      </c>
      <c r="G22" s="12" t="s">
        <v>314</v>
      </c>
      <c r="H22" s="5" t="s">
        <v>321</v>
      </c>
      <c r="I22" s="13" t="n">
        <v>59.26</v>
      </c>
      <c r="J22" s="12" t="n">
        <v>4</v>
      </c>
      <c r="K22" s="5" t="s">
        <v>104</v>
      </c>
      <c r="L22" s="13" t="n">
        <v>155.1</v>
      </c>
      <c r="M22" s="12" t="s">
        <v>107</v>
      </c>
      <c r="N22" s="24"/>
      <c r="O22" s="25"/>
    </row>
    <row r="23" customFormat="false" ht="23.85" hidden="false" customHeight="false" outlineLevel="0" collapsed="false">
      <c r="A23" s="12" t="s">
        <v>18</v>
      </c>
      <c r="B23" s="12" t="s">
        <v>82</v>
      </c>
      <c r="C23" s="12" t="s">
        <v>124</v>
      </c>
      <c r="D23" s="12" t="n">
        <v>389</v>
      </c>
      <c r="E23" s="12" t="s">
        <v>292</v>
      </c>
      <c r="F23" s="12" t="n">
        <v>40</v>
      </c>
      <c r="G23" s="12" t="s">
        <v>314</v>
      </c>
      <c r="H23" s="5" t="s">
        <v>325</v>
      </c>
      <c r="I23" s="13" t="n">
        <v>13.69</v>
      </c>
      <c r="J23" s="12" t="n">
        <v>4</v>
      </c>
      <c r="K23" s="5" t="s">
        <v>123</v>
      </c>
      <c r="L23" s="13" t="n">
        <v>209.7</v>
      </c>
      <c r="M23" s="12" t="s">
        <v>125</v>
      </c>
      <c r="N23" s="24"/>
      <c r="O23" s="25"/>
    </row>
    <row r="24" customFormat="false" ht="15" hidden="false" customHeight="false" outlineLevel="0" collapsed="false">
      <c r="A24" s="12" t="s">
        <v>20</v>
      </c>
      <c r="B24" s="12" t="s">
        <v>139</v>
      </c>
      <c r="C24" s="12" t="s">
        <v>141</v>
      </c>
      <c r="D24" s="12" t="n">
        <v>255</v>
      </c>
      <c r="E24" s="12" t="s">
        <v>326</v>
      </c>
      <c r="F24" s="12"/>
      <c r="G24" s="12" t="s">
        <v>326</v>
      </c>
      <c r="H24" s="5" t="s">
        <v>327</v>
      </c>
      <c r="I24" s="13" t="n">
        <v>40.77</v>
      </c>
      <c r="J24" s="12" t="n">
        <v>4</v>
      </c>
      <c r="K24" s="5" t="s">
        <v>328</v>
      </c>
      <c r="L24" s="13" t="n">
        <v>128.2</v>
      </c>
      <c r="M24" s="12" t="s">
        <v>142</v>
      </c>
      <c r="N24" s="24"/>
      <c r="O24" s="25"/>
    </row>
    <row r="25" customFormat="false" ht="15" hidden="false" customHeight="false" outlineLevel="0" collapsed="false">
      <c r="A25" s="12" t="s">
        <v>20</v>
      </c>
      <c r="B25" s="12" t="s">
        <v>139</v>
      </c>
      <c r="C25" s="12" t="s">
        <v>148</v>
      </c>
      <c r="D25" s="12" t="n">
        <v>284</v>
      </c>
      <c r="E25" s="12" t="s">
        <v>326</v>
      </c>
      <c r="F25" s="12"/>
      <c r="G25" s="12" t="s">
        <v>326</v>
      </c>
      <c r="H25" s="5" t="s">
        <v>327</v>
      </c>
      <c r="I25" s="13" t="n">
        <v>30.37</v>
      </c>
      <c r="J25" s="12" t="n">
        <v>4</v>
      </c>
      <c r="K25" s="5" t="s">
        <v>329</v>
      </c>
      <c r="L25" s="13" t="n">
        <v>120.6</v>
      </c>
      <c r="M25" s="12" t="s">
        <v>149</v>
      </c>
      <c r="N25" s="24"/>
      <c r="O25" s="25"/>
    </row>
    <row r="26" customFormat="false" ht="15" hidden="false" customHeight="false" outlineLevel="0" collapsed="false">
      <c r="A26" s="12" t="s">
        <v>20</v>
      </c>
      <c r="B26" s="12" t="s">
        <v>139</v>
      </c>
      <c r="C26" s="12" t="s">
        <v>151</v>
      </c>
      <c r="D26" s="12" t="n">
        <v>457</v>
      </c>
      <c r="E26" s="12" t="s">
        <v>326</v>
      </c>
      <c r="F26" s="12"/>
      <c r="G26" s="12" t="s">
        <v>326</v>
      </c>
      <c r="H26" s="5" t="s">
        <v>330</v>
      </c>
      <c r="I26" s="13" t="n">
        <v>31.1</v>
      </c>
      <c r="J26" s="12" t="n">
        <v>4</v>
      </c>
      <c r="K26" s="5" t="s">
        <v>329</v>
      </c>
      <c r="L26" s="13" t="n">
        <v>120.6</v>
      </c>
      <c r="M26" s="12" t="s">
        <v>152</v>
      </c>
      <c r="N26" s="24"/>
      <c r="O26" s="25"/>
    </row>
    <row r="27" customFormat="false" ht="23.85" hidden="false" customHeight="false" outlineLevel="0" collapsed="false">
      <c r="A27" s="12" t="s">
        <v>20</v>
      </c>
      <c r="B27" s="12" t="s">
        <v>139</v>
      </c>
      <c r="C27" s="12" t="s">
        <v>154</v>
      </c>
      <c r="D27" s="12" t="n">
        <v>60</v>
      </c>
      <c r="E27" s="12" t="s">
        <v>292</v>
      </c>
      <c r="F27" s="12" t="n">
        <v>34</v>
      </c>
      <c r="G27" s="12" t="s">
        <v>314</v>
      </c>
      <c r="H27" s="5" t="s">
        <v>323</v>
      </c>
      <c r="I27" s="13" t="n">
        <v>20.49</v>
      </c>
      <c r="J27" s="12" t="n">
        <v>5</v>
      </c>
      <c r="K27" s="5" t="s">
        <v>331</v>
      </c>
      <c r="L27" s="13" t="n">
        <v>119.7</v>
      </c>
      <c r="M27" s="12" t="s">
        <v>155</v>
      </c>
      <c r="N27" s="24"/>
      <c r="O27" s="25"/>
    </row>
    <row r="28" customFormat="false" ht="23.85" hidden="false" customHeight="false" outlineLevel="0" collapsed="false">
      <c r="A28" s="12" t="s">
        <v>20</v>
      </c>
      <c r="B28" s="12" t="s">
        <v>139</v>
      </c>
      <c r="C28" s="12" t="s">
        <v>160</v>
      </c>
      <c r="D28" s="12" t="n">
        <v>138</v>
      </c>
      <c r="E28" s="12" t="s">
        <v>292</v>
      </c>
      <c r="F28" s="12" t="n">
        <v>20</v>
      </c>
      <c r="G28" s="12" t="s">
        <v>314</v>
      </c>
      <c r="H28" s="5" t="s">
        <v>332</v>
      </c>
      <c r="I28" s="13" t="n">
        <v>39.66</v>
      </c>
      <c r="J28" s="12" t="n">
        <v>5</v>
      </c>
      <c r="K28" s="5" t="s">
        <v>159</v>
      </c>
      <c r="L28" s="13" t="n">
        <v>118.8</v>
      </c>
      <c r="M28" s="12" t="s">
        <v>161</v>
      </c>
      <c r="N28" s="24"/>
      <c r="O28" s="25"/>
    </row>
    <row r="29" customFormat="false" ht="15" hidden="false" customHeight="false" outlineLevel="0" collapsed="false">
      <c r="A29" s="12" t="s">
        <v>20</v>
      </c>
      <c r="B29" s="12" t="s">
        <v>139</v>
      </c>
      <c r="C29" s="12" t="s">
        <v>166</v>
      </c>
      <c r="D29" s="12" t="n">
        <v>291</v>
      </c>
      <c r="E29" s="12" t="s">
        <v>326</v>
      </c>
      <c r="F29" s="12"/>
      <c r="G29" s="12" t="s">
        <v>326</v>
      </c>
      <c r="H29" s="5" t="s">
        <v>327</v>
      </c>
      <c r="I29" s="13" t="n">
        <v>27.03</v>
      </c>
      <c r="J29" s="12" t="n">
        <v>4</v>
      </c>
      <c r="K29" s="5" t="s">
        <v>165</v>
      </c>
      <c r="L29" s="13" t="n">
        <v>117</v>
      </c>
      <c r="M29" s="12" t="s">
        <v>167</v>
      </c>
      <c r="N29" s="24"/>
      <c r="O29" s="25"/>
    </row>
    <row r="30" customFormat="false" ht="23.85" hidden="false" customHeight="false" outlineLevel="0" collapsed="false">
      <c r="A30" s="12" t="s">
        <v>20</v>
      </c>
      <c r="B30" s="12" t="s">
        <v>139</v>
      </c>
      <c r="C30" s="12" t="s">
        <v>172</v>
      </c>
      <c r="D30" s="12" t="n">
        <v>303</v>
      </c>
      <c r="E30" s="12" t="s">
        <v>292</v>
      </c>
      <c r="F30" s="12" t="n">
        <v>25</v>
      </c>
      <c r="G30" s="12" t="s">
        <v>314</v>
      </c>
      <c r="H30" s="5" t="s">
        <v>333</v>
      </c>
      <c r="I30" s="13" t="n">
        <v>28.11</v>
      </c>
      <c r="J30" s="12" t="n">
        <v>4</v>
      </c>
      <c r="K30" s="5" t="s">
        <v>334</v>
      </c>
      <c r="L30" s="13" t="n">
        <v>117</v>
      </c>
      <c r="M30" s="12" t="s">
        <v>173</v>
      </c>
      <c r="N30" s="24"/>
      <c r="O30" s="25"/>
    </row>
    <row r="31" customFormat="false" ht="15" hidden="false" customHeight="false" outlineLevel="0" collapsed="false">
      <c r="A31" s="12" t="s">
        <v>20</v>
      </c>
      <c r="B31" s="12" t="s">
        <v>139</v>
      </c>
      <c r="C31" s="12" t="s">
        <v>178</v>
      </c>
      <c r="D31" s="12" t="n">
        <v>357</v>
      </c>
      <c r="E31" s="12" t="s">
        <v>292</v>
      </c>
      <c r="F31" s="12" t="n">
        <v>25</v>
      </c>
      <c r="G31" s="12" t="s">
        <v>314</v>
      </c>
      <c r="H31" s="5" t="s">
        <v>335</v>
      </c>
      <c r="I31" s="13" t="n">
        <v>55.57</v>
      </c>
      <c r="J31" s="12" t="n">
        <v>5</v>
      </c>
      <c r="K31" s="5" t="s">
        <v>334</v>
      </c>
      <c r="L31" s="13" t="n">
        <v>117</v>
      </c>
      <c r="M31" s="12" t="s">
        <v>179</v>
      </c>
      <c r="N31" s="24"/>
      <c r="O31" s="25"/>
    </row>
    <row r="32" customFormat="false" ht="23.85" hidden="false" customHeight="false" outlineLevel="0" collapsed="false">
      <c r="A32" s="12" t="s">
        <v>20</v>
      </c>
      <c r="B32" s="12" t="s">
        <v>139</v>
      </c>
      <c r="C32" s="12" t="s">
        <v>181</v>
      </c>
      <c r="D32" s="12" t="n">
        <v>309</v>
      </c>
      <c r="E32" s="12" t="s">
        <v>291</v>
      </c>
      <c r="F32" s="12" t="n">
        <v>26</v>
      </c>
      <c r="G32" s="12" t="s">
        <v>314</v>
      </c>
      <c r="H32" s="5" t="s">
        <v>336</v>
      </c>
      <c r="I32" s="13" t="n">
        <v>15</v>
      </c>
      <c r="J32" s="12" t="n">
        <v>4</v>
      </c>
      <c r="K32" s="5" t="s">
        <v>337</v>
      </c>
      <c r="L32" s="13" t="n">
        <v>115.8</v>
      </c>
      <c r="M32" s="12" t="s">
        <v>182</v>
      </c>
      <c r="N32" s="24"/>
      <c r="O32" s="25"/>
    </row>
    <row r="33" customFormat="false" ht="15" hidden="false" customHeight="false" outlineLevel="0" collapsed="false">
      <c r="A33" s="12" t="s">
        <v>20</v>
      </c>
      <c r="B33" s="12" t="s">
        <v>139</v>
      </c>
      <c r="C33" s="12" t="s">
        <v>184</v>
      </c>
      <c r="D33" s="12" t="n">
        <v>344</v>
      </c>
      <c r="E33" s="12" t="s">
        <v>292</v>
      </c>
      <c r="F33" s="12" t="n">
        <v>29</v>
      </c>
      <c r="G33" s="12" t="s">
        <v>314</v>
      </c>
      <c r="H33" s="5" t="s">
        <v>335</v>
      </c>
      <c r="I33" s="13" t="n">
        <v>55.91</v>
      </c>
      <c r="J33" s="12" t="n">
        <v>5</v>
      </c>
      <c r="K33" s="5" t="s">
        <v>337</v>
      </c>
      <c r="L33" s="13" t="n">
        <v>115.8</v>
      </c>
      <c r="M33" s="12" t="s">
        <v>185</v>
      </c>
      <c r="N33" s="24"/>
      <c r="O33" s="25"/>
    </row>
    <row r="34" customFormat="false" ht="23.85" hidden="false" customHeight="false" outlineLevel="0" collapsed="false">
      <c r="A34" s="12" t="s">
        <v>20</v>
      </c>
      <c r="B34" s="12" t="s">
        <v>139</v>
      </c>
      <c r="C34" s="12" t="s">
        <v>187</v>
      </c>
      <c r="D34" s="12" t="n">
        <v>262</v>
      </c>
      <c r="E34" s="12" t="s">
        <v>292</v>
      </c>
      <c r="F34" s="12" t="n">
        <v>26</v>
      </c>
      <c r="G34" s="12" t="s">
        <v>314</v>
      </c>
      <c r="H34" s="5" t="s">
        <v>338</v>
      </c>
      <c r="I34" s="13" t="n">
        <v>34.83</v>
      </c>
      <c r="J34" s="12" t="n">
        <v>4</v>
      </c>
      <c r="K34" s="5" t="s">
        <v>186</v>
      </c>
      <c r="L34" s="13" t="n">
        <v>111.2</v>
      </c>
      <c r="M34" s="12" t="s">
        <v>188</v>
      </c>
      <c r="N34" s="24"/>
      <c r="O34" s="25"/>
    </row>
    <row r="35" customFormat="false" ht="23.85" hidden="false" customHeight="false" outlineLevel="0" collapsed="false">
      <c r="A35" s="12" t="s">
        <v>20</v>
      </c>
      <c r="B35" s="12" t="s">
        <v>139</v>
      </c>
      <c r="C35" s="12" t="s">
        <v>190</v>
      </c>
      <c r="D35" s="12" t="n">
        <v>324</v>
      </c>
      <c r="E35" s="12" t="s">
        <v>292</v>
      </c>
      <c r="F35" s="12" t="n">
        <v>42</v>
      </c>
      <c r="G35" s="12" t="s">
        <v>339</v>
      </c>
      <c r="H35" s="5" t="s">
        <v>340</v>
      </c>
      <c r="I35" s="13" t="n">
        <v>11.14</v>
      </c>
      <c r="J35" s="12" t="n">
        <v>4</v>
      </c>
      <c r="K35" s="5" t="s">
        <v>189</v>
      </c>
      <c r="L35" s="13" t="n">
        <v>110</v>
      </c>
      <c r="M35" s="12" t="s">
        <v>191</v>
      </c>
      <c r="N35" s="24"/>
      <c r="O35" s="25"/>
    </row>
    <row r="36" customFormat="false" ht="23.85" hidden="false" customHeight="false" outlineLevel="0" collapsed="false">
      <c r="A36" s="12" t="s">
        <v>22</v>
      </c>
      <c r="B36" s="12" t="s">
        <v>195</v>
      </c>
      <c r="C36" s="12" t="s">
        <v>197</v>
      </c>
      <c r="D36" s="12" t="n">
        <v>310</v>
      </c>
      <c r="E36" s="12" t="s">
        <v>292</v>
      </c>
      <c r="F36" s="12" t="n">
        <v>22</v>
      </c>
      <c r="G36" s="12" t="s">
        <v>314</v>
      </c>
      <c r="H36" s="5" t="s">
        <v>336</v>
      </c>
      <c r="I36" s="13" t="n">
        <v>28.5</v>
      </c>
      <c r="J36" s="12" t="n">
        <v>4</v>
      </c>
      <c r="K36" s="5" t="s">
        <v>196</v>
      </c>
      <c r="L36" s="13" t="n">
        <v>216.7</v>
      </c>
      <c r="M36" s="12" t="s">
        <v>198</v>
      </c>
      <c r="N36" s="24"/>
      <c r="O36" s="25"/>
    </row>
    <row r="37" customFormat="false" ht="23.85" hidden="false" customHeight="false" outlineLevel="0" collapsed="false">
      <c r="A37" s="12" t="s">
        <v>22</v>
      </c>
      <c r="B37" s="12" t="s">
        <v>195</v>
      </c>
      <c r="C37" s="12" t="s">
        <v>204</v>
      </c>
      <c r="D37" s="12" t="n">
        <v>330</v>
      </c>
      <c r="E37" s="12" t="s">
        <v>292</v>
      </c>
      <c r="F37" s="12" t="n">
        <v>25</v>
      </c>
      <c r="G37" s="12" t="s">
        <v>314</v>
      </c>
      <c r="H37" s="5" t="s">
        <v>341</v>
      </c>
      <c r="I37" s="13" t="n">
        <v>33.3</v>
      </c>
      <c r="J37" s="12" t="n">
        <v>3</v>
      </c>
      <c r="K37" s="5" t="s">
        <v>203</v>
      </c>
      <c r="L37" s="13" t="n">
        <v>216.7</v>
      </c>
      <c r="M37" s="12" t="s">
        <v>205</v>
      </c>
      <c r="N37" s="24"/>
      <c r="O37" s="25"/>
    </row>
    <row r="38" customFormat="false" ht="15" hidden="false" customHeight="false" outlineLevel="0" collapsed="false">
      <c r="A38" s="12" t="s">
        <v>22</v>
      </c>
      <c r="B38" s="12" t="s">
        <v>195</v>
      </c>
      <c r="C38" s="12" t="s">
        <v>235</v>
      </c>
      <c r="D38" s="12" t="n">
        <v>340</v>
      </c>
      <c r="E38" s="12" t="s">
        <v>292</v>
      </c>
      <c r="F38" s="12" t="n">
        <v>30</v>
      </c>
      <c r="G38" s="12" t="s">
        <v>314</v>
      </c>
      <c r="H38" s="5" t="s">
        <v>335</v>
      </c>
      <c r="I38" s="13" t="n">
        <v>70.07</v>
      </c>
      <c r="J38" s="12" t="n">
        <v>5</v>
      </c>
      <c r="K38" s="5" t="s">
        <v>234</v>
      </c>
      <c r="L38" s="13" t="n">
        <v>139.6</v>
      </c>
      <c r="M38" s="12" t="s">
        <v>236</v>
      </c>
      <c r="N38" s="24"/>
      <c r="O38" s="25"/>
    </row>
    <row r="39" customFormat="false" ht="23.85" hidden="false" customHeight="false" outlineLevel="0" collapsed="false">
      <c r="A39" s="12" t="s">
        <v>22</v>
      </c>
      <c r="B39" s="12" t="s">
        <v>195</v>
      </c>
      <c r="C39" s="12" t="s">
        <v>241</v>
      </c>
      <c r="D39" s="12" t="n">
        <v>308</v>
      </c>
      <c r="E39" s="12" t="s">
        <v>291</v>
      </c>
      <c r="F39" s="12" t="n">
        <v>48</v>
      </c>
      <c r="G39" s="12" t="s">
        <v>314</v>
      </c>
      <c r="H39" s="5" t="s">
        <v>342</v>
      </c>
      <c r="I39" s="13" t="n">
        <v>29.52</v>
      </c>
      <c r="J39" s="12" t="n">
        <v>3</v>
      </c>
      <c r="K39" s="5" t="s">
        <v>240</v>
      </c>
      <c r="L39" s="13" t="n">
        <v>138.4</v>
      </c>
      <c r="M39" s="12" t="s">
        <v>242</v>
      </c>
      <c r="N39" s="24"/>
      <c r="O39" s="25"/>
    </row>
    <row r="40" customFormat="false" ht="15" hidden="false" customHeight="false" outlineLevel="0" collapsed="false">
      <c r="A40" s="12" t="s">
        <v>22</v>
      </c>
      <c r="B40" s="12" t="s">
        <v>195</v>
      </c>
      <c r="C40" s="12" t="s">
        <v>245</v>
      </c>
      <c r="D40" s="12" t="n">
        <v>363</v>
      </c>
      <c r="E40" s="12" t="s">
        <v>292</v>
      </c>
      <c r="F40" s="12" t="n">
        <v>42</v>
      </c>
      <c r="G40" s="12" t="s">
        <v>314</v>
      </c>
      <c r="H40" s="5" t="s">
        <v>343</v>
      </c>
      <c r="I40" s="13" t="n">
        <v>28.8</v>
      </c>
      <c r="J40" s="12" t="n">
        <v>5</v>
      </c>
      <c r="K40" s="5" t="s">
        <v>244</v>
      </c>
      <c r="L40" s="13" t="n">
        <v>137.4</v>
      </c>
      <c r="M40" s="12" t="s">
        <v>246</v>
      </c>
      <c r="N40" s="24"/>
      <c r="O40" s="25"/>
    </row>
    <row r="41" customFormat="false" ht="23.85" hidden="false" customHeight="false" outlineLevel="0" collapsed="false">
      <c r="A41" s="12" t="s">
        <v>22</v>
      </c>
      <c r="B41" s="12" t="s">
        <v>195</v>
      </c>
      <c r="C41" s="12" t="s">
        <v>250</v>
      </c>
      <c r="D41" s="12" t="n">
        <v>334</v>
      </c>
      <c r="E41" s="12" t="s">
        <v>292</v>
      </c>
      <c r="F41" s="12" t="n">
        <v>26</v>
      </c>
      <c r="G41" s="12" t="s">
        <v>314</v>
      </c>
      <c r="H41" s="5" t="s">
        <v>344</v>
      </c>
      <c r="I41" s="13" t="n">
        <v>29.64</v>
      </c>
      <c r="J41" s="12" t="n">
        <v>5</v>
      </c>
      <c r="K41" s="5" t="s">
        <v>249</v>
      </c>
      <c r="L41" s="13" t="n">
        <v>187.6</v>
      </c>
      <c r="M41" s="12" t="s">
        <v>251</v>
      </c>
      <c r="N41" s="24"/>
      <c r="O41" s="25"/>
    </row>
    <row r="42" customFormat="false" ht="23.85" hidden="false" customHeight="false" outlineLevel="0" collapsed="false">
      <c r="A42" s="12" t="s">
        <v>22</v>
      </c>
      <c r="B42" s="12" t="s">
        <v>195</v>
      </c>
      <c r="C42" s="12" t="s">
        <v>256</v>
      </c>
      <c r="D42" s="12" t="n">
        <v>77</v>
      </c>
      <c r="E42" s="12" t="s">
        <v>292</v>
      </c>
      <c r="F42" s="12" t="n">
        <v>32</v>
      </c>
      <c r="G42" s="12" t="s">
        <v>314</v>
      </c>
      <c r="H42" s="5" t="s">
        <v>345</v>
      </c>
      <c r="I42" s="13" t="n">
        <v>25.8</v>
      </c>
      <c r="J42" s="12" t="n">
        <v>5</v>
      </c>
      <c r="K42" s="5" t="s">
        <v>255</v>
      </c>
      <c r="L42" s="13" t="n">
        <v>98.1</v>
      </c>
      <c r="M42" s="12" t="s">
        <v>257</v>
      </c>
      <c r="N42" s="24"/>
      <c r="O42" s="25"/>
    </row>
    <row r="43" customFormat="false" ht="23.85" hidden="false" customHeight="false" outlineLevel="0" collapsed="false">
      <c r="A43" s="12" t="s">
        <v>22</v>
      </c>
      <c r="B43" s="12" t="s">
        <v>209</v>
      </c>
      <c r="C43" s="12" t="s">
        <v>211</v>
      </c>
      <c r="D43" s="12" t="n">
        <v>375</v>
      </c>
      <c r="E43" s="12" t="s">
        <v>292</v>
      </c>
      <c r="F43" s="12" t="n">
        <v>28</v>
      </c>
      <c r="G43" s="12" t="s">
        <v>314</v>
      </c>
      <c r="H43" s="5" t="s">
        <v>346</v>
      </c>
      <c r="I43" s="13" t="n">
        <v>47.57</v>
      </c>
      <c r="J43" s="12" t="n">
        <v>5</v>
      </c>
      <c r="K43" s="5" t="s">
        <v>210</v>
      </c>
      <c r="L43" s="13" t="n">
        <v>182</v>
      </c>
      <c r="M43" s="12" t="s">
        <v>212</v>
      </c>
      <c r="N43" s="24"/>
      <c r="O43" s="25"/>
    </row>
    <row r="44" customFormat="false" ht="15" hidden="false" customHeight="false" outlineLevel="0" collapsed="false">
      <c r="A44" s="12" t="s">
        <v>22</v>
      </c>
      <c r="B44" s="12" t="s">
        <v>209</v>
      </c>
      <c r="C44" s="12" t="s">
        <v>218</v>
      </c>
      <c r="D44" s="12" t="n">
        <v>364</v>
      </c>
      <c r="E44" s="12" t="s">
        <v>291</v>
      </c>
      <c r="F44" s="12" t="n">
        <v>24</v>
      </c>
      <c r="G44" s="12" t="s">
        <v>314</v>
      </c>
      <c r="H44" s="5" t="s">
        <v>343</v>
      </c>
      <c r="I44" s="13" t="n">
        <v>25.93</v>
      </c>
      <c r="J44" s="12" t="n">
        <v>3</v>
      </c>
      <c r="K44" s="5" t="s">
        <v>217</v>
      </c>
      <c r="L44" s="13" t="n">
        <v>182</v>
      </c>
      <c r="M44" s="12" t="s">
        <v>219</v>
      </c>
      <c r="N44" s="24"/>
      <c r="O44" s="25"/>
    </row>
    <row r="45" customFormat="false" ht="23.85" hidden="false" customHeight="false" outlineLevel="0" collapsed="false">
      <c r="A45" s="12" t="s">
        <v>22</v>
      </c>
      <c r="B45" s="12" t="s">
        <v>209</v>
      </c>
      <c r="C45" s="12" t="s">
        <v>224</v>
      </c>
      <c r="D45" s="12" t="n">
        <v>374</v>
      </c>
      <c r="E45" s="12" t="s">
        <v>292</v>
      </c>
      <c r="F45" s="12" t="n">
        <v>24</v>
      </c>
      <c r="G45" s="12" t="s">
        <v>314</v>
      </c>
      <c r="H45" s="5" t="s">
        <v>346</v>
      </c>
      <c r="I45" s="13" t="n">
        <v>44.76</v>
      </c>
      <c r="J45" s="12" t="n">
        <v>5</v>
      </c>
      <c r="K45" s="5" t="s">
        <v>223</v>
      </c>
      <c r="L45" s="13" t="n">
        <v>182</v>
      </c>
      <c r="M45" s="12" t="s">
        <v>225</v>
      </c>
      <c r="N45" s="24"/>
      <c r="O45" s="25"/>
    </row>
    <row r="46" customFormat="false" ht="23.85" hidden="false" customHeight="false" outlineLevel="0" collapsed="false">
      <c r="A46" s="12" t="s">
        <v>22</v>
      </c>
      <c r="B46" s="12" t="s">
        <v>209</v>
      </c>
      <c r="C46" s="12" t="s">
        <v>229</v>
      </c>
      <c r="D46" s="12" t="n">
        <v>382</v>
      </c>
      <c r="E46" s="12" t="s">
        <v>292</v>
      </c>
      <c r="F46" s="12" t="n">
        <v>22</v>
      </c>
      <c r="G46" s="12" t="s">
        <v>314</v>
      </c>
      <c r="H46" s="5" t="s">
        <v>347</v>
      </c>
      <c r="I46" s="13" t="n">
        <v>42.21</v>
      </c>
      <c r="J46" s="12" t="n">
        <v>4</v>
      </c>
      <c r="K46" s="5" t="s">
        <v>228</v>
      </c>
      <c r="L46" s="13" t="n">
        <v>215</v>
      </c>
      <c r="M46" s="12" t="s">
        <v>230</v>
      </c>
      <c r="N46" s="24"/>
      <c r="O46" s="25"/>
    </row>
    <row r="49" customFormat="false" ht="15" hidden="false" customHeight="false" outlineLevel="0" collapsed="false">
      <c r="A49" s="14" t="s">
        <v>53</v>
      </c>
    </row>
    <row r="50" customFormat="false" ht="27.75" hidden="false" customHeight="true" outlineLevel="0" collapsed="false">
      <c r="A50" s="8" t="s">
        <v>304</v>
      </c>
      <c r="B50" s="8" t="s">
        <v>71</v>
      </c>
      <c r="C50" s="8" t="s">
        <v>72</v>
      </c>
      <c r="D50" s="8" t="s">
        <v>348</v>
      </c>
      <c r="E50" s="8" t="s">
        <v>349</v>
      </c>
    </row>
    <row r="51" customFormat="false" ht="15" hidden="false" customHeight="false" outlineLevel="0" collapsed="false">
      <c r="A51" s="15" t="s">
        <v>350</v>
      </c>
      <c r="B51" s="15" t="n">
        <v>298</v>
      </c>
      <c r="C51" s="15" t="n">
        <v>2</v>
      </c>
      <c r="D51" s="15" t="s">
        <v>351</v>
      </c>
      <c r="E51" s="15" t="s">
        <v>352</v>
      </c>
    </row>
    <row r="52" customFormat="false" ht="15" hidden="false" customHeight="false" outlineLevel="0" collapsed="false">
      <c r="A52" s="15" t="s">
        <v>353</v>
      </c>
      <c r="B52" s="15" t="n">
        <v>41</v>
      </c>
      <c r="C52" s="15" t="n">
        <v>1</v>
      </c>
      <c r="D52" s="15" t="s">
        <v>354</v>
      </c>
      <c r="E52" s="15" t="s">
        <v>352</v>
      </c>
    </row>
    <row r="53" customFormat="false" ht="15" hidden="false" customHeight="false" outlineLevel="0" collapsed="false">
      <c r="A53" s="15" t="s">
        <v>355</v>
      </c>
      <c r="B53" s="15" t="n">
        <v>461</v>
      </c>
      <c r="C53" s="15"/>
      <c r="D53" s="15" t="s">
        <v>356</v>
      </c>
      <c r="E53" s="15" t="s">
        <v>357</v>
      </c>
    </row>
    <row r="54" customFormat="false" ht="15" hidden="false" customHeight="false" outlineLevel="0" collapsed="false">
      <c r="A54" s="15" t="s">
        <v>358</v>
      </c>
      <c r="B54" s="15" t="n">
        <v>462</v>
      </c>
      <c r="C54" s="15"/>
      <c r="D54" s="15" t="s">
        <v>20</v>
      </c>
      <c r="E54" s="15" t="s">
        <v>357</v>
      </c>
    </row>
    <row r="55" customFormat="false" ht="15" hidden="false" customHeight="false" outlineLevel="0" collapsed="false">
      <c r="A55" s="15" t="s">
        <v>359</v>
      </c>
      <c r="B55" s="15" t="n">
        <v>463</v>
      </c>
      <c r="C55" s="15"/>
      <c r="D55" s="15" t="s">
        <v>22</v>
      </c>
      <c r="E55" s="15" t="s">
        <v>357</v>
      </c>
    </row>
    <row r="56" customFormat="false" ht="15" hidden="false" customHeight="false" outlineLevel="0" collapsed="false">
      <c r="A56" s="15" t="s">
        <v>360</v>
      </c>
      <c r="B56" s="15" t="n">
        <v>464</v>
      </c>
      <c r="C56" s="15"/>
      <c r="D56" s="15" t="s">
        <v>20</v>
      </c>
      <c r="E56" s="15" t="s">
        <v>357</v>
      </c>
    </row>
    <row r="57" customFormat="false" ht="15" hidden="false" customHeight="false" outlineLevel="0" collapsed="false">
      <c r="A57" s="15" t="s">
        <v>361</v>
      </c>
      <c r="B57" s="15" t="n">
        <v>465</v>
      </c>
      <c r="C57" s="15"/>
      <c r="D57" s="15" t="s">
        <v>20</v>
      </c>
      <c r="E57" s="15" t="s">
        <v>357</v>
      </c>
    </row>
    <row r="58" customFormat="false" ht="15" hidden="false" customHeight="false" outlineLevel="0" collapsed="false">
      <c r="A58" s="15" t="s">
        <v>362</v>
      </c>
      <c r="B58" s="15" t="n">
        <v>455</v>
      </c>
      <c r="C58" s="15"/>
      <c r="D58" s="15"/>
      <c r="E58" s="15" t="s">
        <v>357</v>
      </c>
    </row>
    <row r="59" customFormat="false" ht="15" hidden="false" customHeight="false" outlineLevel="0" collapsed="false">
      <c r="A59" s="15" t="s">
        <v>363</v>
      </c>
      <c r="B59" s="15" t="n">
        <v>467</v>
      </c>
      <c r="C59" s="15"/>
      <c r="D59" s="15" t="s">
        <v>18</v>
      </c>
      <c r="E59" s="15" t="s">
        <v>357</v>
      </c>
    </row>
    <row r="62" customFormat="false" ht="15" hidden="false" customHeight="false" outlineLevel="0" collapsed="false">
      <c r="A62" s="14" t="s">
        <v>364</v>
      </c>
    </row>
    <row r="63" customFormat="false" ht="69.75" hidden="false" customHeight="true" outlineLevel="0" collapsed="false">
      <c r="A63" s="11" t="s">
        <v>365</v>
      </c>
      <c r="B63" s="11"/>
      <c r="C63" s="11"/>
      <c r="D63" s="11"/>
      <c r="E63" s="11"/>
      <c r="F63" s="11"/>
      <c r="G63" s="11"/>
      <c r="H63" s="11"/>
      <c r="I63" s="11"/>
      <c r="J63" s="11"/>
    </row>
  </sheetData>
  <mergeCells count="1">
    <mergeCell ref="A63:J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366</v>
      </c>
    </row>
    <row r="2" customFormat="false" ht="15" hidden="false" customHeight="false" outlineLevel="0" collapsed="false">
      <c r="A2" s="2" t="s">
        <v>367</v>
      </c>
    </row>
    <row r="4" customFormat="false" ht="43.5" hidden="false" customHeight="true" outlineLevel="0" collapsed="false">
      <c r="A4" s="8" t="s">
        <v>368</v>
      </c>
      <c r="B4" s="8" t="s">
        <v>14</v>
      </c>
      <c r="C4" s="8" t="s">
        <v>369</v>
      </c>
      <c r="D4" s="8" t="s">
        <v>370</v>
      </c>
      <c r="E4" s="8" t="s">
        <v>371</v>
      </c>
      <c r="F4" s="8" t="s">
        <v>372</v>
      </c>
      <c r="G4" s="8" t="s">
        <v>373</v>
      </c>
      <c r="H4" s="8" t="s">
        <v>374</v>
      </c>
      <c r="I4" s="8" t="s">
        <v>375</v>
      </c>
      <c r="J4" s="8" t="s">
        <v>376</v>
      </c>
      <c r="K4" s="8" t="s">
        <v>377</v>
      </c>
      <c r="L4" s="8" t="s">
        <v>349</v>
      </c>
    </row>
    <row r="5" customFormat="false" ht="23.85" hidden="false" customHeight="false" outlineLevel="0" collapsed="false">
      <c r="A5" s="12" t="s">
        <v>378</v>
      </c>
      <c r="B5" s="12" t="s">
        <v>379</v>
      </c>
      <c r="C5" s="12" t="n">
        <v>5</v>
      </c>
      <c r="D5" s="5" t="s">
        <v>380</v>
      </c>
      <c r="E5" s="23" t="n">
        <v>575.3</v>
      </c>
      <c r="F5" s="13" t="n">
        <v>13.9</v>
      </c>
      <c r="G5" s="12" t="s">
        <v>381</v>
      </c>
      <c r="H5" s="12" t="n">
        <v>458</v>
      </c>
      <c r="I5" s="13" t="n">
        <v>4.53592841685929</v>
      </c>
      <c r="J5" s="12"/>
      <c r="K5" s="26" t="s">
        <v>382</v>
      </c>
      <c r="L5" s="5" t="s">
        <v>383</v>
      </c>
    </row>
    <row r="6" customFormat="false" ht="15" hidden="false" customHeight="false" outlineLevel="0" collapsed="false">
      <c r="A6" s="12" t="s">
        <v>384</v>
      </c>
      <c r="B6" s="12" t="s">
        <v>379</v>
      </c>
      <c r="C6" s="12" t="n">
        <v>5</v>
      </c>
      <c r="D6" s="5" t="s">
        <v>385</v>
      </c>
      <c r="E6" s="23" t="n">
        <v>477.1</v>
      </c>
      <c r="F6" s="13" t="n">
        <v>1.2</v>
      </c>
      <c r="G6" s="12" t="s">
        <v>386</v>
      </c>
      <c r="H6" s="12" t="n">
        <v>96</v>
      </c>
      <c r="I6" s="13" t="n">
        <v>3.99859864551052</v>
      </c>
      <c r="J6" s="12" t="n">
        <v>5</v>
      </c>
      <c r="K6" s="26" t="s">
        <v>382</v>
      </c>
      <c r="L6" s="5"/>
    </row>
    <row r="7" customFormat="false" ht="15" hidden="false" customHeight="false" outlineLevel="0" collapsed="false">
      <c r="A7" s="12" t="s">
        <v>387</v>
      </c>
      <c r="B7" s="12" t="s">
        <v>379</v>
      </c>
      <c r="C7" s="12" t="n">
        <v>5</v>
      </c>
      <c r="D7" s="5" t="s">
        <v>388</v>
      </c>
      <c r="E7" s="23" t="n">
        <v>776.2</v>
      </c>
      <c r="F7" s="13" t="n">
        <v>0.9</v>
      </c>
      <c r="G7" s="12" t="s">
        <v>389</v>
      </c>
      <c r="H7" s="12" t="n">
        <v>197</v>
      </c>
      <c r="I7" s="13" t="n">
        <v>2.34902406389644</v>
      </c>
      <c r="J7" s="12" t="n">
        <v>4</v>
      </c>
      <c r="K7" s="26" t="s">
        <v>382</v>
      </c>
      <c r="L7" s="5"/>
    </row>
    <row r="8" customFormat="false" ht="15" hidden="false" customHeight="false" outlineLevel="0" collapsed="false">
      <c r="A8" s="12" t="s">
        <v>390</v>
      </c>
      <c r="B8" s="12" t="s">
        <v>18</v>
      </c>
      <c r="C8" s="12" t="n">
        <v>5</v>
      </c>
      <c r="D8" s="5" t="s">
        <v>391</v>
      </c>
      <c r="E8" s="23" t="n">
        <v>818.1</v>
      </c>
      <c r="F8" s="13" t="n">
        <v>2.5</v>
      </c>
      <c r="G8" s="12" t="s">
        <v>392</v>
      </c>
      <c r="H8" s="12" t="n">
        <v>430</v>
      </c>
      <c r="I8" s="13" t="n">
        <v>9.02644029790708</v>
      </c>
      <c r="J8" s="12" t="n">
        <v>4</v>
      </c>
      <c r="K8" s="26" t="s">
        <v>382</v>
      </c>
      <c r="L8" s="5"/>
    </row>
    <row r="9" customFormat="false" ht="15" hidden="false" customHeight="false" outlineLevel="0" collapsed="false">
      <c r="A9" s="12" t="s">
        <v>393</v>
      </c>
      <c r="B9" s="12" t="s">
        <v>18</v>
      </c>
      <c r="C9" s="12" t="n">
        <v>4</v>
      </c>
      <c r="D9" s="5" t="s">
        <v>394</v>
      </c>
      <c r="E9" s="23" t="n">
        <v>685.1</v>
      </c>
      <c r="F9" s="13" t="n">
        <v>0.5</v>
      </c>
      <c r="G9" s="12" t="s">
        <v>395</v>
      </c>
      <c r="H9" s="12" t="n">
        <v>165</v>
      </c>
      <c r="I9" s="13" t="n">
        <v>0.459710770392601</v>
      </c>
      <c r="J9" s="12" t="n">
        <v>5</v>
      </c>
      <c r="K9" s="26" t="s">
        <v>382</v>
      </c>
      <c r="L9" s="5"/>
    </row>
    <row r="10" customFormat="false" ht="15" hidden="false" customHeight="false" outlineLevel="0" collapsed="false">
      <c r="A10" s="12" t="s">
        <v>396</v>
      </c>
      <c r="B10" s="12" t="s">
        <v>18</v>
      </c>
      <c r="C10" s="12" t="n">
        <v>4</v>
      </c>
      <c r="D10" s="5" t="s">
        <v>397</v>
      </c>
      <c r="E10" s="23" t="n">
        <v>754.7</v>
      </c>
      <c r="F10" s="13" t="n">
        <v>0.4</v>
      </c>
      <c r="G10" s="12" t="s">
        <v>398</v>
      </c>
      <c r="H10" s="12" t="n">
        <v>168</v>
      </c>
      <c r="I10" s="13" t="n">
        <v>0.321473490557358</v>
      </c>
      <c r="J10" s="12" t="n">
        <v>5</v>
      </c>
      <c r="K10" s="26" t="s">
        <v>382</v>
      </c>
      <c r="L10" s="5"/>
    </row>
    <row r="11" customFormat="false" ht="15" hidden="false" customHeight="false" outlineLevel="0" collapsed="false">
      <c r="A11" s="12" t="s">
        <v>399</v>
      </c>
      <c r="B11" s="12" t="s">
        <v>18</v>
      </c>
      <c r="C11" s="12" t="n">
        <v>5</v>
      </c>
      <c r="D11" s="5" t="s">
        <v>400</v>
      </c>
      <c r="E11" s="23" t="n">
        <v>1040.4</v>
      </c>
      <c r="F11" s="13" t="n">
        <v>1.5</v>
      </c>
      <c r="G11" s="12" t="s">
        <v>401</v>
      </c>
      <c r="H11" s="12" t="n">
        <v>159</v>
      </c>
      <c r="I11" s="13" t="n">
        <v>0.912089790780208</v>
      </c>
      <c r="J11" s="12" t="n">
        <v>5</v>
      </c>
      <c r="K11" s="26" t="s">
        <v>382</v>
      </c>
      <c r="L11" s="5"/>
    </row>
    <row r="12" customFormat="false" ht="15" hidden="false" customHeight="false" outlineLevel="0" collapsed="false">
      <c r="A12" s="12" t="s">
        <v>402</v>
      </c>
      <c r="B12" s="12" t="s">
        <v>18</v>
      </c>
      <c r="C12" s="12" t="n">
        <v>4</v>
      </c>
      <c r="D12" s="5" t="s">
        <v>403</v>
      </c>
      <c r="E12" s="23" t="n">
        <v>797.4</v>
      </c>
      <c r="F12" s="13" t="n">
        <v>1.4</v>
      </c>
      <c r="G12" s="12" t="s">
        <v>404</v>
      </c>
      <c r="H12" s="12" t="n">
        <v>396</v>
      </c>
      <c r="I12" s="13" t="n">
        <v>10.3176668111996</v>
      </c>
      <c r="J12" s="12" t="n">
        <v>5</v>
      </c>
      <c r="K12" s="26" t="s">
        <v>382</v>
      </c>
      <c r="L12" s="5"/>
    </row>
    <row r="13" customFormat="false" ht="15" hidden="false" customHeight="false" outlineLevel="0" collapsed="false">
      <c r="A13" s="12" t="s">
        <v>405</v>
      </c>
      <c r="B13" s="12" t="s">
        <v>20</v>
      </c>
      <c r="C13" s="12" t="n">
        <v>4</v>
      </c>
      <c r="D13" s="5" t="s">
        <v>406</v>
      </c>
      <c r="E13" s="23" t="n">
        <v>728</v>
      </c>
      <c r="F13" s="13" t="n">
        <v>2.2</v>
      </c>
      <c r="G13" s="12" t="s">
        <v>407</v>
      </c>
      <c r="H13" s="12" t="n">
        <v>193</v>
      </c>
      <c r="I13" s="13" t="n">
        <v>2.03834382880517</v>
      </c>
      <c r="J13" s="12" t="n">
        <v>4</v>
      </c>
      <c r="K13" s="26" t="s">
        <v>382</v>
      </c>
      <c r="L13" s="5"/>
    </row>
    <row r="14" customFormat="false" ht="15" hidden="false" customHeight="false" outlineLevel="0" collapsed="false">
      <c r="A14" s="12" t="s">
        <v>408</v>
      </c>
      <c r="B14" s="12" t="s">
        <v>20</v>
      </c>
      <c r="C14" s="12" t="n">
        <v>5</v>
      </c>
      <c r="D14" s="5" t="s">
        <v>409</v>
      </c>
      <c r="E14" s="23" t="n">
        <v>827.2</v>
      </c>
      <c r="F14" s="13" t="n">
        <v>1.1</v>
      </c>
      <c r="G14" s="12" t="s">
        <v>410</v>
      </c>
      <c r="H14" s="12" t="n">
        <v>205</v>
      </c>
      <c r="I14" s="13" t="n">
        <v>1.38246977424537</v>
      </c>
      <c r="J14" s="12" t="n">
        <v>5</v>
      </c>
      <c r="K14" s="26" t="s">
        <v>382</v>
      </c>
      <c r="L14" s="5"/>
    </row>
    <row r="15" customFormat="false" ht="23.85" hidden="false" customHeight="false" outlineLevel="0" collapsed="false">
      <c r="A15" s="12" t="s">
        <v>411</v>
      </c>
      <c r="B15" s="12" t="s">
        <v>20</v>
      </c>
      <c r="C15" s="12" t="n">
        <v>5</v>
      </c>
      <c r="D15" s="5" t="s">
        <v>412</v>
      </c>
      <c r="E15" s="23" t="n">
        <v>679.8</v>
      </c>
      <c r="F15" s="13" t="n">
        <v>0.9</v>
      </c>
      <c r="G15" s="12" t="s">
        <v>413</v>
      </c>
      <c r="H15" s="12" t="n">
        <v>459</v>
      </c>
      <c r="I15" s="13" t="n">
        <v>0.244382393032632</v>
      </c>
      <c r="J15" s="12"/>
      <c r="K15" s="26" t="s">
        <v>382</v>
      </c>
      <c r="L15" s="5" t="s">
        <v>383</v>
      </c>
    </row>
    <row r="16" customFormat="false" ht="15" hidden="false" customHeight="false" outlineLevel="0" collapsed="false">
      <c r="A16" s="12" t="s">
        <v>414</v>
      </c>
      <c r="B16" s="12" t="s">
        <v>20</v>
      </c>
      <c r="C16" s="12" t="n">
        <v>4</v>
      </c>
      <c r="D16" s="5" t="s">
        <v>415</v>
      </c>
      <c r="E16" s="23" t="n">
        <v>512</v>
      </c>
      <c r="F16" s="13" t="n">
        <v>0.2</v>
      </c>
      <c r="G16" s="12" t="s">
        <v>416</v>
      </c>
      <c r="H16" s="12" t="n">
        <v>230</v>
      </c>
      <c r="I16" s="13" t="n">
        <v>2.94930628595039</v>
      </c>
      <c r="J16" s="12" t="n">
        <v>4</v>
      </c>
      <c r="K16" s="26" t="s">
        <v>382</v>
      </c>
      <c r="L16" s="5" t="s">
        <v>417</v>
      </c>
    </row>
    <row r="17" customFormat="false" ht="15" hidden="false" customHeight="false" outlineLevel="0" collapsed="false">
      <c r="A17" s="12" t="s">
        <v>418</v>
      </c>
      <c r="B17" s="12" t="s">
        <v>20</v>
      </c>
      <c r="C17" s="12" t="n">
        <v>5</v>
      </c>
      <c r="D17" s="5" t="s">
        <v>419</v>
      </c>
      <c r="E17" s="23" t="n">
        <v>788.5</v>
      </c>
      <c r="F17" s="13" t="n">
        <v>1</v>
      </c>
      <c r="G17" s="12" t="s">
        <v>420</v>
      </c>
      <c r="H17" s="12" t="n">
        <v>194</v>
      </c>
      <c r="I17" s="13" t="n">
        <v>2.49181590368749</v>
      </c>
      <c r="J17" s="12" t="n">
        <v>4</v>
      </c>
      <c r="K17" s="26" t="s">
        <v>382</v>
      </c>
      <c r="L17" s="5"/>
    </row>
    <row r="18" customFormat="false" ht="15" hidden="false" customHeight="false" outlineLevel="0" collapsed="false">
      <c r="A18" s="12" t="s">
        <v>421</v>
      </c>
      <c r="B18" s="12" t="s">
        <v>20</v>
      </c>
      <c r="C18" s="12" t="n">
        <v>4</v>
      </c>
      <c r="D18" s="5" t="s">
        <v>422</v>
      </c>
      <c r="E18" s="23" t="n">
        <v>465.6</v>
      </c>
      <c r="F18" s="13" t="n">
        <v>0.1</v>
      </c>
      <c r="G18" s="12" t="s">
        <v>423</v>
      </c>
      <c r="H18" s="12" t="n">
        <v>227</v>
      </c>
      <c r="I18" s="13" t="n">
        <v>1.13396099565034</v>
      </c>
      <c r="J18" s="12" t="n">
        <v>5</v>
      </c>
      <c r="K18" s="26" t="s">
        <v>382</v>
      </c>
      <c r="L18" s="5"/>
    </row>
    <row r="19" customFormat="false" ht="15" hidden="false" customHeight="false" outlineLevel="0" collapsed="false">
      <c r="A19" s="12" t="s">
        <v>424</v>
      </c>
      <c r="B19" s="12" t="s">
        <v>20</v>
      </c>
      <c r="C19" s="12" t="n">
        <v>4</v>
      </c>
      <c r="D19" s="5" t="s">
        <v>425</v>
      </c>
      <c r="E19" s="23" t="n">
        <v>493.3</v>
      </c>
      <c r="F19" s="13" t="n">
        <v>1.5</v>
      </c>
      <c r="G19" s="12" t="s">
        <v>426</v>
      </c>
      <c r="H19" s="12" t="n">
        <v>241</v>
      </c>
      <c r="I19" s="13" t="n">
        <v>1.03307639585319</v>
      </c>
      <c r="J19" s="12" t="n">
        <v>4</v>
      </c>
      <c r="K19" s="26" t="s">
        <v>382</v>
      </c>
      <c r="L19" s="5"/>
    </row>
    <row r="20" customFormat="false" ht="23.85" hidden="false" customHeight="false" outlineLevel="0" collapsed="false">
      <c r="A20" s="12" t="s">
        <v>427</v>
      </c>
      <c r="B20" s="12" t="s">
        <v>20</v>
      </c>
      <c r="C20" s="12" t="n">
        <v>5</v>
      </c>
      <c r="D20" s="5" t="s">
        <v>428</v>
      </c>
      <c r="E20" s="23" t="n">
        <v>582.6</v>
      </c>
      <c r="F20" s="13" t="n">
        <v>0.5</v>
      </c>
      <c r="G20" s="12" t="s">
        <v>429</v>
      </c>
      <c r="H20" s="12" t="n">
        <v>231</v>
      </c>
      <c r="I20" s="13" t="n">
        <v>2.39047221260833</v>
      </c>
      <c r="J20" s="12" t="n">
        <v>5</v>
      </c>
      <c r="K20" s="26" t="s">
        <v>382</v>
      </c>
      <c r="L20" s="5"/>
    </row>
    <row r="21" customFormat="false" ht="15" hidden="false" customHeight="false" outlineLevel="0" collapsed="false">
      <c r="A21" s="12" t="s">
        <v>430</v>
      </c>
      <c r="B21" s="12" t="s">
        <v>351</v>
      </c>
      <c r="C21" s="12" t="n">
        <v>5</v>
      </c>
      <c r="D21" s="5" t="s">
        <v>431</v>
      </c>
      <c r="E21" s="23" t="n">
        <v>717.4</v>
      </c>
      <c r="F21" s="13" t="n">
        <v>11.1</v>
      </c>
      <c r="G21" s="12" t="s">
        <v>432</v>
      </c>
      <c r="H21" s="12"/>
      <c r="I21" s="13"/>
      <c r="J21" s="12"/>
      <c r="K21" s="27" t="s">
        <v>433</v>
      </c>
      <c r="L21" s="5" t="s">
        <v>434</v>
      </c>
    </row>
    <row r="22" customFormat="false" ht="15" hidden="false" customHeight="false" outlineLevel="0" collapsed="false">
      <c r="A22" s="12" t="s">
        <v>435</v>
      </c>
      <c r="B22" s="12" t="s">
        <v>22</v>
      </c>
      <c r="C22" s="12" t="n">
        <v>4</v>
      </c>
      <c r="D22" s="5" t="s">
        <v>436</v>
      </c>
      <c r="E22" s="23" t="n">
        <v>844.7</v>
      </c>
      <c r="F22" s="13" t="n">
        <v>1.7</v>
      </c>
      <c r="G22" s="12" t="s">
        <v>437</v>
      </c>
      <c r="H22" s="12" t="n">
        <v>195</v>
      </c>
      <c r="I22" s="13" t="n">
        <v>7.89957206768953</v>
      </c>
      <c r="J22" s="12" t="n">
        <v>5</v>
      </c>
      <c r="K22" s="26" t="s">
        <v>382</v>
      </c>
      <c r="L22" s="5" t="s">
        <v>417</v>
      </c>
    </row>
    <row r="23" customFormat="false" ht="15" hidden="false" customHeight="false" outlineLevel="0" collapsed="false">
      <c r="A23" s="12" t="s">
        <v>438</v>
      </c>
      <c r="B23" s="12" t="s">
        <v>22</v>
      </c>
      <c r="C23" s="12" t="n">
        <v>4</v>
      </c>
      <c r="D23" s="5" t="s">
        <v>439</v>
      </c>
      <c r="E23" s="23" t="n">
        <v>756.9</v>
      </c>
      <c r="F23" s="13" t="n">
        <v>0.3</v>
      </c>
      <c r="G23" s="12" t="s">
        <v>440</v>
      </c>
      <c r="H23" s="12" t="n">
        <v>422</v>
      </c>
      <c r="I23" s="13" t="n">
        <v>3.28095181543213</v>
      </c>
      <c r="J23" s="12" t="n">
        <v>5</v>
      </c>
      <c r="K23" s="26" t="s">
        <v>382</v>
      </c>
      <c r="L23" s="5"/>
    </row>
    <row r="24" customFormat="false" ht="15" hidden="false" customHeight="false" outlineLevel="0" collapsed="false">
      <c r="A24" s="12" t="s">
        <v>441</v>
      </c>
      <c r="B24" s="12" t="s">
        <v>22</v>
      </c>
      <c r="C24" s="12" t="n">
        <v>5</v>
      </c>
      <c r="D24" s="5" t="s">
        <v>442</v>
      </c>
      <c r="E24" s="23" t="n">
        <v>1006.6</v>
      </c>
      <c r="F24" s="13" t="n">
        <v>0.4</v>
      </c>
      <c r="G24" s="12" t="s">
        <v>443</v>
      </c>
      <c r="H24" s="12" t="n">
        <v>408</v>
      </c>
      <c r="I24" s="13" t="n">
        <v>4.07614422200711</v>
      </c>
      <c r="J24" s="12" t="n">
        <v>4</v>
      </c>
      <c r="K24" s="26" t="s">
        <v>382</v>
      </c>
      <c r="L24" s="5" t="s">
        <v>417</v>
      </c>
    </row>
    <row r="25" customFormat="false" ht="15" hidden="false" customHeight="false" outlineLevel="0" collapsed="false">
      <c r="A25" s="12" t="s">
        <v>444</v>
      </c>
      <c r="B25" s="12" t="s">
        <v>22</v>
      </c>
      <c r="C25" s="12" t="n">
        <v>4</v>
      </c>
      <c r="D25" s="5" t="s">
        <v>445</v>
      </c>
      <c r="E25" s="23" t="n">
        <v>762.3</v>
      </c>
      <c r="F25" s="13" t="n">
        <v>0.8</v>
      </c>
      <c r="G25" s="12" t="s">
        <v>446</v>
      </c>
      <c r="H25" s="12" t="n">
        <v>440</v>
      </c>
      <c r="I25" s="13" t="n">
        <v>2.56566381077932</v>
      </c>
      <c r="J25" s="12" t="n">
        <v>4</v>
      </c>
      <c r="K25" s="26" t="s">
        <v>382</v>
      </c>
      <c r="L25" s="5" t="s">
        <v>417</v>
      </c>
    </row>
    <row r="26" customFormat="false" ht="15" hidden="false" customHeight="false" outlineLevel="0" collapsed="false">
      <c r="A26" s="12" t="s">
        <v>447</v>
      </c>
      <c r="B26" s="12" t="s">
        <v>22</v>
      </c>
      <c r="C26" s="12" t="n">
        <v>4</v>
      </c>
      <c r="D26" s="5" t="s">
        <v>448</v>
      </c>
      <c r="E26" s="23" t="n">
        <v>705.9</v>
      </c>
      <c r="F26" s="13" t="n">
        <v>0.8</v>
      </c>
      <c r="G26" s="12" t="s">
        <v>449</v>
      </c>
      <c r="H26" s="12" t="n">
        <v>441</v>
      </c>
      <c r="I26" s="13" t="n">
        <v>5.27882228459866</v>
      </c>
      <c r="J26" s="12" t="n">
        <v>4</v>
      </c>
      <c r="K26" s="26" t="s">
        <v>382</v>
      </c>
      <c r="L26" s="5" t="s">
        <v>417</v>
      </c>
    </row>
    <row r="28" customFormat="false" ht="15" hidden="false" customHeight="false" outlineLevel="0" collapsed="false">
      <c r="A28" s="2" t="s">
        <v>450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451</v>
      </c>
    </row>
    <row r="2" customFormat="false" ht="15" hidden="false" customHeight="false" outlineLevel="0" collapsed="false">
      <c r="A2" s="2" t="s">
        <v>452</v>
      </c>
    </row>
    <row r="4" customFormat="false" ht="31.5" hidden="false" customHeight="true" outlineLevel="0" collapsed="false">
      <c r="A4" s="8" t="s">
        <v>368</v>
      </c>
      <c r="B4" s="8" t="s">
        <v>14</v>
      </c>
      <c r="C4" s="8" t="s">
        <v>453</v>
      </c>
      <c r="D4" s="8" t="s">
        <v>71</v>
      </c>
      <c r="E4" s="8" t="s">
        <v>454</v>
      </c>
      <c r="F4" s="8" t="s">
        <v>455</v>
      </c>
      <c r="G4" s="8" t="s">
        <v>456</v>
      </c>
    </row>
    <row r="5" customFormat="false" ht="15" hidden="false" customHeight="false" outlineLevel="0" collapsed="false">
      <c r="A5" s="12" t="s">
        <v>378</v>
      </c>
      <c r="B5" s="12" t="s">
        <v>379</v>
      </c>
      <c r="C5" s="12" t="s">
        <v>457</v>
      </c>
      <c r="D5" s="12" t="n">
        <v>83</v>
      </c>
      <c r="E5" s="12" t="s">
        <v>458</v>
      </c>
      <c r="F5" s="23" t="n">
        <v>86</v>
      </c>
      <c r="G5" s="12" t="s">
        <v>381</v>
      </c>
    </row>
    <row r="6" customFormat="false" ht="15" hidden="false" customHeight="false" outlineLevel="0" collapsed="false">
      <c r="A6" s="12" t="s">
        <v>378</v>
      </c>
      <c r="B6" s="12" t="s">
        <v>379</v>
      </c>
      <c r="C6" s="12" t="s">
        <v>459</v>
      </c>
      <c r="D6" s="12" t="n">
        <v>49</v>
      </c>
      <c r="E6" s="12" t="s">
        <v>458</v>
      </c>
      <c r="F6" s="23" t="n">
        <v>145.5</v>
      </c>
      <c r="G6" s="12" t="s">
        <v>381</v>
      </c>
    </row>
    <row r="7" customFormat="false" ht="15" hidden="false" customHeight="false" outlineLevel="0" collapsed="false">
      <c r="A7" s="12" t="s">
        <v>378</v>
      </c>
      <c r="B7" s="12" t="s">
        <v>379</v>
      </c>
      <c r="C7" s="12" t="s">
        <v>460</v>
      </c>
      <c r="D7" s="12" t="n">
        <v>101</v>
      </c>
      <c r="E7" s="12" t="s">
        <v>458</v>
      </c>
      <c r="F7" s="23" t="n">
        <v>134.8</v>
      </c>
      <c r="G7" s="12" t="s">
        <v>381</v>
      </c>
    </row>
    <row r="8" customFormat="false" ht="15" hidden="false" customHeight="false" outlineLevel="0" collapsed="false">
      <c r="A8" s="12" t="s">
        <v>378</v>
      </c>
      <c r="B8" s="12" t="s">
        <v>379</v>
      </c>
      <c r="C8" s="12" t="s">
        <v>461</v>
      </c>
      <c r="D8" s="12" t="n">
        <v>122</v>
      </c>
      <c r="E8" s="12" t="s">
        <v>458</v>
      </c>
      <c r="F8" s="23" t="n">
        <v>127.2</v>
      </c>
      <c r="G8" s="12" t="s">
        <v>381</v>
      </c>
    </row>
    <row r="9" customFormat="false" ht="15" hidden="false" customHeight="false" outlineLevel="0" collapsed="false">
      <c r="A9" s="12" t="s">
        <v>378</v>
      </c>
      <c r="B9" s="12" t="s">
        <v>379</v>
      </c>
      <c r="C9" s="12" t="s">
        <v>462</v>
      </c>
      <c r="D9" s="12" t="n">
        <v>125</v>
      </c>
      <c r="E9" s="12" t="s">
        <v>458</v>
      </c>
      <c r="F9" s="23" t="n">
        <v>81.8</v>
      </c>
      <c r="G9" s="12" t="s">
        <v>381</v>
      </c>
    </row>
    <row r="10" customFormat="false" ht="15" hidden="false" customHeight="false" outlineLevel="0" collapsed="false">
      <c r="A10" s="12" t="s">
        <v>384</v>
      </c>
      <c r="B10" s="12" t="s">
        <v>379</v>
      </c>
      <c r="C10" s="12" t="s">
        <v>463</v>
      </c>
      <c r="D10" s="12" t="n">
        <v>106</v>
      </c>
      <c r="E10" s="12" t="s">
        <v>458</v>
      </c>
      <c r="F10" s="23" t="n">
        <v>69.7</v>
      </c>
      <c r="G10" s="12" t="s">
        <v>386</v>
      </c>
    </row>
    <row r="11" customFormat="false" ht="15" hidden="false" customHeight="false" outlineLevel="0" collapsed="false">
      <c r="A11" s="12" t="s">
        <v>384</v>
      </c>
      <c r="B11" s="12" t="s">
        <v>379</v>
      </c>
      <c r="C11" s="12" t="s">
        <v>464</v>
      </c>
      <c r="D11" s="12" t="n">
        <v>108</v>
      </c>
      <c r="E11" s="12" t="s">
        <v>458</v>
      </c>
      <c r="F11" s="23" t="n">
        <v>85.5</v>
      </c>
      <c r="G11" s="12" t="s">
        <v>386</v>
      </c>
    </row>
    <row r="12" customFormat="false" ht="15" hidden="false" customHeight="false" outlineLevel="0" collapsed="false">
      <c r="A12" s="12" t="s">
        <v>384</v>
      </c>
      <c r="B12" s="12" t="s">
        <v>379</v>
      </c>
      <c r="C12" s="12" t="s">
        <v>465</v>
      </c>
      <c r="D12" s="12" t="n">
        <v>117</v>
      </c>
      <c r="E12" s="12" t="s">
        <v>458</v>
      </c>
      <c r="F12" s="23" t="n">
        <v>78.8</v>
      </c>
      <c r="G12" s="12" t="s">
        <v>386</v>
      </c>
    </row>
    <row r="13" customFormat="false" ht="15" hidden="false" customHeight="false" outlineLevel="0" collapsed="false">
      <c r="A13" s="12" t="s">
        <v>384</v>
      </c>
      <c r="B13" s="12" t="s">
        <v>379</v>
      </c>
      <c r="C13" s="12" t="s">
        <v>466</v>
      </c>
      <c r="D13" s="12" t="n">
        <v>127</v>
      </c>
      <c r="E13" s="12" t="s">
        <v>458</v>
      </c>
      <c r="F13" s="23" t="n">
        <v>159.7</v>
      </c>
      <c r="G13" s="12" t="s">
        <v>386</v>
      </c>
    </row>
    <row r="14" customFormat="false" ht="15" hidden="false" customHeight="false" outlineLevel="0" collapsed="false">
      <c r="A14" s="12" t="s">
        <v>384</v>
      </c>
      <c r="B14" s="12" t="s">
        <v>379</v>
      </c>
      <c r="C14" s="12" t="s">
        <v>467</v>
      </c>
      <c r="D14" s="12" t="n">
        <v>129</v>
      </c>
      <c r="E14" s="12" t="s">
        <v>458</v>
      </c>
      <c r="F14" s="23" t="n">
        <v>83.4</v>
      </c>
      <c r="G14" s="12" t="s">
        <v>386</v>
      </c>
    </row>
    <row r="15" customFormat="false" ht="15" hidden="false" customHeight="false" outlineLevel="0" collapsed="false">
      <c r="A15" s="12" t="s">
        <v>387</v>
      </c>
      <c r="B15" s="12" t="s">
        <v>379</v>
      </c>
      <c r="C15" s="12" t="s">
        <v>468</v>
      </c>
      <c r="D15" s="12" t="n">
        <v>74</v>
      </c>
      <c r="E15" s="12" t="s">
        <v>458</v>
      </c>
      <c r="F15" s="23" t="n">
        <v>146.1</v>
      </c>
      <c r="G15" s="12" t="s">
        <v>389</v>
      </c>
    </row>
    <row r="16" customFormat="false" ht="15" hidden="false" customHeight="false" outlineLevel="0" collapsed="false">
      <c r="A16" s="12" t="s">
        <v>387</v>
      </c>
      <c r="B16" s="12" t="s">
        <v>379</v>
      </c>
      <c r="C16" s="12" t="s">
        <v>469</v>
      </c>
      <c r="D16" s="12" t="n">
        <v>94</v>
      </c>
      <c r="E16" s="12" t="s">
        <v>458</v>
      </c>
      <c r="F16" s="23" t="n">
        <v>150.3</v>
      </c>
      <c r="G16" s="12" t="s">
        <v>389</v>
      </c>
    </row>
    <row r="17" customFormat="false" ht="15" hidden="false" customHeight="false" outlineLevel="0" collapsed="false">
      <c r="A17" s="12" t="s">
        <v>387</v>
      </c>
      <c r="B17" s="12" t="s">
        <v>379</v>
      </c>
      <c r="C17" s="12" t="s">
        <v>470</v>
      </c>
      <c r="D17" s="12" t="n">
        <v>102</v>
      </c>
      <c r="E17" s="12" t="s">
        <v>458</v>
      </c>
      <c r="F17" s="23" t="n">
        <v>146.5</v>
      </c>
      <c r="G17" s="12" t="s">
        <v>389</v>
      </c>
    </row>
    <row r="18" customFormat="false" ht="15" hidden="false" customHeight="false" outlineLevel="0" collapsed="false">
      <c r="A18" s="12" t="s">
        <v>387</v>
      </c>
      <c r="B18" s="12" t="s">
        <v>379</v>
      </c>
      <c r="C18" s="12" t="s">
        <v>471</v>
      </c>
      <c r="D18" s="12" t="n">
        <v>27</v>
      </c>
      <c r="E18" s="12" t="s">
        <v>458</v>
      </c>
      <c r="F18" s="23" t="n">
        <v>213.6</v>
      </c>
      <c r="G18" s="12" t="s">
        <v>389</v>
      </c>
    </row>
    <row r="19" customFormat="false" ht="15" hidden="false" customHeight="false" outlineLevel="0" collapsed="false">
      <c r="A19" s="12" t="s">
        <v>387</v>
      </c>
      <c r="B19" s="12" t="s">
        <v>379</v>
      </c>
      <c r="C19" s="12" t="s">
        <v>154</v>
      </c>
      <c r="D19" s="12" t="n">
        <v>60</v>
      </c>
      <c r="E19" s="12" t="s">
        <v>472</v>
      </c>
      <c r="F19" s="23" t="n">
        <v>119.7</v>
      </c>
      <c r="G19" s="12" t="s">
        <v>389</v>
      </c>
    </row>
    <row r="20" customFormat="false" ht="15" hidden="false" customHeight="false" outlineLevel="0" collapsed="false">
      <c r="A20" s="12" t="s">
        <v>390</v>
      </c>
      <c r="B20" s="12" t="s">
        <v>18</v>
      </c>
      <c r="C20" s="12" t="s">
        <v>197</v>
      </c>
      <c r="D20" s="12" t="n">
        <v>310</v>
      </c>
      <c r="E20" s="12" t="s">
        <v>472</v>
      </c>
      <c r="F20" s="23" t="n">
        <v>216.7</v>
      </c>
      <c r="G20" s="12" t="s">
        <v>392</v>
      </c>
    </row>
    <row r="21" customFormat="false" ht="15" hidden="false" customHeight="false" outlineLevel="0" collapsed="false">
      <c r="A21" s="12" t="s">
        <v>390</v>
      </c>
      <c r="B21" s="12" t="s">
        <v>18</v>
      </c>
      <c r="C21" s="12" t="s">
        <v>84</v>
      </c>
      <c r="D21" s="12" t="n">
        <v>44</v>
      </c>
      <c r="E21" s="12" t="s">
        <v>472</v>
      </c>
      <c r="F21" s="23" t="n">
        <v>156</v>
      </c>
      <c r="G21" s="12" t="s">
        <v>392</v>
      </c>
    </row>
    <row r="22" customFormat="false" ht="15" hidden="false" customHeight="false" outlineLevel="0" collapsed="false">
      <c r="A22" s="12" t="s">
        <v>390</v>
      </c>
      <c r="B22" s="12" t="s">
        <v>18</v>
      </c>
      <c r="C22" s="12" t="s">
        <v>256</v>
      </c>
      <c r="D22" s="12" t="n">
        <v>77</v>
      </c>
      <c r="E22" s="12" t="s">
        <v>472</v>
      </c>
      <c r="F22" s="23" t="n">
        <v>98.1</v>
      </c>
      <c r="G22" s="12" t="s">
        <v>392</v>
      </c>
    </row>
    <row r="23" customFormat="false" ht="15" hidden="false" customHeight="false" outlineLevel="0" collapsed="false">
      <c r="A23" s="12" t="s">
        <v>390</v>
      </c>
      <c r="B23" s="12" t="s">
        <v>18</v>
      </c>
      <c r="C23" s="12" t="s">
        <v>93</v>
      </c>
      <c r="D23" s="12" t="n">
        <v>99</v>
      </c>
      <c r="E23" s="12" t="s">
        <v>472</v>
      </c>
      <c r="F23" s="23" t="n">
        <v>155.3</v>
      </c>
      <c r="G23" s="12" t="s">
        <v>392</v>
      </c>
    </row>
    <row r="24" customFormat="false" ht="15" hidden="false" customHeight="false" outlineLevel="0" collapsed="false">
      <c r="A24" s="12" t="s">
        <v>390</v>
      </c>
      <c r="B24" s="12" t="s">
        <v>18</v>
      </c>
      <c r="C24" s="12" t="s">
        <v>473</v>
      </c>
      <c r="D24" s="12" t="n">
        <v>166</v>
      </c>
      <c r="E24" s="12" t="s">
        <v>458</v>
      </c>
      <c r="F24" s="23" t="n">
        <v>192</v>
      </c>
      <c r="G24" s="12" t="s">
        <v>392</v>
      </c>
    </row>
    <row r="25" customFormat="false" ht="15" hidden="false" customHeight="false" outlineLevel="0" collapsed="false">
      <c r="A25" s="12" t="s">
        <v>393</v>
      </c>
      <c r="B25" s="12" t="s">
        <v>18</v>
      </c>
      <c r="C25" s="12" t="s">
        <v>118</v>
      </c>
      <c r="D25" s="12" t="n">
        <v>365</v>
      </c>
      <c r="E25" s="12" t="s">
        <v>472</v>
      </c>
      <c r="F25" s="23" t="n">
        <v>143.2</v>
      </c>
      <c r="G25" s="12" t="s">
        <v>395</v>
      </c>
    </row>
    <row r="26" customFormat="false" ht="15" hidden="false" customHeight="false" outlineLevel="0" collapsed="false">
      <c r="A26" s="12" t="s">
        <v>393</v>
      </c>
      <c r="B26" s="12" t="s">
        <v>18</v>
      </c>
      <c r="C26" s="12" t="s">
        <v>474</v>
      </c>
      <c r="D26" s="12" t="n">
        <v>426</v>
      </c>
      <c r="E26" s="12" t="s">
        <v>458</v>
      </c>
      <c r="F26" s="23" t="n">
        <v>214.1</v>
      </c>
      <c r="G26" s="12" t="s">
        <v>395</v>
      </c>
    </row>
    <row r="27" customFormat="false" ht="15" hidden="false" customHeight="false" outlineLevel="0" collapsed="false">
      <c r="A27" s="12" t="s">
        <v>393</v>
      </c>
      <c r="B27" s="12" t="s">
        <v>18</v>
      </c>
      <c r="C27" s="12" t="s">
        <v>134</v>
      </c>
      <c r="D27" s="12" t="n">
        <v>276</v>
      </c>
      <c r="E27" s="12" t="s">
        <v>472</v>
      </c>
      <c r="F27" s="23" t="n">
        <v>114.7</v>
      </c>
      <c r="G27" s="12" t="s">
        <v>395</v>
      </c>
    </row>
    <row r="28" customFormat="false" ht="15" hidden="false" customHeight="false" outlineLevel="0" collapsed="false">
      <c r="A28" s="12" t="s">
        <v>393</v>
      </c>
      <c r="B28" s="12" t="s">
        <v>18</v>
      </c>
      <c r="C28" s="12" t="s">
        <v>475</v>
      </c>
      <c r="D28" s="12" t="n">
        <v>167</v>
      </c>
      <c r="E28" s="12" t="s">
        <v>458</v>
      </c>
      <c r="F28" s="23" t="n">
        <v>213.1</v>
      </c>
      <c r="G28" s="12" t="s">
        <v>395</v>
      </c>
    </row>
    <row r="29" customFormat="false" ht="15" hidden="false" customHeight="false" outlineLevel="0" collapsed="false">
      <c r="A29" s="12" t="s">
        <v>396</v>
      </c>
      <c r="B29" s="12" t="s">
        <v>18</v>
      </c>
      <c r="C29" s="12" t="s">
        <v>105</v>
      </c>
      <c r="D29" s="12" t="n">
        <v>283</v>
      </c>
      <c r="E29" s="12" t="s">
        <v>472</v>
      </c>
      <c r="F29" s="23" t="n">
        <v>155.1</v>
      </c>
      <c r="G29" s="12" t="s">
        <v>398</v>
      </c>
    </row>
    <row r="30" customFormat="false" ht="15" hidden="false" customHeight="false" outlineLevel="0" collapsed="false">
      <c r="A30" s="12" t="s">
        <v>396</v>
      </c>
      <c r="B30" s="12" t="s">
        <v>18</v>
      </c>
      <c r="C30" s="12" t="s">
        <v>476</v>
      </c>
      <c r="D30" s="12" t="n">
        <v>437</v>
      </c>
      <c r="E30" s="12" t="s">
        <v>458</v>
      </c>
      <c r="F30" s="23" t="n">
        <v>165.8</v>
      </c>
      <c r="G30" s="12" t="s">
        <v>398</v>
      </c>
    </row>
    <row r="31" customFormat="false" ht="15" hidden="false" customHeight="false" outlineLevel="0" collapsed="false">
      <c r="A31" s="12" t="s">
        <v>396</v>
      </c>
      <c r="B31" s="12" t="s">
        <v>18</v>
      </c>
      <c r="C31" s="12" t="s">
        <v>477</v>
      </c>
      <c r="D31" s="12" t="n">
        <v>439</v>
      </c>
      <c r="E31" s="12" t="s">
        <v>478</v>
      </c>
      <c r="F31" s="23" t="n">
        <v>214.7</v>
      </c>
      <c r="G31" s="12" t="s">
        <v>398</v>
      </c>
    </row>
    <row r="32" customFormat="false" ht="15" hidden="false" customHeight="false" outlineLevel="0" collapsed="false">
      <c r="A32" s="12" t="s">
        <v>396</v>
      </c>
      <c r="B32" s="12" t="s">
        <v>18</v>
      </c>
      <c r="C32" s="12" t="s">
        <v>479</v>
      </c>
      <c r="D32" s="12" t="n">
        <v>466</v>
      </c>
      <c r="E32" s="12" t="s">
        <v>458</v>
      </c>
      <c r="F32" s="23" t="n">
        <v>219.1</v>
      </c>
      <c r="G32" s="12" t="s">
        <v>398</v>
      </c>
    </row>
    <row r="33" customFormat="false" ht="15" hidden="false" customHeight="false" outlineLevel="0" collapsed="false">
      <c r="A33" s="12" t="s">
        <v>399</v>
      </c>
      <c r="B33" s="12" t="s">
        <v>18</v>
      </c>
      <c r="C33" s="12" t="s">
        <v>480</v>
      </c>
      <c r="D33" s="12" t="n">
        <v>158</v>
      </c>
      <c r="E33" s="12" t="s">
        <v>458</v>
      </c>
      <c r="F33" s="23" t="n">
        <v>209.8</v>
      </c>
      <c r="G33" s="12" t="s">
        <v>401</v>
      </c>
    </row>
    <row r="34" customFormat="false" ht="15" hidden="false" customHeight="false" outlineLevel="0" collapsed="false">
      <c r="A34" s="12" t="s">
        <v>399</v>
      </c>
      <c r="B34" s="12" t="s">
        <v>18</v>
      </c>
      <c r="C34" s="12" t="s">
        <v>124</v>
      </c>
      <c r="D34" s="12" t="n">
        <v>389</v>
      </c>
      <c r="E34" s="12" t="s">
        <v>472</v>
      </c>
      <c r="F34" s="23" t="n">
        <v>209.7</v>
      </c>
      <c r="G34" s="12" t="s">
        <v>401</v>
      </c>
    </row>
    <row r="35" customFormat="false" ht="15" hidden="false" customHeight="false" outlineLevel="0" collapsed="false">
      <c r="A35" s="12" t="s">
        <v>399</v>
      </c>
      <c r="B35" s="12" t="s">
        <v>18</v>
      </c>
      <c r="C35" s="12" t="s">
        <v>481</v>
      </c>
      <c r="D35" s="12" t="n">
        <v>164</v>
      </c>
      <c r="E35" s="12" t="s">
        <v>458</v>
      </c>
      <c r="F35" s="23" t="n">
        <v>196.8</v>
      </c>
      <c r="G35" s="12" t="s">
        <v>401</v>
      </c>
    </row>
    <row r="36" customFormat="false" ht="15" hidden="false" customHeight="false" outlineLevel="0" collapsed="false">
      <c r="A36" s="12" t="s">
        <v>399</v>
      </c>
      <c r="B36" s="12" t="s">
        <v>18</v>
      </c>
      <c r="C36" s="12" t="s">
        <v>129</v>
      </c>
      <c r="D36" s="12" t="n">
        <v>153</v>
      </c>
      <c r="E36" s="12" t="s">
        <v>472</v>
      </c>
      <c r="F36" s="23" t="n">
        <v>205.5</v>
      </c>
      <c r="G36" s="12" t="s">
        <v>401</v>
      </c>
    </row>
    <row r="37" customFormat="false" ht="15" hidden="false" customHeight="false" outlineLevel="0" collapsed="false">
      <c r="A37" s="12" t="s">
        <v>399</v>
      </c>
      <c r="B37" s="12" t="s">
        <v>18</v>
      </c>
      <c r="C37" s="12" t="s">
        <v>99</v>
      </c>
      <c r="D37" s="12" t="n">
        <v>65</v>
      </c>
      <c r="E37" s="12" t="s">
        <v>472</v>
      </c>
      <c r="F37" s="23" t="n">
        <v>218.6</v>
      </c>
      <c r="G37" s="12" t="s">
        <v>401</v>
      </c>
    </row>
    <row r="38" customFormat="false" ht="15" hidden="false" customHeight="false" outlineLevel="0" collapsed="false">
      <c r="A38" s="12" t="s">
        <v>402</v>
      </c>
      <c r="B38" s="12" t="s">
        <v>18</v>
      </c>
      <c r="C38" s="12" t="s">
        <v>482</v>
      </c>
      <c r="D38" s="12" t="n">
        <v>420</v>
      </c>
      <c r="E38" s="12" t="s">
        <v>458</v>
      </c>
      <c r="F38" s="23" t="n">
        <v>198.9</v>
      </c>
      <c r="G38" s="12" t="s">
        <v>404</v>
      </c>
    </row>
    <row r="39" customFormat="false" ht="15" hidden="false" customHeight="false" outlineLevel="0" collapsed="false">
      <c r="A39" s="12" t="s">
        <v>402</v>
      </c>
      <c r="B39" s="12" t="s">
        <v>18</v>
      </c>
      <c r="C39" s="12" t="s">
        <v>483</v>
      </c>
      <c r="D39" s="12" t="n">
        <v>432</v>
      </c>
      <c r="E39" s="12" t="s">
        <v>458</v>
      </c>
      <c r="F39" s="23" t="n">
        <v>181.6</v>
      </c>
      <c r="G39" s="12" t="s">
        <v>404</v>
      </c>
    </row>
    <row r="40" customFormat="false" ht="15" hidden="false" customHeight="false" outlineLevel="0" collapsed="false">
      <c r="A40" s="12" t="s">
        <v>402</v>
      </c>
      <c r="B40" s="12" t="s">
        <v>18</v>
      </c>
      <c r="C40" s="12" t="s">
        <v>484</v>
      </c>
      <c r="D40" s="12" t="n">
        <v>442</v>
      </c>
      <c r="E40" s="12" t="s">
        <v>458</v>
      </c>
      <c r="F40" s="23" t="n">
        <v>203.9</v>
      </c>
      <c r="G40" s="12" t="s">
        <v>404</v>
      </c>
    </row>
    <row r="41" customFormat="false" ht="15" hidden="false" customHeight="false" outlineLevel="0" collapsed="false">
      <c r="A41" s="12" t="s">
        <v>402</v>
      </c>
      <c r="B41" s="12" t="s">
        <v>18</v>
      </c>
      <c r="C41" s="12" t="s">
        <v>111</v>
      </c>
      <c r="D41" s="12" t="n">
        <v>380</v>
      </c>
      <c r="E41" s="12" t="s">
        <v>472</v>
      </c>
      <c r="F41" s="23" t="n">
        <v>213</v>
      </c>
      <c r="G41" s="12" t="s">
        <v>404</v>
      </c>
    </row>
    <row r="42" customFormat="false" ht="15" hidden="false" customHeight="false" outlineLevel="0" collapsed="false">
      <c r="A42" s="12" t="s">
        <v>405</v>
      </c>
      <c r="B42" s="12" t="s">
        <v>20</v>
      </c>
      <c r="C42" s="12" t="s">
        <v>485</v>
      </c>
      <c r="D42" s="12" t="n">
        <v>179</v>
      </c>
      <c r="E42" s="12" t="s">
        <v>458</v>
      </c>
      <c r="F42" s="23" t="n">
        <v>151.9</v>
      </c>
      <c r="G42" s="12" t="s">
        <v>407</v>
      </c>
    </row>
    <row r="43" customFormat="false" ht="15" hidden="false" customHeight="false" outlineLevel="0" collapsed="false">
      <c r="A43" s="12" t="s">
        <v>405</v>
      </c>
      <c r="B43" s="12" t="s">
        <v>20</v>
      </c>
      <c r="C43" s="12" t="s">
        <v>486</v>
      </c>
      <c r="D43" s="12" t="n">
        <v>78</v>
      </c>
      <c r="E43" s="12" t="s">
        <v>458</v>
      </c>
      <c r="F43" s="23" t="n">
        <v>204.5</v>
      </c>
      <c r="G43" s="12" t="s">
        <v>407</v>
      </c>
    </row>
    <row r="44" customFormat="false" ht="15" hidden="false" customHeight="false" outlineLevel="0" collapsed="false">
      <c r="A44" s="12" t="s">
        <v>405</v>
      </c>
      <c r="B44" s="12" t="s">
        <v>20</v>
      </c>
      <c r="C44" s="12" t="s">
        <v>487</v>
      </c>
      <c r="D44" s="12" t="n">
        <v>116</v>
      </c>
      <c r="E44" s="12" t="s">
        <v>478</v>
      </c>
      <c r="F44" s="23" t="n">
        <v>155.6</v>
      </c>
      <c r="G44" s="12" t="s">
        <v>407</v>
      </c>
    </row>
    <row r="45" customFormat="false" ht="15" hidden="false" customHeight="false" outlineLevel="0" collapsed="false">
      <c r="A45" s="12" t="s">
        <v>405</v>
      </c>
      <c r="B45" s="12" t="s">
        <v>20</v>
      </c>
      <c r="C45" s="12" t="s">
        <v>488</v>
      </c>
      <c r="D45" s="12" t="n">
        <v>130</v>
      </c>
      <c r="E45" s="12" t="s">
        <v>458</v>
      </c>
      <c r="F45" s="23" t="n">
        <v>216</v>
      </c>
      <c r="G45" s="12" t="s">
        <v>407</v>
      </c>
    </row>
    <row r="46" customFormat="false" ht="15" hidden="false" customHeight="false" outlineLevel="0" collapsed="false">
      <c r="A46" s="12" t="s">
        <v>408</v>
      </c>
      <c r="B46" s="12" t="s">
        <v>20</v>
      </c>
      <c r="C46" s="12" t="s">
        <v>489</v>
      </c>
      <c r="D46" s="12" t="n">
        <v>175</v>
      </c>
      <c r="E46" s="12" t="s">
        <v>490</v>
      </c>
      <c r="F46" s="23" t="n">
        <v>136.8</v>
      </c>
      <c r="G46" s="12" t="s">
        <v>410</v>
      </c>
    </row>
    <row r="47" customFormat="false" ht="15" hidden="false" customHeight="false" outlineLevel="0" collapsed="false">
      <c r="A47" s="12" t="s">
        <v>408</v>
      </c>
      <c r="B47" s="12" t="s">
        <v>20</v>
      </c>
      <c r="C47" s="12" t="s">
        <v>491</v>
      </c>
      <c r="D47" s="12" t="n">
        <v>181</v>
      </c>
      <c r="E47" s="12" t="s">
        <v>458</v>
      </c>
      <c r="F47" s="23" t="n">
        <v>144.3</v>
      </c>
      <c r="G47" s="12" t="s">
        <v>410</v>
      </c>
    </row>
    <row r="48" customFormat="false" ht="15" hidden="false" customHeight="false" outlineLevel="0" collapsed="false">
      <c r="A48" s="12" t="s">
        <v>408</v>
      </c>
      <c r="B48" s="12" t="s">
        <v>20</v>
      </c>
      <c r="C48" s="12" t="s">
        <v>492</v>
      </c>
      <c r="D48" s="12" t="n">
        <v>82</v>
      </c>
      <c r="E48" s="12" t="s">
        <v>458</v>
      </c>
      <c r="F48" s="23" t="n">
        <v>185.3</v>
      </c>
      <c r="G48" s="12" t="s">
        <v>410</v>
      </c>
    </row>
    <row r="49" customFormat="false" ht="15" hidden="false" customHeight="false" outlineLevel="0" collapsed="false">
      <c r="A49" s="12" t="s">
        <v>408</v>
      </c>
      <c r="B49" s="12" t="s">
        <v>20</v>
      </c>
      <c r="C49" s="12" t="s">
        <v>493</v>
      </c>
      <c r="D49" s="12" t="n">
        <v>107</v>
      </c>
      <c r="E49" s="12" t="s">
        <v>458</v>
      </c>
      <c r="F49" s="23" t="n">
        <v>214.8</v>
      </c>
      <c r="G49" s="12" t="s">
        <v>410</v>
      </c>
    </row>
    <row r="50" customFormat="false" ht="15" hidden="false" customHeight="false" outlineLevel="0" collapsed="false">
      <c r="A50" s="12" t="s">
        <v>408</v>
      </c>
      <c r="B50" s="12" t="s">
        <v>20</v>
      </c>
      <c r="C50" s="12" t="s">
        <v>494</v>
      </c>
      <c r="D50" s="12" t="n">
        <v>111</v>
      </c>
      <c r="E50" s="12" t="s">
        <v>458</v>
      </c>
      <c r="F50" s="23" t="n">
        <v>146</v>
      </c>
      <c r="G50" s="12" t="s">
        <v>410</v>
      </c>
    </row>
    <row r="51" customFormat="false" ht="15" hidden="false" customHeight="false" outlineLevel="0" collapsed="false">
      <c r="A51" s="12" t="s">
        <v>411</v>
      </c>
      <c r="B51" s="12" t="s">
        <v>20</v>
      </c>
      <c r="C51" s="12" t="s">
        <v>495</v>
      </c>
      <c r="D51" s="12" t="n">
        <v>174</v>
      </c>
      <c r="E51" s="12" t="s">
        <v>458</v>
      </c>
      <c r="F51" s="23" t="n">
        <v>166.3</v>
      </c>
      <c r="G51" s="12" t="s">
        <v>413</v>
      </c>
    </row>
    <row r="52" customFormat="false" ht="15" hidden="false" customHeight="false" outlineLevel="0" collapsed="false">
      <c r="A52" s="12" t="s">
        <v>411</v>
      </c>
      <c r="B52" s="12" t="s">
        <v>20</v>
      </c>
      <c r="C52" s="12" t="s">
        <v>496</v>
      </c>
      <c r="D52" s="12" t="n">
        <v>22</v>
      </c>
      <c r="E52" s="12" t="s">
        <v>458</v>
      </c>
      <c r="F52" s="23" t="n">
        <v>105.3</v>
      </c>
      <c r="G52" s="12" t="s">
        <v>413</v>
      </c>
    </row>
    <row r="53" customFormat="false" ht="15" hidden="false" customHeight="false" outlineLevel="0" collapsed="false">
      <c r="A53" s="12" t="s">
        <v>411</v>
      </c>
      <c r="B53" s="12" t="s">
        <v>20</v>
      </c>
      <c r="C53" s="12" t="s">
        <v>497</v>
      </c>
      <c r="D53" s="12" t="n">
        <v>319</v>
      </c>
      <c r="E53" s="12" t="s">
        <v>478</v>
      </c>
      <c r="F53" s="23" t="n">
        <v>154.3</v>
      </c>
      <c r="G53" s="12" t="s">
        <v>413</v>
      </c>
    </row>
    <row r="54" customFormat="false" ht="15" hidden="false" customHeight="false" outlineLevel="0" collapsed="false">
      <c r="A54" s="12" t="s">
        <v>411</v>
      </c>
      <c r="B54" s="12" t="s">
        <v>20</v>
      </c>
      <c r="C54" s="12" t="s">
        <v>498</v>
      </c>
      <c r="D54" s="12" t="n">
        <v>31</v>
      </c>
      <c r="E54" s="12" t="s">
        <v>458</v>
      </c>
      <c r="F54" s="23" t="n">
        <v>124.3</v>
      </c>
      <c r="G54" s="12" t="s">
        <v>413</v>
      </c>
    </row>
    <row r="55" customFormat="false" ht="15" hidden="false" customHeight="false" outlineLevel="0" collapsed="false">
      <c r="A55" s="12" t="s">
        <v>411</v>
      </c>
      <c r="B55" s="12" t="s">
        <v>20</v>
      </c>
      <c r="C55" s="12" t="s">
        <v>499</v>
      </c>
      <c r="D55" s="12" t="n">
        <v>219</v>
      </c>
      <c r="E55" s="12" t="s">
        <v>458</v>
      </c>
      <c r="F55" s="23" t="n">
        <v>129.6</v>
      </c>
      <c r="G55" s="12" t="s">
        <v>413</v>
      </c>
    </row>
    <row r="56" customFormat="false" ht="15" hidden="false" customHeight="false" outlineLevel="0" collapsed="false">
      <c r="A56" s="12" t="s">
        <v>414</v>
      </c>
      <c r="B56" s="12" t="s">
        <v>20</v>
      </c>
      <c r="C56" s="12" t="s">
        <v>500</v>
      </c>
      <c r="D56" s="12" t="n">
        <v>190</v>
      </c>
      <c r="E56" s="12" t="s">
        <v>458</v>
      </c>
      <c r="F56" s="23" t="n">
        <v>143.2</v>
      </c>
      <c r="G56" s="12" t="s">
        <v>416</v>
      </c>
    </row>
    <row r="57" customFormat="false" ht="15" hidden="false" customHeight="false" outlineLevel="0" collapsed="false">
      <c r="A57" s="12" t="s">
        <v>414</v>
      </c>
      <c r="B57" s="12" t="s">
        <v>20</v>
      </c>
      <c r="C57" s="12" t="s">
        <v>148</v>
      </c>
      <c r="D57" s="12" t="n">
        <v>284</v>
      </c>
      <c r="E57" s="12" t="s">
        <v>472</v>
      </c>
      <c r="F57" s="23" t="n">
        <v>120.6</v>
      </c>
      <c r="G57" s="12" t="s">
        <v>416</v>
      </c>
    </row>
    <row r="58" customFormat="false" ht="15" hidden="false" customHeight="false" outlineLevel="0" collapsed="false">
      <c r="A58" s="12" t="s">
        <v>414</v>
      </c>
      <c r="B58" s="12" t="s">
        <v>20</v>
      </c>
      <c r="C58" s="12" t="s">
        <v>151</v>
      </c>
      <c r="D58" s="12" t="n">
        <v>457</v>
      </c>
      <c r="E58" s="12" t="s">
        <v>472</v>
      </c>
      <c r="F58" s="23" t="n">
        <v>120.6</v>
      </c>
      <c r="G58" s="12" t="s">
        <v>416</v>
      </c>
    </row>
    <row r="59" customFormat="false" ht="15" hidden="false" customHeight="false" outlineLevel="0" collapsed="false">
      <c r="A59" s="12" t="s">
        <v>414</v>
      </c>
      <c r="B59" s="12" t="s">
        <v>20</v>
      </c>
      <c r="C59" s="12" t="s">
        <v>501</v>
      </c>
      <c r="D59" s="12" t="n">
        <v>156</v>
      </c>
      <c r="E59" s="12" t="s">
        <v>478</v>
      </c>
      <c r="F59" s="23" t="n">
        <v>127.6</v>
      </c>
      <c r="G59" s="12" t="s">
        <v>416</v>
      </c>
    </row>
    <row r="60" customFormat="false" ht="15" hidden="false" customHeight="false" outlineLevel="0" collapsed="false">
      <c r="A60" s="12" t="s">
        <v>418</v>
      </c>
      <c r="B60" s="12" t="s">
        <v>20</v>
      </c>
      <c r="C60" s="12" t="s">
        <v>502</v>
      </c>
      <c r="D60" s="12" t="n">
        <v>185</v>
      </c>
      <c r="E60" s="12" t="s">
        <v>458</v>
      </c>
      <c r="F60" s="23" t="n">
        <v>138.6</v>
      </c>
      <c r="G60" s="12" t="s">
        <v>420</v>
      </c>
    </row>
    <row r="61" customFormat="false" ht="15" hidden="false" customHeight="false" outlineLevel="0" collapsed="false">
      <c r="A61" s="12" t="s">
        <v>418</v>
      </c>
      <c r="B61" s="12" t="s">
        <v>20</v>
      </c>
      <c r="C61" s="12" t="s">
        <v>190</v>
      </c>
      <c r="D61" s="12" t="n">
        <v>324</v>
      </c>
      <c r="E61" s="12" t="s">
        <v>472</v>
      </c>
      <c r="F61" s="23" t="n">
        <v>110</v>
      </c>
      <c r="G61" s="12" t="s">
        <v>420</v>
      </c>
    </row>
    <row r="62" customFormat="false" ht="15" hidden="false" customHeight="false" outlineLevel="0" collapsed="false">
      <c r="A62" s="12" t="s">
        <v>418</v>
      </c>
      <c r="B62" s="12" t="s">
        <v>20</v>
      </c>
      <c r="C62" s="12" t="s">
        <v>503</v>
      </c>
      <c r="D62" s="12" t="n">
        <v>237</v>
      </c>
      <c r="E62" s="12" t="s">
        <v>458</v>
      </c>
      <c r="F62" s="23" t="n">
        <v>112.9</v>
      </c>
      <c r="G62" s="12" t="s">
        <v>420</v>
      </c>
    </row>
    <row r="63" customFormat="false" ht="15" hidden="false" customHeight="false" outlineLevel="0" collapsed="false">
      <c r="A63" s="12" t="s">
        <v>418</v>
      </c>
      <c r="B63" s="12" t="s">
        <v>20</v>
      </c>
      <c r="C63" s="12" t="s">
        <v>504</v>
      </c>
      <c r="D63" s="12" t="n">
        <v>238</v>
      </c>
      <c r="E63" s="12" t="s">
        <v>458</v>
      </c>
      <c r="F63" s="23" t="n">
        <v>209.4</v>
      </c>
      <c r="G63" s="12" t="s">
        <v>420</v>
      </c>
    </row>
    <row r="64" customFormat="false" ht="15" hidden="false" customHeight="false" outlineLevel="0" collapsed="false">
      <c r="A64" s="12" t="s">
        <v>418</v>
      </c>
      <c r="B64" s="12" t="s">
        <v>20</v>
      </c>
      <c r="C64" s="12" t="s">
        <v>505</v>
      </c>
      <c r="D64" s="12" t="n">
        <v>240</v>
      </c>
      <c r="E64" s="12" t="s">
        <v>458</v>
      </c>
      <c r="F64" s="23" t="n">
        <v>217.6</v>
      </c>
      <c r="G64" s="12" t="s">
        <v>420</v>
      </c>
    </row>
    <row r="65" customFormat="false" ht="15" hidden="false" customHeight="false" outlineLevel="0" collapsed="false">
      <c r="A65" s="12" t="s">
        <v>421</v>
      </c>
      <c r="B65" s="12" t="s">
        <v>20</v>
      </c>
      <c r="C65" s="12" t="s">
        <v>181</v>
      </c>
      <c r="D65" s="12" t="n">
        <v>309</v>
      </c>
      <c r="E65" s="12" t="s">
        <v>472</v>
      </c>
      <c r="F65" s="23" t="n">
        <v>115.8</v>
      </c>
      <c r="G65" s="12" t="s">
        <v>423</v>
      </c>
    </row>
    <row r="66" customFormat="false" ht="15" hidden="false" customHeight="false" outlineLevel="0" collapsed="false">
      <c r="A66" s="12" t="s">
        <v>421</v>
      </c>
      <c r="B66" s="12" t="s">
        <v>20</v>
      </c>
      <c r="C66" s="12" t="s">
        <v>184</v>
      </c>
      <c r="D66" s="12" t="n">
        <v>344</v>
      </c>
      <c r="E66" s="12" t="s">
        <v>472</v>
      </c>
      <c r="F66" s="23" t="n">
        <v>115.8</v>
      </c>
      <c r="G66" s="12" t="s">
        <v>423</v>
      </c>
    </row>
    <row r="67" customFormat="false" ht="15" hidden="false" customHeight="false" outlineLevel="0" collapsed="false">
      <c r="A67" s="12" t="s">
        <v>421</v>
      </c>
      <c r="B67" s="12" t="s">
        <v>20</v>
      </c>
      <c r="C67" s="12" t="s">
        <v>178</v>
      </c>
      <c r="D67" s="12" t="n">
        <v>357</v>
      </c>
      <c r="E67" s="12" t="s">
        <v>472</v>
      </c>
      <c r="F67" s="23" t="n">
        <v>117</v>
      </c>
      <c r="G67" s="12" t="s">
        <v>423</v>
      </c>
    </row>
    <row r="68" customFormat="false" ht="15" hidden="false" customHeight="false" outlineLevel="0" collapsed="false">
      <c r="A68" s="12" t="s">
        <v>421</v>
      </c>
      <c r="B68" s="12" t="s">
        <v>20</v>
      </c>
      <c r="C68" s="12" t="s">
        <v>172</v>
      </c>
      <c r="D68" s="12" t="n">
        <v>303</v>
      </c>
      <c r="E68" s="12" t="s">
        <v>472</v>
      </c>
      <c r="F68" s="23" t="n">
        <v>117</v>
      </c>
      <c r="G68" s="12" t="s">
        <v>423</v>
      </c>
    </row>
    <row r="69" customFormat="false" ht="15" hidden="false" customHeight="false" outlineLevel="0" collapsed="false">
      <c r="A69" s="12" t="s">
        <v>424</v>
      </c>
      <c r="B69" s="12" t="s">
        <v>20</v>
      </c>
      <c r="C69" s="12" t="s">
        <v>506</v>
      </c>
      <c r="D69" s="12" t="n">
        <v>145</v>
      </c>
      <c r="E69" s="12" t="s">
        <v>478</v>
      </c>
      <c r="F69" s="23" t="n">
        <v>127.5</v>
      </c>
      <c r="G69" s="12" t="s">
        <v>426</v>
      </c>
    </row>
    <row r="70" customFormat="false" ht="15" hidden="false" customHeight="false" outlineLevel="0" collapsed="false">
      <c r="A70" s="12" t="s">
        <v>424</v>
      </c>
      <c r="B70" s="12" t="s">
        <v>20</v>
      </c>
      <c r="C70" s="12" t="s">
        <v>141</v>
      </c>
      <c r="D70" s="12" t="n">
        <v>255</v>
      </c>
      <c r="E70" s="12" t="s">
        <v>472</v>
      </c>
      <c r="F70" s="23" t="n">
        <v>128.2</v>
      </c>
      <c r="G70" s="12" t="s">
        <v>426</v>
      </c>
    </row>
    <row r="71" customFormat="false" ht="15" hidden="false" customHeight="false" outlineLevel="0" collapsed="false">
      <c r="A71" s="12" t="s">
        <v>424</v>
      </c>
      <c r="B71" s="12" t="s">
        <v>20</v>
      </c>
      <c r="C71" s="12" t="s">
        <v>507</v>
      </c>
      <c r="D71" s="12" t="n">
        <v>184</v>
      </c>
      <c r="E71" s="12" t="s">
        <v>458</v>
      </c>
      <c r="F71" s="23" t="n">
        <v>116.3</v>
      </c>
      <c r="G71" s="12" t="s">
        <v>426</v>
      </c>
    </row>
    <row r="72" customFormat="false" ht="15" hidden="false" customHeight="false" outlineLevel="0" collapsed="false">
      <c r="A72" s="12" t="s">
        <v>424</v>
      </c>
      <c r="B72" s="12" t="s">
        <v>20</v>
      </c>
      <c r="C72" s="12" t="s">
        <v>508</v>
      </c>
      <c r="D72" s="12" t="n">
        <v>210</v>
      </c>
      <c r="E72" s="12" t="s">
        <v>458</v>
      </c>
      <c r="F72" s="23" t="n">
        <v>121.3</v>
      </c>
      <c r="G72" s="12" t="s">
        <v>426</v>
      </c>
    </row>
    <row r="73" customFormat="false" ht="15" hidden="false" customHeight="false" outlineLevel="0" collapsed="false">
      <c r="A73" s="12" t="s">
        <v>427</v>
      </c>
      <c r="B73" s="12" t="s">
        <v>20</v>
      </c>
      <c r="C73" s="12" t="s">
        <v>187</v>
      </c>
      <c r="D73" s="12" t="n">
        <v>262</v>
      </c>
      <c r="E73" s="12" t="s">
        <v>472</v>
      </c>
      <c r="F73" s="23" t="n">
        <v>111.2</v>
      </c>
      <c r="G73" s="12" t="s">
        <v>429</v>
      </c>
    </row>
    <row r="74" customFormat="false" ht="15" hidden="false" customHeight="false" outlineLevel="0" collapsed="false">
      <c r="A74" s="12" t="s">
        <v>427</v>
      </c>
      <c r="B74" s="12" t="s">
        <v>20</v>
      </c>
      <c r="C74" s="12" t="s">
        <v>509</v>
      </c>
      <c r="D74" s="12" t="n">
        <v>152</v>
      </c>
      <c r="E74" s="12" t="s">
        <v>458</v>
      </c>
      <c r="F74" s="23" t="n">
        <v>122.5</v>
      </c>
      <c r="G74" s="12" t="s">
        <v>429</v>
      </c>
    </row>
    <row r="75" customFormat="false" ht="15" hidden="false" customHeight="false" outlineLevel="0" collapsed="false">
      <c r="A75" s="12" t="s">
        <v>427</v>
      </c>
      <c r="B75" s="12" t="s">
        <v>20</v>
      </c>
      <c r="C75" s="12" t="s">
        <v>160</v>
      </c>
      <c r="D75" s="12" t="n">
        <v>138</v>
      </c>
      <c r="E75" s="12" t="s">
        <v>472</v>
      </c>
      <c r="F75" s="23" t="n">
        <v>118.8</v>
      </c>
      <c r="G75" s="12" t="s">
        <v>429</v>
      </c>
    </row>
    <row r="76" customFormat="false" ht="15" hidden="false" customHeight="false" outlineLevel="0" collapsed="false">
      <c r="A76" s="12" t="s">
        <v>427</v>
      </c>
      <c r="B76" s="12" t="s">
        <v>20</v>
      </c>
      <c r="C76" s="12" t="s">
        <v>166</v>
      </c>
      <c r="D76" s="12" t="n">
        <v>291</v>
      </c>
      <c r="E76" s="12" t="s">
        <v>472</v>
      </c>
      <c r="F76" s="23" t="n">
        <v>117</v>
      </c>
      <c r="G76" s="12" t="s">
        <v>429</v>
      </c>
    </row>
    <row r="77" customFormat="false" ht="15" hidden="false" customHeight="false" outlineLevel="0" collapsed="false">
      <c r="A77" s="12" t="s">
        <v>427</v>
      </c>
      <c r="B77" s="12" t="s">
        <v>20</v>
      </c>
      <c r="C77" s="12" t="s">
        <v>510</v>
      </c>
      <c r="D77" s="12" t="n">
        <v>229</v>
      </c>
      <c r="E77" s="12" t="s">
        <v>458</v>
      </c>
      <c r="F77" s="23" t="n">
        <v>113.1</v>
      </c>
      <c r="G77" s="12" t="s">
        <v>429</v>
      </c>
    </row>
    <row r="78" customFormat="false" ht="15" hidden="false" customHeight="false" outlineLevel="0" collapsed="false">
      <c r="A78" s="12" t="s">
        <v>430</v>
      </c>
      <c r="B78" s="12" t="s">
        <v>351</v>
      </c>
      <c r="C78" s="12" t="s">
        <v>511</v>
      </c>
      <c r="D78" s="12" t="n">
        <v>342</v>
      </c>
      <c r="E78" s="12" t="s">
        <v>458</v>
      </c>
      <c r="F78" s="23" t="n">
        <v>52.9</v>
      </c>
      <c r="G78" s="12" t="s">
        <v>432</v>
      </c>
    </row>
    <row r="79" customFormat="false" ht="15" hidden="false" customHeight="false" outlineLevel="0" collapsed="false">
      <c r="A79" s="12" t="s">
        <v>430</v>
      </c>
      <c r="B79" s="12" t="s">
        <v>351</v>
      </c>
      <c r="C79" s="12" t="s">
        <v>512</v>
      </c>
      <c r="D79" s="12" t="n">
        <v>267</v>
      </c>
      <c r="E79" s="12" t="s">
        <v>458</v>
      </c>
      <c r="F79" s="23" t="n">
        <v>208.2</v>
      </c>
      <c r="G79" s="12" t="s">
        <v>432</v>
      </c>
    </row>
    <row r="80" customFormat="false" ht="15" hidden="false" customHeight="false" outlineLevel="0" collapsed="false">
      <c r="A80" s="12" t="s">
        <v>430</v>
      </c>
      <c r="B80" s="12" t="s">
        <v>351</v>
      </c>
      <c r="C80" s="12" t="s">
        <v>513</v>
      </c>
      <c r="D80" s="12" t="n">
        <v>269</v>
      </c>
      <c r="E80" s="12" t="s">
        <v>478</v>
      </c>
      <c r="F80" s="23" t="n">
        <v>104.8</v>
      </c>
      <c r="G80" s="12" t="s">
        <v>432</v>
      </c>
    </row>
    <row r="81" customFormat="false" ht="15" hidden="false" customHeight="false" outlineLevel="0" collapsed="false">
      <c r="A81" s="12" t="s">
        <v>430</v>
      </c>
      <c r="B81" s="12" t="s">
        <v>351</v>
      </c>
      <c r="C81" s="12" t="s">
        <v>514</v>
      </c>
      <c r="D81" s="12" t="n">
        <v>277</v>
      </c>
      <c r="E81" s="12" t="s">
        <v>478</v>
      </c>
      <c r="F81" s="23" t="n">
        <v>163.3</v>
      </c>
      <c r="G81" s="12" t="s">
        <v>432</v>
      </c>
    </row>
    <row r="82" customFormat="false" ht="15" hidden="false" customHeight="false" outlineLevel="0" collapsed="false">
      <c r="A82" s="12" t="s">
        <v>430</v>
      </c>
      <c r="B82" s="12" t="s">
        <v>351</v>
      </c>
      <c r="C82" s="12" t="s">
        <v>515</v>
      </c>
      <c r="D82" s="12" t="n">
        <v>302</v>
      </c>
      <c r="E82" s="12" t="s">
        <v>458</v>
      </c>
      <c r="F82" s="23" t="n">
        <v>188.2</v>
      </c>
      <c r="G82" s="12" t="s">
        <v>432</v>
      </c>
    </row>
    <row r="83" customFormat="false" ht="15" hidden="false" customHeight="false" outlineLevel="0" collapsed="false">
      <c r="A83" s="12" t="s">
        <v>435</v>
      </c>
      <c r="B83" s="12" t="s">
        <v>22</v>
      </c>
      <c r="C83" s="12" t="s">
        <v>516</v>
      </c>
      <c r="D83" s="12" t="n">
        <v>188</v>
      </c>
      <c r="E83" s="12" t="s">
        <v>458</v>
      </c>
      <c r="F83" s="23" t="n">
        <v>215.3</v>
      </c>
      <c r="G83" s="12" t="s">
        <v>437</v>
      </c>
    </row>
    <row r="84" customFormat="false" ht="15" hidden="false" customHeight="false" outlineLevel="0" collapsed="false">
      <c r="A84" s="12" t="s">
        <v>435</v>
      </c>
      <c r="B84" s="12" t="s">
        <v>22</v>
      </c>
      <c r="C84" s="12" t="s">
        <v>517</v>
      </c>
      <c r="D84" s="12" t="n">
        <v>428</v>
      </c>
      <c r="E84" s="12" t="s">
        <v>458</v>
      </c>
      <c r="F84" s="23" t="n">
        <v>217.5</v>
      </c>
      <c r="G84" s="12" t="s">
        <v>437</v>
      </c>
    </row>
    <row r="85" customFormat="false" ht="15" hidden="false" customHeight="false" outlineLevel="0" collapsed="false">
      <c r="A85" s="12" t="s">
        <v>435</v>
      </c>
      <c r="B85" s="12" t="s">
        <v>22</v>
      </c>
      <c r="C85" s="12" t="s">
        <v>518</v>
      </c>
      <c r="D85" s="12" t="n">
        <v>438</v>
      </c>
      <c r="E85" s="12" t="s">
        <v>458</v>
      </c>
      <c r="F85" s="23" t="n">
        <v>217.8</v>
      </c>
      <c r="G85" s="12" t="s">
        <v>437</v>
      </c>
    </row>
    <row r="86" customFormat="false" ht="15" hidden="false" customHeight="false" outlineLevel="0" collapsed="false">
      <c r="A86" s="12" t="s">
        <v>435</v>
      </c>
      <c r="B86" s="12" t="s">
        <v>22</v>
      </c>
      <c r="C86" s="12" t="s">
        <v>519</v>
      </c>
      <c r="D86" s="12" t="n">
        <v>450</v>
      </c>
      <c r="E86" s="12" t="s">
        <v>458</v>
      </c>
      <c r="F86" s="23" t="n">
        <v>194.1</v>
      </c>
      <c r="G86" s="12" t="s">
        <v>437</v>
      </c>
    </row>
    <row r="87" customFormat="false" ht="15" hidden="false" customHeight="false" outlineLevel="0" collapsed="false">
      <c r="A87" s="12" t="s">
        <v>438</v>
      </c>
      <c r="B87" s="12" t="s">
        <v>22</v>
      </c>
      <c r="C87" s="12" t="s">
        <v>520</v>
      </c>
      <c r="D87" s="12" t="n">
        <v>409</v>
      </c>
      <c r="E87" s="12" t="s">
        <v>458</v>
      </c>
      <c r="F87" s="23" t="n">
        <v>197</v>
      </c>
      <c r="G87" s="12" t="s">
        <v>440</v>
      </c>
    </row>
    <row r="88" customFormat="false" ht="15" hidden="false" customHeight="false" outlineLevel="0" collapsed="false">
      <c r="A88" s="12" t="s">
        <v>438</v>
      </c>
      <c r="B88" s="12" t="s">
        <v>22</v>
      </c>
      <c r="C88" s="12" t="s">
        <v>218</v>
      </c>
      <c r="D88" s="12" t="n">
        <v>364</v>
      </c>
      <c r="E88" s="12" t="s">
        <v>472</v>
      </c>
      <c r="F88" s="23" t="n">
        <v>182</v>
      </c>
      <c r="G88" s="12" t="s">
        <v>440</v>
      </c>
    </row>
    <row r="89" customFormat="false" ht="15" hidden="false" customHeight="false" outlineLevel="0" collapsed="false">
      <c r="A89" s="12" t="s">
        <v>438</v>
      </c>
      <c r="B89" s="12" t="s">
        <v>22</v>
      </c>
      <c r="C89" s="12" t="s">
        <v>224</v>
      </c>
      <c r="D89" s="12" t="n">
        <v>374</v>
      </c>
      <c r="E89" s="12" t="s">
        <v>472</v>
      </c>
      <c r="F89" s="23" t="n">
        <v>182</v>
      </c>
      <c r="G89" s="12" t="s">
        <v>440</v>
      </c>
    </row>
    <row r="90" customFormat="false" ht="15" hidden="false" customHeight="false" outlineLevel="0" collapsed="false">
      <c r="A90" s="12" t="s">
        <v>438</v>
      </c>
      <c r="B90" s="12" t="s">
        <v>22</v>
      </c>
      <c r="C90" s="12" t="s">
        <v>521</v>
      </c>
      <c r="D90" s="12" t="n">
        <v>400</v>
      </c>
      <c r="E90" s="12" t="s">
        <v>458</v>
      </c>
      <c r="F90" s="23" t="n">
        <v>195.9</v>
      </c>
      <c r="G90" s="12" t="s">
        <v>440</v>
      </c>
    </row>
    <row r="91" customFormat="false" ht="15" hidden="false" customHeight="false" outlineLevel="0" collapsed="false">
      <c r="A91" s="12" t="s">
        <v>441</v>
      </c>
      <c r="B91" s="12" t="s">
        <v>22</v>
      </c>
      <c r="C91" s="12" t="s">
        <v>522</v>
      </c>
      <c r="D91" s="12" t="n">
        <v>413</v>
      </c>
      <c r="E91" s="12" t="s">
        <v>490</v>
      </c>
      <c r="F91" s="23" t="n">
        <v>216.6</v>
      </c>
      <c r="G91" s="12" t="s">
        <v>443</v>
      </c>
    </row>
    <row r="92" customFormat="false" ht="15" hidden="false" customHeight="false" outlineLevel="0" collapsed="false">
      <c r="A92" s="12" t="s">
        <v>441</v>
      </c>
      <c r="B92" s="12" t="s">
        <v>22</v>
      </c>
      <c r="C92" s="12" t="s">
        <v>211</v>
      </c>
      <c r="D92" s="12" t="n">
        <v>375</v>
      </c>
      <c r="E92" s="12" t="s">
        <v>472</v>
      </c>
      <c r="F92" s="23" t="n">
        <v>182</v>
      </c>
      <c r="G92" s="12" t="s">
        <v>443</v>
      </c>
    </row>
    <row r="93" customFormat="false" ht="15" hidden="false" customHeight="false" outlineLevel="0" collapsed="false">
      <c r="A93" s="12" t="s">
        <v>441</v>
      </c>
      <c r="B93" s="12" t="s">
        <v>22</v>
      </c>
      <c r="C93" s="12" t="s">
        <v>523</v>
      </c>
      <c r="D93" s="12" t="n">
        <v>394</v>
      </c>
      <c r="E93" s="12" t="s">
        <v>458</v>
      </c>
      <c r="F93" s="23" t="n">
        <v>199.5</v>
      </c>
      <c r="G93" s="12" t="s">
        <v>443</v>
      </c>
    </row>
    <row r="94" customFormat="false" ht="15" hidden="false" customHeight="false" outlineLevel="0" collapsed="false">
      <c r="A94" s="12" t="s">
        <v>441</v>
      </c>
      <c r="B94" s="12" t="s">
        <v>22</v>
      </c>
      <c r="C94" s="12" t="s">
        <v>524</v>
      </c>
      <c r="D94" s="12" t="n">
        <v>401</v>
      </c>
      <c r="E94" s="12" t="s">
        <v>458</v>
      </c>
      <c r="F94" s="23" t="n">
        <v>193.5</v>
      </c>
      <c r="G94" s="12" t="s">
        <v>443</v>
      </c>
    </row>
    <row r="95" customFormat="false" ht="15" hidden="false" customHeight="false" outlineLevel="0" collapsed="false">
      <c r="A95" s="12" t="s">
        <v>441</v>
      </c>
      <c r="B95" s="12" t="s">
        <v>22</v>
      </c>
      <c r="C95" s="12" t="s">
        <v>229</v>
      </c>
      <c r="D95" s="12" t="n">
        <v>382</v>
      </c>
      <c r="E95" s="12" t="s">
        <v>472</v>
      </c>
      <c r="F95" s="23" t="n">
        <v>215</v>
      </c>
      <c r="G95" s="12" t="s">
        <v>443</v>
      </c>
    </row>
    <row r="96" customFormat="false" ht="15" hidden="false" customHeight="false" outlineLevel="0" collapsed="false">
      <c r="A96" s="12" t="s">
        <v>444</v>
      </c>
      <c r="B96" s="12" t="s">
        <v>22</v>
      </c>
      <c r="C96" s="12" t="s">
        <v>525</v>
      </c>
      <c r="D96" s="12" t="n">
        <v>411</v>
      </c>
      <c r="E96" s="12" t="s">
        <v>490</v>
      </c>
      <c r="F96" s="23" t="n">
        <v>216.7</v>
      </c>
      <c r="G96" s="12" t="s">
        <v>446</v>
      </c>
    </row>
    <row r="97" customFormat="false" ht="15" hidden="false" customHeight="false" outlineLevel="0" collapsed="false">
      <c r="A97" s="12" t="s">
        <v>444</v>
      </c>
      <c r="B97" s="12" t="s">
        <v>22</v>
      </c>
      <c r="C97" s="12" t="s">
        <v>526</v>
      </c>
      <c r="D97" s="12" t="n">
        <v>416</v>
      </c>
      <c r="E97" s="12" t="s">
        <v>458</v>
      </c>
      <c r="F97" s="23" t="n">
        <v>218.4</v>
      </c>
      <c r="G97" s="12" t="s">
        <v>446</v>
      </c>
    </row>
    <row r="98" customFormat="false" ht="15" hidden="false" customHeight="false" outlineLevel="0" collapsed="false">
      <c r="A98" s="12" t="s">
        <v>444</v>
      </c>
      <c r="B98" s="12" t="s">
        <v>22</v>
      </c>
      <c r="C98" s="12" t="s">
        <v>235</v>
      </c>
      <c r="D98" s="12" t="n">
        <v>340</v>
      </c>
      <c r="E98" s="12" t="s">
        <v>472</v>
      </c>
      <c r="F98" s="23" t="n">
        <v>139.6</v>
      </c>
      <c r="G98" s="12" t="s">
        <v>446</v>
      </c>
    </row>
    <row r="99" customFormat="false" ht="15" hidden="false" customHeight="false" outlineLevel="0" collapsed="false">
      <c r="A99" s="12" t="s">
        <v>444</v>
      </c>
      <c r="B99" s="12" t="s">
        <v>22</v>
      </c>
      <c r="C99" s="12" t="s">
        <v>250</v>
      </c>
      <c r="D99" s="12" t="n">
        <v>334</v>
      </c>
      <c r="E99" s="12" t="s">
        <v>472</v>
      </c>
      <c r="F99" s="23" t="n">
        <v>187.6</v>
      </c>
      <c r="G99" s="12" t="s">
        <v>446</v>
      </c>
    </row>
    <row r="100" customFormat="false" ht="15" hidden="false" customHeight="false" outlineLevel="0" collapsed="false">
      <c r="A100" s="12" t="s">
        <v>447</v>
      </c>
      <c r="B100" s="12" t="s">
        <v>22</v>
      </c>
      <c r="C100" s="12" t="s">
        <v>241</v>
      </c>
      <c r="D100" s="12" t="n">
        <v>308</v>
      </c>
      <c r="E100" s="12" t="s">
        <v>472</v>
      </c>
      <c r="F100" s="23" t="n">
        <v>138.4</v>
      </c>
      <c r="G100" s="12" t="s">
        <v>449</v>
      </c>
    </row>
    <row r="101" customFormat="false" ht="15" hidden="false" customHeight="false" outlineLevel="0" collapsed="false">
      <c r="A101" s="12" t="s">
        <v>447</v>
      </c>
      <c r="B101" s="12" t="s">
        <v>22</v>
      </c>
      <c r="C101" s="12" t="s">
        <v>245</v>
      </c>
      <c r="D101" s="12" t="n">
        <v>363</v>
      </c>
      <c r="E101" s="12" t="s">
        <v>472</v>
      </c>
      <c r="F101" s="23" t="n">
        <v>137.4</v>
      </c>
      <c r="G101" s="12" t="s">
        <v>449</v>
      </c>
    </row>
    <row r="102" customFormat="false" ht="15" hidden="false" customHeight="false" outlineLevel="0" collapsed="false">
      <c r="A102" s="12" t="s">
        <v>447</v>
      </c>
      <c r="B102" s="12" t="s">
        <v>22</v>
      </c>
      <c r="C102" s="12" t="s">
        <v>527</v>
      </c>
      <c r="D102" s="12" t="n">
        <v>390</v>
      </c>
      <c r="E102" s="12" t="s">
        <v>458</v>
      </c>
      <c r="F102" s="23" t="n">
        <v>213.4</v>
      </c>
      <c r="G102" s="12" t="s">
        <v>449</v>
      </c>
    </row>
    <row r="103" customFormat="false" ht="15" hidden="false" customHeight="false" outlineLevel="0" collapsed="false">
      <c r="A103" s="12" t="s">
        <v>447</v>
      </c>
      <c r="B103" s="12" t="s">
        <v>22</v>
      </c>
      <c r="C103" s="12" t="s">
        <v>204</v>
      </c>
      <c r="D103" s="12" t="n">
        <v>330</v>
      </c>
      <c r="E103" s="12" t="s">
        <v>472</v>
      </c>
      <c r="F103" s="23" t="n">
        <v>216.7</v>
      </c>
      <c r="G103" s="12" t="s">
        <v>449</v>
      </c>
    </row>
  </sheetData>
  <autoFilter ref="A4:G1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528</v>
      </c>
    </row>
    <row r="2" customFormat="false" ht="15" hidden="false" customHeight="false" outlineLevel="0" collapsed="false">
      <c r="A2" s="2" t="s">
        <v>529</v>
      </c>
    </row>
    <row r="4" customFormat="false" ht="43.5" hidden="false" customHeight="true" outlineLevel="0" collapsed="false">
      <c r="A4" s="8" t="s">
        <v>530</v>
      </c>
      <c r="B4" s="8" t="s">
        <v>14</v>
      </c>
      <c r="C4" s="8" t="s">
        <v>67</v>
      </c>
      <c r="D4" s="8" t="s">
        <v>531</v>
      </c>
      <c r="E4" s="8" t="s">
        <v>532</v>
      </c>
      <c r="F4" s="8" t="s">
        <v>533</v>
      </c>
      <c r="G4" s="8" t="s">
        <v>534</v>
      </c>
      <c r="H4" s="8" t="s">
        <v>535</v>
      </c>
      <c r="I4" s="8" t="s">
        <v>536</v>
      </c>
      <c r="J4" s="8" t="s">
        <v>537</v>
      </c>
      <c r="K4" s="8" t="s">
        <v>538</v>
      </c>
      <c r="L4" s="8" t="s">
        <v>539</v>
      </c>
      <c r="M4" s="8" t="s">
        <v>540</v>
      </c>
      <c r="N4" s="8" t="s">
        <v>541</v>
      </c>
      <c r="O4" s="8" t="s">
        <v>542</v>
      </c>
      <c r="P4" s="8" t="s">
        <v>543</v>
      </c>
      <c r="Q4" s="8" t="s">
        <v>544</v>
      </c>
      <c r="R4" s="8" t="s">
        <v>545</v>
      </c>
      <c r="S4" s="8" t="s">
        <v>546</v>
      </c>
      <c r="T4" s="8" t="s">
        <v>349</v>
      </c>
    </row>
    <row r="5" customFormat="false" ht="15" hidden="false" customHeight="false" outlineLevel="0" collapsed="false">
      <c r="A5" s="12" t="s">
        <v>547</v>
      </c>
      <c r="B5" s="12" t="s">
        <v>548</v>
      </c>
      <c r="C5" s="12" t="s">
        <v>549</v>
      </c>
      <c r="D5" s="12" t="s">
        <v>550</v>
      </c>
      <c r="E5" s="12" t="s">
        <v>551</v>
      </c>
      <c r="F5" s="12" t="n">
        <v>136</v>
      </c>
      <c r="G5" s="28" t="n">
        <v>21.09</v>
      </c>
      <c r="H5" s="12" t="s">
        <v>552</v>
      </c>
      <c r="I5" s="28" t="n">
        <f aca="false">ROUND(G5/1,2)</f>
        <v>21.09</v>
      </c>
      <c r="J5" s="12" t="n">
        <v>49</v>
      </c>
      <c r="K5" s="12" t="s">
        <v>459</v>
      </c>
      <c r="L5" s="28" t="n">
        <f aca="false">G5</f>
        <v>21.09</v>
      </c>
      <c r="M5" s="13" t="n">
        <v>1.28</v>
      </c>
      <c r="N5" s="12" t="n">
        <v>49</v>
      </c>
      <c r="O5" s="12" t="s">
        <v>459</v>
      </c>
      <c r="P5" s="12" t="s">
        <v>458</v>
      </c>
      <c r="Q5" s="13" t="n">
        <v>1.27799779026735</v>
      </c>
      <c r="R5" s="13" t="n">
        <f aca="false">IF(N5="","",SUMIFS($I$5:$I$210,$N$5:$N$210,N5))</f>
        <v>145.52</v>
      </c>
      <c r="S5" s="26" t="s">
        <v>553</v>
      </c>
      <c r="T5" s="5"/>
    </row>
    <row r="6" customFormat="false" ht="15" hidden="false" customHeight="false" outlineLevel="0" collapsed="false">
      <c r="A6" s="12" t="s">
        <v>554</v>
      </c>
      <c r="B6" s="12" t="s">
        <v>548</v>
      </c>
      <c r="C6" s="12" t="s">
        <v>549</v>
      </c>
      <c r="D6" s="12" t="s">
        <v>555</v>
      </c>
      <c r="E6" s="12" t="s">
        <v>551</v>
      </c>
      <c r="F6" s="12" t="n">
        <v>205</v>
      </c>
      <c r="G6" s="28" t="n">
        <v>35.52</v>
      </c>
      <c r="H6" s="12" t="s">
        <v>552</v>
      </c>
      <c r="I6" s="28" t="n">
        <f aca="false">ROUND(G6/1,2)</f>
        <v>35.52</v>
      </c>
      <c r="J6" s="12" t="n">
        <v>49</v>
      </c>
      <c r="K6" s="12" t="s">
        <v>459</v>
      </c>
      <c r="L6" s="28" t="n">
        <f aca="false">G6</f>
        <v>35.52</v>
      </c>
      <c r="M6" s="13" t="n">
        <v>0.76</v>
      </c>
      <c r="N6" s="12" t="n">
        <v>49</v>
      </c>
      <c r="O6" s="12" t="s">
        <v>459</v>
      </c>
      <c r="P6" s="12" t="s">
        <v>458</v>
      </c>
      <c r="Q6" s="13" t="n">
        <v>0.758532872271603</v>
      </c>
      <c r="R6" s="13" t="n">
        <f aca="false">IF(N6="","",SUMIFS($I$5:$I$210,$N$5:$N$210,N6))</f>
        <v>145.52</v>
      </c>
      <c r="S6" s="26" t="s">
        <v>553</v>
      </c>
      <c r="T6" s="5"/>
    </row>
    <row r="7" customFormat="false" ht="15" hidden="false" customHeight="false" outlineLevel="0" collapsed="false">
      <c r="A7" s="12" t="s">
        <v>556</v>
      </c>
      <c r="B7" s="12" t="s">
        <v>548</v>
      </c>
      <c r="C7" s="12" t="s">
        <v>549</v>
      </c>
      <c r="D7" s="12" t="s">
        <v>557</v>
      </c>
      <c r="E7" s="12" t="s">
        <v>558</v>
      </c>
      <c r="F7" s="12" t="n">
        <v>208</v>
      </c>
      <c r="G7" s="28" t="n">
        <v>34.29</v>
      </c>
      <c r="H7" s="12" t="s">
        <v>552</v>
      </c>
      <c r="I7" s="28" t="n">
        <f aca="false">ROUND(G7/1,2)</f>
        <v>34.29</v>
      </c>
      <c r="J7" s="12" t="n">
        <v>49</v>
      </c>
      <c r="K7" s="12" t="s">
        <v>459</v>
      </c>
      <c r="L7" s="28" t="n">
        <f aca="false">G7</f>
        <v>34.29</v>
      </c>
      <c r="M7" s="13" t="n">
        <v>3.78</v>
      </c>
      <c r="N7" s="12" t="n">
        <v>49</v>
      </c>
      <c r="O7" s="12" t="s">
        <v>459</v>
      </c>
      <c r="P7" s="12" t="s">
        <v>458</v>
      </c>
      <c r="Q7" s="13" t="n">
        <v>3.77603511876394</v>
      </c>
      <c r="R7" s="13" t="n">
        <f aca="false">IF(N7="","",SUMIFS($I$5:$I$210,$N$5:$N$210,N7))</f>
        <v>145.52</v>
      </c>
      <c r="S7" s="26" t="s">
        <v>553</v>
      </c>
      <c r="T7" s="5"/>
    </row>
    <row r="8" customFormat="false" ht="15" hidden="false" customHeight="false" outlineLevel="0" collapsed="false">
      <c r="A8" s="12" t="s">
        <v>559</v>
      </c>
      <c r="B8" s="12" t="s">
        <v>548</v>
      </c>
      <c r="C8" s="12" t="s">
        <v>549</v>
      </c>
      <c r="D8" s="12" t="s">
        <v>560</v>
      </c>
      <c r="E8" s="12" t="s">
        <v>561</v>
      </c>
      <c r="F8" s="12" t="n">
        <v>194</v>
      </c>
      <c r="G8" s="28" t="n">
        <v>30.8</v>
      </c>
      <c r="H8" s="12" t="s">
        <v>552</v>
      </c>
      <c r="I8" s="28" t="n">
        <f aca="false">ROUND(G8/1,2)</f>
        <v>30.8</v>
      </c>
      <c r="J8" s="12" t="n">
        <v>49</v>
      </c>
      <c r="K8" s="12" t="s">
        <v>459</v>
      </c>
      <c r="L8" s="28" t="n">
        <f aca="false">G8</f>
        <v>30.8</v>
      </c>
      <c r="M8" s="13" t="n">
        <v>4.84</v>
      </c>
      <c r="N8" s="12" t="n">
        <v>49</v>
      </c>
      <c r="O8" s="12" t="s">
        <v>459</v>
      </c>
      <c r="P8" s="12" t="s">
        <v>458</v>
      </c>
      <c r="Q8" s="13" t="n">
        <v>4.84359295229079</v>
      </c>
      <c r="R8" s="13" t="n">
        <f aca="false">IF(N8="","",SUMIFS($I$5:$I$210,$N$5:$N$210,N8))</f>
        <v>145.52</v>
      </c>
      <c r="S8" s="26" t="s">
        <v>553</v>
      </c>
      <c r="T8" s="5"/>
    </row>
    <row r="9" customFormat="false" ht="23.85" hidden="false" customHeight="false" outlineLevel="0" collapsed="false">
      <c r="A9" s="12" t="s">
        <v>562</v>
      </c>
      <c r="B9" s="12" t="s">
        <v>548</v>
      </c>
      <c r="C9" s="12" t="s">
        <v>549</v>
      </c>
      <c r="D9" s="12" t="s">
        <v>563</v>
      </c>
      <c r="E9" s="12" t="s">
        <v>551</v>
      </c>
      <c r="F9" s="12" t="n">
        <v>156</v>
      </c>
      <c r="G9" s="28" t="n">
        <v>23.82</v>
      </c>
      <c r="H9" s="12" t="s">
        <v>552</v>
      </c>
      <c r="I9" s="28" t="n">
        <f aca="false">ROUND(G9/1,2)</f>
        <v>23.82</v>
      </c>
      <c r="J9" s="12" t="n">
        <v>65</v>
      </c>
      <c r="K9" s="12" t="s">
        <v>99</v>
      </c>
      <c r="L9" s="28" t="n">
        <f aca="false">G9</f>
        <v>23.82</v>
      </c>
      <c r="M9" s="13" t="n">
        <v>3.86</v>
      </c>
      <c r="N9" s="12" t="n">
        <v>49</v>
      </c>
      <c r="O9" s="12" t="s">
        <v>459</v>
      </c>
      <c r="P9" s="12" t="s">
        <v>458</v>
      </c>
      <c r="Q9" s="13" t="n">
        <v>4.72326958369323</v>
      </c>
      <c r="R9" s="13" t="n">
        <f aca="false">IF(N9="","",SUMIFS($I$5:$I$210,$N$5:$N$210,N9))</f>
        <v>145.52</v>
      </c>
      <c r="S9" s="29" t="s">
        <v>564</v>
      </c>
      <c r="T9" s="5" t="s">
        <v>565</v>
      </c>
    </row>
    <row r="10" customFormat="false" ht="23.85" hidden="false" customHeight="false" outlineLevel="0" collapsed="false">
      <c r="A10" s="12" t="s">
        <v>566</v>
      </c>
      <c r="B10" s="12" t="s">
        <v>379</v>
      </c>
      <c r="C10" s="12" t="s">
        <v>567</v>
      </c>
      <c r="D10" s="12" t="s">
        <v>568</v>
      </c>
      <c r="E10" s="12" t="s">
        <v>551</v>
      </c>
      <c r="F10" s="12" t="n">
        <v>127</v>
      </c>
      <c r="G10" s="28" t="n">
        <v>27.47</v>
      </c>
      <c r="H10" s="12" t="s">
        <v>552</v>
      </c>
      <c r="I10" s="28" t="n">
        <f aca="false">ROUND(G10/1,2)</f>
        <v>27.47</v>
      </c>
      <c r="J10" s="12" t="n">
        <v>99</v>
      </c>
      <c r="K10" s="12" t="s">
        <v>93</v>
      </c>
      <c r="L10" s="28" t="n">
        <f aca="false">G10</f>
        <v>27.47</v>
      </c>
      <c r="M10" s="13" t="n">
        <v>0.21</v>
      </c>
      <c r="N10" s="12" t="n">
        <v>122</v>
      </c>
      <c r="O10" s="12" t="s">
        <v>461</v>
      </c>
      <c r="P10" s="12" t="s">
        <v>458</v>
      </c>
      <c r="Q10" s="13" t="n">
        <v>7.76669257550171</v>
      </c>
      <c r="R10" s="13" t="n">
        <f aca="false">IF(N10="","",SUMIFS($I$5:$I$210,$N$5:$N$210,N10))</f>
        <v>127.15</v>
      </c>
      <c r="S10" s="29" t="s">
        <v>564</v>
      </c>
      <c r="T10" s="5" t="s">
        <v>569</v>
      </c>
    </row>
    <row r="11" customFormat="false" ht="15" hidden="false" customHeight="false" outlineLevel="0" collapsed="false">
      <c r="A11" s="12" t="s">
        <v>570</v>
      </c>
      <c r="B11" s="12" t="s">
        <v>379</v>
      </c>
      <c r="C11" s="12" t="s">
        <v>571</v>
      </c>
      <c r="D11" s="12" t="s">
        <v>572</v>
      </c>
      <c r="E11" s="12" t="s">
        <v>573</v>
      </c>
      <c r="F11" s="12" t="n">
        <v>158</v>
      </c>
      <c r="G11" s="28" t="n">
        <v>86.03</v>
      </c>
      <c r="H11" s="12" t="s">
        <v>552</v>
      </c>
      <c r="I11" s="28" t="n">
        <f aca="false">ROUND(G11/1,2)</f>
        <v>86.03</v>
      </c>
      <c r="J11" s="12" t="n">
        <v>83</v>
      </c>
      <c r="K11" s="12" t="s">
        <v>457</v>
      </c>
      <c r="L11" s="28" t="n">
        <f aca="false">G11</f>
        <v>86.03</v>
      </c>
      <c r="M11" s="13" t="n">
        <v>1.27</v>
      </c>
      <c r="N11" s="12" t="n">
        <v>83</v>
      </c>
      <c r="O11" s="12" t="s">
        <v>457</v>
      </c>
      <c r="P11" s="12" t="s">
        <v>458</v>
      </c>
      <c r="Q11" s="13" t="n">
        <v>1.27143995325501</v>
      </c>
      <c r="R11" s="13" t="n">
        <f aca="false">IF(N11="","",SUMIFS($I$5:$I$210,$N$5:$N$210,N11))</f>
        <v>86.03</v>
      </c>
      <c r="S11" s="26" t="s">
        <v>553</v>
      </c>
      <c r="T11" s="5"/>
    </row>
    <row r="12" customFormat="false" ht="15" hidden="false" customHeight="false" outlineLevel="0" collapsed="false">
      <c r="A12" s="12" t="s">
        <v>574</v>
      </c>
      <c r="B12" s="12" t="s">
        <v>379</v>
      </c>
      <c r="C12" s="12" t="s">
        <v>571</v>
      </c>
      <c r="D12" s="12" t="s">
        <v>572</v>
      </c>
      <c r="E12" s="12" t="s">
        <v>575</v>
      </c>
      <c r="F12" s="12" t="n">
        <v>112</v>
      </c>
      <c r="G12" s="28" t="n">
        <v>78.82</v>
      </c>
      <c r="H12" s="12" t="s">
        <v>552</v>
      </c>
      <c r="I12" s="28" t="n">
        <f aca="false">ROUND(G12/1,2)</f>
        <v>78.82</v>
      </c>
      <c r="J12" s="12" t="n">
        <v>117</v>
      </c>
      <c r="K12" s="12" t="s">
        <v>465</v>
      </c>
      <c r="L12" s="28" t="n">
        <f aca="false">G12</f>
        <v>78.82</v>
      </c>
      <c r="M12" s="13" t="n">
        <v>0.63</v>
      </c>
      <c r="N12" s="12" t="n">
        <v>117</v>
      </c>
      <c r="O12" s="12" t="s">
        <v>465</v>
      </c>
      <c r="P12" s="12" t="s">
        <v>458</v>
      </c>
      <c r="Q12" s="13" t="n">
        <v>0.62915840249017</v>
      </c>
      <c r="R12" s="13" t="n">
        <f aca="false">IF(N12="","",SUMIFS($I$5:$I$210,$N$5:$N$210,N12))</f>
        <v>78.82</v>
      </c>
      <c r="S12" s="26" t="s">
        <v>553</v>
      </c>
      <c r="T12" s="5"/>
    </row>
    <row r="13" customFormat="false" ht="15" hidden="false" customHeight="false" outlineLevel="0" collapsed="false">
      <c r="A13" s="12" t="s">
        <v>576</v>
      </c>
      <c r="B13" s="12" t="s">
        <v>379</v>
      </c>
      <c r="C13" s="12" t="s">
        <v>571</v>
      </c>
      <c r="D13" s="12" t="s">
        <v>572</v>
      </c>
      <c r="E13" s="12" t="s">
        <v>577</v>
      </c>
      <c r="F13" s="12" t="n">
        <v>142</v>
      </c>
      <c r="G13" s="28" t="n">
        <v>85.5</v>
      </c>
      <c r="H13" s="12" t="s">
        <v>552</v>
      </c>
      <c r="I13" s="28" t="n">
        <f aca="false">ROUND(G13/1,2)</f>
        <v>85.5</v>
      </c>
      <c r="J13" s="12" t="n">
        <v>108</v>
      </c>
      <c r="K13" s="12" t="s">
        <v>464</v>
      </c>
      <c r="L13" s="28" t="n">
        <f aca="false">G13</f>
        <v>85.5</v>
      </c>
      <c r="M13" s="13" t="n">
        <v>3.02</v>
      </c>
      <c r="N13" s="12" t="n">
        <v>108</v>
      </c>
      <c r="O13" s="12" t="s">
        <v>464</v>
      </c>
      <c r="P13" s="12" t="s">
        <v>458</v>
      </c>
      <c r="Q13" s="13" t="n">
        <v>3.01590780294747</v>
      </c>
      <c r="R13" s="13" t="n">
        <f aca="false">IF(N13="","",SUMIFS($I$5:$I$210,$N$5:$N$210,N13))</f>
        <v>85.5</v>
      </c>
      <c r="S13" s="26" t="s">
        <v>553</v>
      </c>
      <c r="T13" s="5"/>
    </row>
    <row r="14" customFormat="false" ht="15" hidden="false" customHeight="false" outlineLevel="0" collapsed="false">
      <c r="A14" s="12" t="s">
        <v>578</v>
      </c>
      <c r="B14" s="12" t="s">
        <v>379</v>
      </c>
      <c r="C14" s="12" t="s">
        <v>571</v>
      </c>
      <c r="D14" s="12" t="s">
        <v>572</v>
      </c>
      <c r="E14" s="12" t="s">
        <v>579</v>
      </c>
      <c r="F14" s="12" t="n">
        <v>137</v>
      </c>
      <c r="G14" s="28" t="n">
        <v>83.39</v>
      </c>
      <c r="H14" s="12" t="s">
        <v>552</v>
      </c>
      <c r="I14" s="28" t="n">
        <f aca="false">ROUND(G14/1,2)</f>
        <v>83.39</v>
      </c>
      <c r="J14" s="12" t="n">
        <v>129</v>
      </c>
      <c r="K14" s="12" t="s">
        <v>467</v>
      </c>
      <c r="L14" s="28" t="n">
        <f aca="false">G14</f>
        <v>83.39</v>
      </c>
      <c r="M14" s="13" t="n">
        <v>1.63</v>
      </c>
      <c r="N14" s="12" t="n">
        <v>129</v>
      </c>
      <c r="O14" s="12" t="s">
        <v>467</v>
      </c>
      <c r="P14" s="12" t="s">
        <v>458</v>
      </c>
      <c r="Q14" s="13" t="n">
        <v>1.6317509310599</v>
      </c>
      <c r="R14" s="13" t="n">
        <f aca="false">IF(N14="","",SUMIFS($I$5:$I$210,$N$5:$N$210,N14))</f>
        <v>83.39</v>
      </c>
      <c r="S14" s="26" t="s">
        <v>553</v>
      </c>
      <c r="T14" s="5"/>
    </row>
    <row r="15" customFormat="false" ht="15" hidden="false" customHeight="false" outlineLevel="0" collapsed="false">
      <c r="A15" s="12" t="s">
        <v>580</v>
      </c>
      <c r="B15" s="12" t="s">
        <v>379</v>
      </c>
      <c r="C15" s="12" t="s">
        <v>571</v>
      </c>
      <c r="D15" s="12" t="s">
        <v>581</v>
      </c>
      <c r="E15" s="12" t="s">
        <v>551</v>
      </c>
      <c r="F15" s="12" t="n">
        <v>177</v>
      </c>
      <c r="G15" s="28" t="n">
        <v>27.07</v>
      </c>
      <c r="H15" s="12" t="s">
        <v>552</v>
      </c>
      <c r="I15" s="28" t="n">
        <f aca="false">ROUND(G15/1,2)</f>
        <v>27.07</v>
      </c>
      <c r="J15" s="12" t="n">
        <v>122</v>
      </c>
      <c r="K15" s="12" t="s">
        <v>461</v>
      </c>
      <c r="L15" s="28" t="n">
        <f aca="false">G15</f>
        <v>27.07</v>
      </c>
      <c r="M15" s="13" t="n">
        <v>1.61</v>
      </c>
      <c r="N15" s="12" t="n">
        <v>122</v>
      </c>
      <c r="O15" s="12" t="s">
        <v>461</v>
      </c>
      <c r="P15" s="12" t="s">
        <v>458</v>
      </c>
      <c r="Q15" s="13" t="n">
        <v>1.61082036680256</v>
      </c>
      <c r="R15" s="13" t="n">
        <f aca="false">IF(N15="","",SUMIFS($I$5:$I$210,$N$5:$N$210,N15))</f>
        <v>127.15</v>
      </c>
      <c r="S15" s="26" t="s">
        <v>553</v>
      </c>
      <c r="T15" s="5"/>
    </row>
    <row r="16" customFormat="false" ht="15" hidden="false" customHeight="false" outlineLevel="0" collapsed="false">
      <c r="A16" s="12" t="s">
        <v>582</v>
      </c>
      <c r="B16" s="12" t="s">
        <v>379</v>
      </c>
      <c r="C16" s="12" t="s">
        <v>571</v>
      </c>
      <c r="D16" s="12" t="s">
        <v>581</v>
      </c>
      <c r="E16" s="12" t="s">
        <v>561</v>
      </c>
      <c r="F16" s="12" t="n">
        <v>178</v>
      </c>
      <c r="G16" s="28" t="n">
        <v>48.76</v>
      </c>
      <c r="H16" s="12" t="s">
        <v>552</v>
      </c>
      <c r="I16" s="28" t="n">
        <f aca="false">ROUND(G16/1,2)</f>
        <v>48.76</v>
      </c>
      <c r="J16" s="12" t="n">
        <v>122</v>
      </c>
      <c r="K16" s="12" t="s">
        <v>461</v>
      </c>
      <c r="L16" s="28" t="n">
        <f aca="false">G16</f>
        <v>48.76</v>
      </c>
      <c r="M16" s="13" t="n">
        <v>0.33</v>
      </c>
      <c r="N16" s="12" t="n">
        <v>122</v>
      </c>
      <c r="O16" s="12" t="s">
        <v>461</v>
      </c>
      <c r="P16" s="12" t="s">
        <v>458</v>
      </c>
      <c r="Q16" s="13" t="n">
        <v>0.333681844729312</v>
      </c>
      <c r="R16" s="13" t="n">
        <f aca="false">IF(N16="","",SUMIFS($I$5:$I$210,$N$5:$N$210,N16))</f>
        <v>127.15</v>
      </c>
      <c r="S16" s="26" t="s">
        <v>553</v>
      </c>
      <c r="T16" s="5"/>
    </row>
    <row r="17" customFormat="false" ht="15" hidden="false" customHeight="false" outlineLevel="0" collapsed="false">
      <c r="A17" s="12" t="s">
        <v>583</v>
      </c>
      <c r="B17" s="12" t="s">
        <v>379</v>
      </c>
      <c r="C17" s="12" t="s">
        <v>571</v>
      </c>
      <c r="D17" s="12" t="s">
        <v>581</v>
      </c>
      <c r="E17" s="12" t="s">
        <v>573</v>
      </c>
      <c r="F17" s="12" t="n">
        <v>147</v>
      </c>
      <c r="G17" s="28" t="n">
        <v>23.85</v>
      </c>
      <c r="H17" s="12" t="s">
        <v>552</v>
      </c>
      <c r="I17" s="28" t="n">
        <f aca="false">ROUND(G17/1,2)</f>
        <v>23.85</v>
      </c>
      <c r="J17" s="12" t="n">
        <v>122</v>
      </c>
      <c r="K17" s="12" t="s">
        <v>461</v>
      </c>
      <c r="L17" s="28" t="n">
        <f aca="false">G17</f>
        <v>23.85</v>
      </c>
      <c r="M17" s="13" t="n">
        <v>1.35</v>
      </c>
      <c r="N17" s="12" t="n">
        <v>122</v>
      </c>
      <c r="O17" s="12" t="s">
        <v>461</v>
      </c>
      <c r="P17" s="12" t="s">
        <v>458</v>
      </c>
      <c r="Q17" s="13" t="n">
        <v>1.3487010912196</v>
      </c>
      <c r="R17" s="13" t="n">
        <f aca="false">IF(N17="","",SUMIFS($I$5:$I$210,$N$5:$N$210,N17))</f>
        <v>127.15</v>
      </c>
      <c r="S17" s="26" t="s">
        <v>553</v>
      </c>
      <c r="T17" s="5"/>
    </row>
    <row r="18" customFormat="false" ht="15" hidden="false" customHeight="false" outlineLevel="0" collapsed="false">
      <c r="A18" s="12" t="s">
        <v>584</v>
      </c>
      <c r="B18" s="12" t="s">
        <v>379</v>
      </c>
      <c r="C18" s="12" t="s">
        <v>585</v>
      </c>
      <c r="D18" s="12" t="s">
        <v>586</v>
      </c>
      <c r="E18" s="12" t="s">
        <v>587</v>
      </c>
      <c r="F18" s="12" t="n">
        <v>170</v>
      </c>
      <c r="G18" s="28" t="n">
        <v>28.09</v>
      </c>
      <c r="H18" s="12" t="s">
        <v>552</v>
      </c>
      <c r="I18" s="28" t="n">
        <f aca="false">ROUND(G18/1,2)</f>
        <v>28.09</v>
      </c>
      <c r="J18" s="12" t="n">
        <v>107</v>
      </c>
      <c r="K18" s="12" t="s">
        <v>493</v>
      </c>
      <c r="L18" s="28" t="n">
        <f aca="false">G18</f>
        <v>28.09</v>
      </c>
      <c r="M18" s="13" t="n">
        <v>0.85</v>
      </c>
      <c r="N18" s="12" t="n">
        <v>107</v>
      </c>
      <c r="O18" s="12" t="s">
        <v>493</v>
      </c>
      <c r="P18" s="12" t="s">
        <v>458</v>
      </c>
      <c r="Q18" s="13" t="n">
        <v>0.851488917519436</v>
      </c>
      <c r="R18" s="13" t="n">
        <f aca="false">IF(N18="","",SUMIFS($I$5:$I$210,$N$5:$N$210,N18))</f>
        <v>214.82</v>
      </c>
      <c r="S18" s="26" t="s">
        <v>553</v>
      </c>
      <c r="T18" s="5"/>
    </row>
    <row r="19" customFormat="false" ht="15" hidden="false" customHeight="false" outlineLevel="0" collapsed="false">
      <c r="A19" s="12" t="s">
        <v>588</v>
      </c>
      <c r="B19" s="12" t="s">
        <v>379</v>
      </c>
      <c r="C19" s="12" t="s">
        <v>585</v>
      </c>
      <c r="D19" s="12" t="s">
        <v>589</v>
      </c>
      <c r="E19" s="12" t="s">
        <v>551</v>
      </c>
      <c r="F19" s="12" t="n">
        <v>114</v>
      </c>
      <c r="G19" s="28" t="n">
        <v>16.88</v>
      </c>
      <c r="H19" s="12" t="s">
        <v>552</v>
      </c>
      <c r="I19" s="28" t="n">
        <f aca="false">ROUND(G19/1,2)</f>
        <v>16.88</v>
      </c>
      <c r="J19" s="12" t="n">
        <v>107</v>
      </c>
      <c r="K19" s="12" t="s">
        <v>493</v>
      </c>
      <c r="L19" s="28" t="n">
        <f aca="false">G19</f>
        <v>16.88</v>
      </c>
      <c r="M19" s="13" t="n">
        <v>1.49</v>
      </c>
      <c r="N19" s="12" t="n">
        <v>107</v>
      </c>
      <c r="O19" s="12" t="s">
        <v>493</v>
      </c>
      <c r="P19" s="12" t="s">
        <v>458</v>
      </c>
      <c r="Q19" s="13" t="n">
        <v>1.48635179865967</v>
      </c>
      <c r="R19" s="13" t="n">
        <f aca="false">IF(N19="","",SUMIFS($I$5:$I$210,$N$5:$N$210,N19))</f>
        <v>214.82</v>
      </c>
      <c r="S19" s="26" t="s">
        <v>553</v>
      </c>
      <c r="T19" s="5"/>
    </row>
    <row r="20" customFormat="false" ht="15" hidden="false" customHeight="false" outlineLevel="0" collapsed="false">
      <c r="A20" s="12" t="s">
        <v>590</v>
      </c>
      <c r="B20" s="12" t="s">
        <v>379</v>
      </c>
      <c r="C20" s="12" t="s">
        <v>585</v>
      </c>
      <c r="D20" s="12" t="s">
        <v>589</v>
      </c>
      <c r="E20" s="12" t="s">
        <v>561</v>
      </c>
      <c r="F20" s="12" t="n">
        <v>129</v>
      </c>
      <c r="G20" s="28" t="n">
        <v>19.13</v>
      </c>
      <c r="H20" s="12" t="s">
        <v>552</v>
      </c>
      <c r="I20" s="28" t="n">
        <f aca="false">ROUND(G20/1,2)</f>
        <v>19.13</v>
      </c>
      <c r="J20" s="12" t="n">
        <v>181</v>
      </c>
      <c r="K20" s="12" t="s">
        <v>491</v>
      </c>
      <c r="L20" s="28" t="n">
        <f aca="false">G20</f>
        <v>19.13</v>
      </c>
      <c r="M20" s="13" t="n">
        <v>1.78</v>
      </c>
      <c r="N20" s="12" t="n">
        <v>181</v>
      </c>
      <c r="O20" s="12" t="s">
        <v>491</v>
      </c>
      <c r="P20" s="12" t="s">
        <v>458</v>
      </c>
      <c r="Q20" s="13" t="n">
        <v>1.7784939598143</v>
      </c>
      <c r="R20" s="13" t="n">
        <f aca="false">IF(N20="","",SUMIFS($I$5:$I$210,$N$5:$N$210,N20))</f>
        <v>144.3</v>
      </c>
      <c r="S20" s="26" t="s">
        <v>553</v>
      </c>
      <c r="T20" s="5"/>
    </row>
    <row r="21" customFormat="false" ht="15" hidden="false" customHeight="false" outlineLevel="0" collapsed="false">
      <c r="A21" s="12" t="s">
        <v>591</v>
      </c>
      <c r="B21" s="12" t="s">
        <v>379</v>
      </c>
      <c r="C21" s="12" t="s">
        <v>585</v>
      </c>
      <c r="D21" s="12" t="s">
        <v>589</v>
      </c>
      <c r="E21" s="12" t="s">
        <v>573</v>
      </c>
      <c r="F21" s="12" t="n">
        <v>180</v>
      </c>
      <c r="G21" s="28" t="n">
        <v>26.18</v>
      </c>
      <c r="H21" s="12" t="s">
        <v>552</v>
      </c>
      <c r="I21" s="28" t="n">
        <f aca="false">ROUND(G21/1,2)</f>
        <v>26.18</v>
      </c>
      <c r="J21" s="12" t="n">
        <v>82</v>
      </c>
      <c r="K21" s="12" t="s">
        <v>492</v>
      </c>
      <c r="L21" s="28" t="n">
        <f aca="false">G21</f>
        <v>26.18</v>
      </c>
      <c r="M21" s="13" t="n">
        <v>1.19</v>
      </c>
      <c r="N21" s="12" t="n">
        <v>82</v>
      </c>
      <c r="O21" s="12" t="s">
        <v>492</v>
      </c>
      <c r="P21" s="12" t="s">
        <v>458</v>
      </c>
      <c r="Q21" s="13" t="n">
        <v>1.1930319322196</v>
      </c>
      <c r="R21" s="13" t="n">
        <f aca="false">IF(N21="","",SUMIFS($I$5:$I$210,$N$5:$N$210,N21))</f>
        <v>185.32</v>
      </c>
      <c r="S21" s="26" t="s">
        <v>553</v>
      </c>
      <c r="T21" s="5"/>
    </row>
    <row r="22" customFormat="false" ht="15" hidden="false" customHeight="false" outlineLevel="0" collapsed="false">
      <c r="A22" s="12" t="s">
        <v>592</v>
      </c>
      <c r="B22" s="12" t="s">
        <v>379</v>
      </c>
      <c r="C22" s="12" t="s">
        <v>585</v>
      </c>
      <c r="D22" s="12" t="s">
        <v>593</v>
      </c>
      <c r="E22" s="12" t="s">
        <v>551</v>
      </c>
      <c r="F22" s="12" t="n">
        <v>166</v>
      </c>
      <c r="G22" s="28" t="n">
        <v>24.64</v>
      </c>
      <c r="H22" s="12" t="s">
        <v>552</v>
      </c>
      <c r="I22" s="28" t="n">
        <f aca="false">ROUND(G22/1,2)</f>
        <v>24.64</v>
      </c>
      <c r="J22" s="12" t="n">
        <v>78</v>
      </c>
      <c r="K22" s="12" t="s">
        <v>486</v>
      </c>
      <c r="L22" s="28" t="n">
        <f aca="false">G22</f>
        <v>24.64</v>
      </c>
      <c r="M22" s="13" t="n">
        <v>2.36</v>
      </c>
      <c r="N22" s="12" t="n">
        <v>78</v>
      </c>
      <c r="O22" s="12" t="s">
        <v>486</v>
      </c>
      <c r="P22" s="12" t="s">
        <v>458</v>
      </c>
      <c r="Q22" s="13" t="n">
        <v>2.35812671654832</v>
      </c>
      <c r="R22" s="13" t="n">
        <f aca="false">IF(N22="","",SUMIFS($I$5:$I$210,$N$5:$N$210,N22))</f>
        <v>204.54</v>
      </c>
      <c r="S22" s="26" t="s">
        <v>553</v>
      </c>
      <c r="T22" s="5"/>
    </row>
    <row r="23" customFormat="false" ht="15" hidden="false" customHeight="false" outlineLevel="0" collapsed="false">
      <c r="A23" s="12" t="s">
        <v>594</v>
      </c>
      <c r="B23" s="12" t="s">
        <v>379</v>
      </c>
      <c r="C23" s="12" t="s">
        <v>585</v>
      </c>
      <c r="D23" s="12" t="s">
        <v>593</v>
      </c>
      <c r="E23" s="12" t="s">
        <v>561</v>
      </c>
      <c r="F23" s="12" t="n">
        <v>168</v>
      </c>
      <c r="G23" s="28" t="n">
        <v>24.67</v>
      </c>
      <c r="H23" s="12" t="s">
        <v>552</v>
      </c>
      <c r="I23" s="28" t="n">
        <f aca="false">ROUND(G23/1,2)</f>
        <v>24.67</v>
      </c>
      <c r="J23" s="12" t="n">
        <v>107</v>
      </c>
      <c r="K23" s="12" t="s">
        <v>493</v>
      </c>
      <c r="L23" s="28" t="n">
        <f aca="false">G23</f>
        <v>24.67</v>
      </c>
      <c r="M23" s="13" t="n">
        <v>1.7</v>
      </c>
      <c r="N23" s="12" t="n">
        <v>107</v>
      </c>
      <c r="O23" s="12" t="s">
        <v>493</v>
      </c>
      <c r="P23" s="12" t="s">
        <v>458</v>
      </c>
      <c r="Q23" s="13" t="n">
        <v>1.69680427515559</v>
      </c>
      <c r="R23" s="13" t="n">
        <f aca="false">IF(N23="","",SUMIFS($I$5:$I$210,$N$5:$N$210,N23))</f>
        <v>214.82</v>
      </c>
      <c r="S23" s="26" t="s">
        <v>553</v>
      </c>
      <c r="T23" s="5"/>
    </row>
    <row r="24" customFormat="false" ht="23.85" hidden="false" customHeight="false" outlineLevel="0" collapsed="false">
      <c r="A24" s="12" t="s">
        <v>595</v>
      </c>
      <c r="B24" s="12" t="s">
        <v>379</v>
      </c>
      <c r="C24" s="12" t="s">
        <v>596</v>
      </c>
      <c r="D24" s="12" t="s">
        <v>597</v>
      </c>
      <c r="E24" s="12" t="s">
        <v>561</v>
      </c>
      <c r="F24" s="12" t="n">
        <v>159</v>
      </c>
      <c r="G24" s="28" t="n">
        <v>23.33</v>
      </c>
      <c r="H24" s="12" t="s">
        <v>552</v>
      </c>
      <c r="I24" s="28" t="n">
        <f aca="false">ROUND(G24/1,2)</f>
        <v>23.33</v>
      </c>
      <c r="J24" s="12" t="n">
        <v>77</v>
      </c>
      <c r="K24" s="12" t="s">
        <v>256</v>
      </c>
      <c r="L24" s="28" t="n">
        <f aca="false">G24</f>
        <v>23.33</v>
      </c>
      <c r="M24" s="13" t="n">
        <v>1.56</v>
      </c>
      <c r="N24" s="12" t="n">
        <v>127</v>
      </c>
      <c r="O24" s="12" t="s">
        <v>466</v>
      </c>
      <c r="P24" s="12" t="s">
        <v>458</v>
      </c>
      <c r="Q24" s="13" t="n">
        <v>1.96532071374558</v>
      </c>
      <c r="R24" s="13" t="n">
        <f aca="false">IF(N24="","",SUMIFS($I$5:$I$210,$N$5:$N$210,N24))</f>
        <v>159.7</v>
      </c>
      <c r="S24" s="29" t="s">
        <v>564</v>
      </c>
      <c r="T24" s="5" t="s">
        <v>598</v>
      </c>
    </row>
    <row r="25" customFormat="false" ht="15" hidden="false" customHeight="false" outlineLevel="0" collapsed="false">
      <c r="A25" s="12" t="s">
        <v>599</v>
      </c>
      <c r="B25" s="12" t="s">
        <v>379</v>
      </c>
      <c r="C25" s="12" t="s">
        <v>596</v>
      </c>
      <c r="D25" s="12" t="s">
        <v>600</v>
      </c>
      <c r="E25" s="12" t="s">
        <v>561</v>
      </c>
      <c r="F25" s="12" t="n">
        <v>113</v>
      </c>
      <c r="G25" s="28" t="n">
        <v>16.21</v>
      </c>
      <c r="H25" s="12" t="s">
        <v>552</v>
      </c>
      <c r="I25" s="28" t="n">
        <f aca="false">ROUND(G25/1,2)</f>
        <v>16.21</v>
      </c>
      <c r="J25" s="12" t="n">
        <v>101</v>
      </c>
      <c r="K25" s="12" t="s">
        <v>460</v>
      </c>
      <c r="L25" s="28" t="n">
        <f aca="false">G25</f>
        <v>16.21</v>
      </c>
      <c r="M25" s="13" t="n">
        <v>0.17</v>
      </c>
      <c r="N25" s="12" t="n">
        <v>101</v>
      </c>
      <c r="O25" s="12" t="s">
        <v>460</v>
      </c>
      <c r="P25" s="12" t="s">
        <v>458</v>
      </c>
      <c r="Q25" s="13" t="n">
        <v>0.170157241644169</v>
      </c>
      <c r="R25" s="13" t="n">
        <f aca="false">IF(N25="","",SUMIFS($I$5:$I$210,$N$5:$N$210,N25))</f>
        <v>134.8</v>
      </c>
      <c r="S25" s="26" t="s">
        <v>553</v>
      </c>
      <c r="T25" s="5"/>
    </row>
    <row r="26" customFormat="false" ht="15" hidden="false" customHeight="false" outlineLevel="0" collapsed="false">
      <c r="A26" s="12" t="s">
        <v>601</v>
      </c>
      <c r="B26" s="12" t="s">
        <v>379</v>
      </c>
      <c r="C26" s="12" t="s">
        <v>596</v>
      </c>
      <c r="D26" s="12" t="s">
        <v>602</v>
      </c>
      <c r="E26" s="12" t="s">
        <v>561</v>
      </c>
      <c r="F26" s="12" t="n">
        <v>151</v>
      </c>
      <c r="G26" s="28" t="n">
        <v>81.8</v>
      </c>
      <c r="H26" s="12" t="s">
        <v>552</v>
      </c>
      <c r="I26" s="28" t="n">
        <f aca="false">ROUND(G26/1,2)</f>
        <v>81.8</v>
      </c>
      <c r="J26" s="12" t="n">
        <v>125</v>
      </c>
      <c r="K26" s="12" t="s">
        <v>462</v>
      </c>
      <c r="L26" s="28" t="n">
        <f aca="false">G26</f>
        <v>81.8</v>
      </c>
      <c r="M26" s="13" t="n">
        <v>0.06</v>
      </c>
      <c r="N26" s="12" t="n">
        <v>125</v>
      </c>
      <c r="O26" s="12" t="s">
        <v>462</v>
      </c>
      <c r="P26" s="12" t="s">
        <v>458</v>
      </c>
      <c r="Q26" s="13" t="n">
        <v>0.0573879694353752</v>
      </c>
      <c r="R26" s="13" t="n">
        <f aca="false">IF(N26="","",SUMIFS($I$5:$I$210,$N$5:$N$210,N26))</f>
        <v>81.8</v>
      </c>
      <c r="S26" s="26" t="s">
        <v>553</v>
      </c>
      <c r="T26" s="5"/>
    </row>
    <row r="27" customFormat="false" ht="15" hidden="false" customHeight="false" outlineLevel="0" collapsed="false">
      <c r="A27" s="12" t="s">
        <v>603</v>
      </c>
      <c r="B27" s="12" t="s">
        <v>379</v>
      </c>
      <c r="C27" s="12" t="s">
        <v>604</v>
      </c>
      <c r="D27" s="12" t="s">
        <v>605</v>
      </c>
      <c r="E27" s="12" t="s">
        <v>551</v>
      </c>
      <c r="F27" s="12" t="n">
        <v>206</v>
      </c>
      <c r="G27" s="28" t="n">
        <v>69.68</v>
      </c>
      <c r="H27" s="12" t="s">
        <v>552</v>
      </c>
      <c r="I27" s="28" t="n">
        <f aca="false">ROUND(G27/1,2)</f>
        <v>69.68</v>
      </c>
      <c r="J27" s="12" t="n">
        <v>106</v>
      </c>
      <c r="K27" s="12" t="s">
        <v>463</v>
      </c>
      <c r="L27" s="28" t="n">
        <f aca="false">G27</f>
        <v>69.68</v>
      </c>
      <c r="M27" s="13" t="n">
        <v>2.89</v>
      </c>
      <c r="N27" s="12" t="n">
        <v>106</v>
      </c>
      <c r="O27" s="12" t="s">
        <v>463</v>
      </c>
      <c r="P27" s="12" t="s">
        <v>458</v>
      </c>
      <c r="Q27" s="13" t="n">
        <v>2.89140699439336</v>
      </c>
      <c r="R27" s="13" t="n">
        <f aca="false">IF(N27="","",SUMIFS($I$5:$I$210,$N$5:$N$210,N27))</f>
        <v>69.68</v>
      </c>
      <c r="S27" s="26" t="s">
        <v>553</v>
      </c>
      <c r="T27" s="5"/>
    </row>
    <row r="28" customFormat="false" ht="15" hidden="false" customHeight="false" outlineLevel="0" collapsed="false">
      <c r="A28" s="12" t="s">
        <v>606</v>
      </c>
      <c r="B28" s="12" t="s">
        <v>379</v>
      </c>
      <c r="C28" s="12" t="s">
        <v>604</v>
      </c>
      <c r="D28" s="12" t="s">
        <v>605</v>
      </c>
      <c r="E28" s="12" t="s">
        <v>561</v>
      </c>
      <c r="F28" s="12" t="n">
        <v>207</v>
      </c>
      <c r="G28" s="28" t="n">
        <v>69.1</v>
      </c>
      <c r="H28" s="12" t="s">
        <v>552</v>
      </c>
      <c r="I28" s="28" t="n">
        <f aca="false">ROUND(G28/1,2)</f>
        <v>69.1</v>
      </c>
      <c r="J28" s="12" t="n">
        <v>127</v>
      </c>
      <c r="K28" s="12" t="s">
        <v>466</v>
      </c>
      <c r="L28" s="28" t="n">
        <f aca="false">G28</f>
        <v>69.1</v>
      </c>
      <c r="M28" s="13" t="n">
        <v>1.98</v>
      </c>
      <c r="N28" s="12" t="n">
        <v>127</v>
      </c>
      <c r="O28" s="12" t="s">
        <v>466</v>
      </c>
      <c r="P28" s="12" t="s">
        <v>458</v>
      </c>
      <c r="Q28" s="13" t="n">
        <v>1.97822710888507</v>
      </c>
      <c r="R28" s="13" t="n">
        <f aca="false">IF(N28="","",SUMIFS($I$5:$I$210,$N$5:$N$210,N28))</f>
        <v>159.7</v>
      </c>
      <c r="S28" s="26" t="s">
        <v>553</v>
      </c>
      <c r="T28" s="5"/>
    </row>
    <row r="29" customFormat="false" ht="15" hidden="false" customHeight="false" outlineLevel="0" collapsed="false">
      <c r="A29" s="12" t="s">
        <v>607</v>
      </c>
      <c r="B29" s="12" t="s">
        <v>379</v>
      </c>
      <c r="C29" s="12" t="s">
        <v>604</v>
      </c>
      <c r="D29" s="12" t="s">
        <v>605</v>
      </c>
      <c r="E29" s="12" t="s">
        <v>608</v>
      </c>
      <c r="F29" s="12" t="n">
        <v>128</v>
      </c>
      <c r="G29" s="28" t="n">
        <v>57.72</v>
      </c>
      <c r="H29" s="12" t="s">
        <v>552</v>
      </c>
      <c r="I29" s="28" t="n">
        <f aca="false">ROUND(G29/1,2)</f>
        <v>57.72</v>
      </c>
      <c r="J29" s="12" t="n">
        <v>101</v>
      </c>
      <c r="K29" s="12" t="s">
        <v>460</v>
      </c>
      <c r="L29" s="28" t="n">
        <f aca="false">G29</f>
        <v>57.72</v>
      </c>
      <c r="M29" s="13" t="n">
        <v>1.86</v>
      </c>
      <c r="N29" s="12" t="n">
        <v>101</v>
      </c>
      <c r="O29" s="12" t="s">
        <v>460</v>
      </c>
      <c r="P29" s="12" t="s">
        <v>458</v>
      </c>
      <c r="Q29" s="13" t="n">
        <v>1.86145323663299</v>
      </c>
      <c r="R29" s="13" t="n">
        <f aca="false">IF(N29="","",SUMIFS($I$5:$I$210,$N$5:$N$210,N29))</f>
        <v>134.8</v>
      </c>
      <c r="S29" s="26" t="s">
        <v>553</v>
      </c>
      <c r="T29" s="5"/>
    </row>
    <row r="30" customFormat="false" ht="15" hidden="false" customHeight="false" outlineLevel="0" collapsed="false">
      <c r="A30" s="12" t="s">
        <v>609</v>
      </c>
      <c r="B30" s="12" t="s">
        <v>379</v>
      </c>
      <c r="C30" s="12" t="s">
        <v>604</v>
      </c>
      <c r="D30" s="12" t="s">
        <v>605</v>
      </c>
      <c r="E30" s="12" t="s">
        <v>573</v>
      </c>
      <c r="F30" s="12" t="n">
        <v>156</v>
      </c>
      <c r="G30" s="28" t="n">
        <v>60.87</v>
      </c>
      <c r="H30" s="12" t="s">
        <v>552</v>
      </c>
      <c r="I30" s="28" t="n">
        <f aca="false">ROUND(G30/1,2)</f>
        <v>60.87</v>
      </c>
      <c r="J30" s="12" t="n">
        <v>101</v>
      </c>
      <c r="K30" s="12" t="s">
        <v>460</v>
      </c>
      <c r="L30" s="28" t="n">
        <f aca="false">G30</f>
        <v>60.87</v>
      </c>
      <c r="M30" s="13" t="n">
        <v>0.8</v>
      </c>
      <c r="N30" s="12" t="n">
        <v>101</v>
      </c>
      <c r="O30" s="12" t="s">
        <v>460</v>
      </c>
      <c r="P30" s="12" t="s">
        <v>458</v>
      </c>
      <c r="Q30" s="13" t="n">
        <v>0.797560166027158</v>
      </c>
      <c r="R30" s="13" t="n">
        <f aca="false">IF(N30="","",SUMIFS($I$5:$I$210,$N$5:$N$210,N30))</f>
        <v>134.8</v>
      </c>
      <c r="S30" s="26" t="s">
        <v>553</v>
      </c>
      <c r="T30" s="5"/>
    </row>
    <row r="31" customFormat="false" ht="15" hidden="false" customHeight="false" outlineLevel="0" collapsed="false">
      <c r="A31" s="12" t="s">
        <v>610</v>
      </c>
      <c r="B31" s="12" t="s">
        <v>379</v>
      </c>
      <c r="C31" s="12" t="s">
        <v>604</v>
      </c>
      <c r="D31" s="12" t="s">
        <v>605</v>
      </c>
      <c r="E31" s="12" t="s">
        <v>611</v>
      </c>
      <c r="F31" s="12" t="n">
        <v>195</v>
      </c>
      <c r="G31" s="28" t="n">
        <v>67.27</v>
      </c>
      <c r="H31" s="12" t="s">
        <v>552</v>
      </c>
      <c r="I31" s="28" t="n">
        <f aca="false">ROUND(G31/1,2)</f>
        <v>67.27</v>
      </c>
      <c r="J31" s="12" t="n">
        <v>127</v>
      </c>
      <c r="K31" s="12" t="s">
        <v>466</v>
      </c>
      <c r="L31" s="28" t="n">
        <f aca="false">G31</f>
        <v>67.27</v>
      </c>
      <c r="M31" s="13" t="n">
        <v>1.84</v>
      </c>
      <c r="N31" s="12" t="n">
        <v>127</v>
      </c>
      <c r="O31" s="12" t="s">
        <v>466</v>
      </c>
      <c r="P31" s="12" t="s">
        <v>458</v>
      </c>
      <c r="Q31" s="13" t="n">
        <v>1.84029196550865</v>
      </c>
      <c r="R31" s="13" t="n">
        <f aca="false">IF(N31="","",SUMIFS($I$5:$I$210,$N$5:$N$210,N31))</f>
        <v>159.7</v>
      </c>
      <c r="S31" s="26" t="s">
        <v>553</v>
      </c>
      <c r="T31" s="5"/>
    </row>
    <row r="32" customFormat="false" ht="15" hidden="false" customHeight="false" outlineLevel="0" collapsed="false">
      <c r="A32" s="12" t="s">
        <v>612</v>
      </c>
      <c r="B32" s="12" t="s">
        <v>379</v>
      </c>
      <c r="C32" s="12" t="s">
        <v>613</v>
      </c>
      <c r="D32" s="12" t="s">
        <v>614</v>
      </c>
      <c r="E32" s="12" t="s">
        <v>551</v>
      </c>
      <c r="F32" s="12" t="n">
        <v>119</v>
      </c>
      <c r="G32" s="28" t="n">
        <v>17.75</v>
      </c>
      <c r="H32" s="12" t="s">
        <v>552</v>
      </c>
      <c r="I32" s="28" t="n">
        <f aca="false">ROUND(G32/1,2)</f>
        <v>17.75</v>
      </c>
      <c r="J32" s="12" t="n">
        <v>111</v>
      </c>
      <c r="K32" s="12" t="s">
        <v>494</v>
      </c>
      <c r="L32" s="28" t="n">
        <f aca="false">G32</f>
        <v>17.75</v>
      </c>
      <c r="M32" s="13" t="n">
        <v>1.91</v>
      </c>
      <c r="N32" s="12" t="n">
        <v>111</v>
      </c>
      <c r="O32" s="12" t="s">
        <v>494</v>
      </c>
      <c r="P32" s="12" t="s">
        <v>458</v>
      </c>
      <c r="Q32" s="13" t="n">
        <v>1.91418888160899</v>
      </c>
      <c r="R32" s="13" t="n">
        <f aca="false">IF(N32="","",SUMIFS($I$5:$I$210,$N$5:$N$210,N32))</f>
        <v>145.99</v>
      </c>
      <c r="S32" s="26" t="s">
        <v>553</v>
      </c>
      <c r="T32" s="5"/>
    </row>
    <row r="33" customFormat="false" ht="15" hidden="false" customHeight="false" outlineLevel="0" collapsed="false">
      <c r="A33" s="12" t="s">
        <v>615</v>
      </c>
      <c r="B33" s="12" t="s">
        <v>379</v>
      </c>
      <c r="C33" s="12" t="s">
        <v>613</v>
      </c>
      <c r="D33" s="12" t="s">
        <v>614</v>
      </c>
      <c r="E33" s="12" t="s">
        <v>561</v>
      </c>
      <c r="F33" s="12" t="n">
        <v>129</v>
      </c>
      <c r="G33" s="28" t="n">
        <v>18.98</v>
      </c>
      <c r="H33" s="12" t="s">
        <v>552</v>
      </c>
      <c r="I33" s="28" t="n">
        <f aca="false">ROUND(G33/1,2)</f>
        <v>18.98</v>
      </c>
      <c r="J33" s="12" t="n">
        <v>102</v>
      </c>
      <c r="K33" s="12" t="s">
        <v>470</v>
      </c>
      <c r="L33" s="28" t="n">
        <f aca="false">G33</f>
        <v>18.98</v>
      </c>
      <c r="M33" s="13" t="n">
        <v>1.4</v>
      </c>
      <c r="N33" s="12" t="n">
        <v>102</v>
      </c>
      <c r="O33" s="12" t="s">
        <v>470</v>
      </c>
      <c r="P33" s="12" t="s">
        <v>458</v>
      </c>
      <c r="Q33" s="13" t="n">
        <v>1.40031824856831</v>
      </c>
      <c r="R33" s="13" t="n">
        <f aca="false">IF(N33="","",SUMIFS($I$5:$I$210,$N$5:$N$210,N33))</f>
        <v>146.55</v>
      </c>
      <c r="S33" s="26" t="s">
        <v>553</v>
      </c>
      <c r="T33" s="5"/>
    </row>
    <row r="34" customFormat="false" ht="15" hidden="false" customHeight="false" outlineLevel="0" collapsed="false">
      <c r="A34" s="12" t="s">
        <v>616</v>
      </c>
      <c r="B34" s="12" t="s">
        <v>379</v>
      </c>
      <c r="C34" s="12" t="s">
        <v>613</v>
      </c>
      <c r="D34" s="12" t="s">
        <v>614</v>
      </c>
      <c r="E34" s="12" t="s">
        <v>608</v>
      </c>
      <c r="F34" s="12" t="n">
        <v>127</v>
      </c>
      <c r="G34" s="28" t="n">
        <v>18.64</v>
      </c>
      <c r="H34" s="12" t="s">
        <v>552</v>
      </c>
      <c r="I34" s="28" t="n">
        <f aca="false">ROUND(G34/1,2)</f>
        <v>18.64</v>
      </c>
      <c r="J34" s="12" t="n">
        <v>74</v>
      </c>
      <c r="K34" s="12" t="s">
        <v>468</v>
      </c>
      <c r="L34" s="28" t="n">
        <f aca="false">G34</f>
        <v>18.64</v>
      </c>
      <c r="M34" s="13" t="n">
        <v>1.26</v>
      </c>
      <c r="N34" s="12" t="n">
        <v>74</v>
      </c>
      <c r="O34" s="12" t="s">
        <v>468</v>
      </c>
      <c r="P34" s="12" t="s">
        <v>458</v>
      </c>
      <c r="Q34" s="13" t="n">
        <v>1.2569748205265</v>
      </c>
      <c r="R34" s="13" t="n">
        <f aca="false">IF(N34="","",SUMIFS($I$5:$I$210,$N$5:$N$210,N34))</f>
        <v>146.14</v>
      </c>
      <c r="S34" s="26" t="s">
        <v>553</v>
      </c>
      <c r="T34" s="5"/>
    </row>
    <row r="35" customFormat="false" ht="15" hidden="false" customHeight="false" outlineLevel="0" collapsed="false">
      <c r="A35" s="12" t="s">
        <v>617</v>
      </c>
      <c r="B35" s="12" t="s">
        <v>379</v>
      </c>
      <c r="C35" s="12" t="s">
        <v>613</v>
      </c>
      <c r="D35" s="12" t="s">
        <v>614</v>
      </c>
      <c r="E35" s="12" t="s">
        <v>573</v>
      </c>
      <c r="F35" s="12" t="n">
        <v>154</v>
      </c>
      <c r="G35" s="28" t="n">
        <v>22.51</v>
      </c>
      <c r="H35" s="12" t="s">
        <v>552</v>
      </c>
      <c r="I35" s="28" t="n">
        <f aca="false">ROUND(G35/1,2)</f>
        <v>22.51</v>
      </c>
      <c r="J35" s="12" t="n">
        <v>94</v>
      </c>
      <c r="K35" s="12" t="s">
        <v>469</v>
      </c>
      <c r="L35" s="28" t="n">
        <f aca="false">G35</f>
        <v>22.51</v>
      </c>
      <c r="M35" s="13" t="n">
        <v>1.31</v>
      </c>
      <c r="N35" s="12" t="n">
        <v>94</v>
      </c>
      <c r="O35" s="12" t="s">
        <v>469</v>
      </c>
      <c r="P35" s="12" t="s">
        <v>458</v>
      </c>
      <c r="Q35" s="13" t="n">
        <v>1.31080442101821</v>
      </c>
      <c r="R35" s="13" t="n">
        <f aca="false">IF(N35="","",SUMIFS($I$5:$I$210,$N$5:$N$210,N35))</f>
        <v>150.28</v>
      </c>
      <c r="S35" s="26" t="s">
        <v>553</v>
      </c>
      <c r="T35" s="5"/>
    </row>
    <row r="36" customFormat="false" ht="15" hidden="false" customHeight="false" outlineLevel="0" collapsed="false">
      <c r="A36" s="12" t="s">
        <v>618</v>
      </c>
      <c r="B36" s="12" t="s">
        <v>18</v>
      </c>
      <c r="C36" s="12" t="s">
        <v>116</v>
      </c>
      <c r="D36" s="12" t="s">
        <v>619</v>
      </c>
      <c r="E36" s="12" t="s">
        <v>558</v>
      </c>
      <c r="F36" s="12" t="n">
        <v>218</v>
      </c>
      <c r="G36" s="28" t="n">
        <v>229.48</v>
      </c>
      <c r="H36" s="12" t="s">
        <v>620</v>
      </c>
      <c r="I36" s="28" t="n">
        <f aca="false">ROUND(G36/2,2)</f>
        <v>114.74</v>
      </c>
      <c r="J36" s="12" t="n">
        <v>390</v>
      </c>
      <c r="K36" s="12" t="s">
        <v>527</v>
      </c>
      <c r="L36" s="28" t="n">
        <f aca="false">G36</f>
        <v>229.48</v>
      </c>
      <c r="M36" s="13" t="n">
        <v>11.26</v>
      </c>
      <c r="N36" s="12" t="n">
        <v>390</v>
      </c>
      <c r="O36" s="12" t="s">
        <v>527</v>
      </c>
      <c r="P36" s="12" t="s">
        <v>458</v>
      </c>
      <c r="Q36" s="13" t="n">
        <v>11.2602928708534</v>
      </c>
      <c r="R36" s="13" t="n">
        <f aca="false">IF(N36="","",SUMIFS($I$5:$I$210,$N$5:$N$210,N36))</f>
        <v>213.44</v>
      </c>
      <c r="S36" s="26" t="s">
        <v>553</v>
      </c>
      <c r="T36" s="5" t="s">
        <v>621</v>
      </c>
    </row>
    <row r="37" customFormat="false" ht="23.85" hidden="false" customHeight="false" outlineLevel="0" collapsed="false">
      <c r="A37" s="12" t="s">
        <v>618</v>
      </c>
      <c r="B37" s="12" t="s">
        <v>18</v>
      </c>
      <c r="C37" s="12" t="s">
        <v>116</v>
      </c>
      <c r="D37" s="12" t="s">
        <v>619</v>
      </c>
      <c r="E37" s="12" t="s">
        <v>558</v>
      </c>
      <c r="F37" s="12" t="n">
        <v>218</v>
      </c>
      <c r="G37" s="28" t="n">
        <v>229.48</v>
      </c>
      <c r="H37" s="12" t="s">
        <v>622</v>
      </c>
      <c r="I37" s="28" t="n">
        <f aca="false">ROUND(G37/2,2)</f>
        <v>114.74</v>
      </c>
      <c r="J37" s="12"/>
      <c r="K37" s="12"/>
      <c r="L37" s="28"/>
      <c r="M37" s="13"/>
      <c r="N37" s="12" t="n">
        <v>276</v>
      </c>
      <c r="O37" s="12" t="s">
        <v>134</v>
      </c>
      <c r="P37" s="12" t="s">
        <v>472</v>
      </c>
      <c r="Q37" s="13" t="n">
        <v>64.0528191084757</v>
      </c>
      <c r="R37" s="13" t="n">
        <f aca="false">IF(N37="","",SUMIFS($I$5:$I$210,$N$5:$N$210,N37))</f>
        <v>114.74</v>
      </c>
      <c r="S37" s="29" t="s">
        <v>623</v>
      </c>
      <c r="T37" s="5" t="s">
        <v>624</v>
      </c>
    </row>
    <row r="38" customFormat="false" ht="15" hidden="false" customHeight="false" outlineLevel="0" collapsed="false">
      <c r="A38" s="12" t="s">
        <v>625</v>
      </c>
      <c r="B38" s="12" t="s">
        <v>18</v>
      </c>
      <c r="C38" s="12" t="s">
        <v>116</v>
      </c>
      <c r="D38" s="12" t="s">
        <v>626</v>
      </c>
      <c r="E38" s="12" t="s">
        <v>551</v>
      </c>
      <c r="F38" s="12" t="n">
        <v>121</v>
      </c>
      <c r="G38" s="28" t="n">
        <v>139.45</v>
      </c>
      <c r="H38" s="12" t="s">
        <v>552</v>
      </c>
      <c r="I38" s="28" t="n">
        <f aca="false">ROUND(G38/1,2)</f>
        <v>139.45</v>
      </c>
      <c r="J38" s="12" t="n">
        <v>426</v>
      </c>
      <c r="K38" s="12" t="s">
        <v>474</v>
      </c>
      <c r="L38" s="28" t="n">
        <f aca="false">G38</f>
        <v>139.45</v>
      </c>
      <c r="M38" s="13" t="n">
        <v>4.61</v>
      </c>
      <c r="N38" s="12" t="n">
        <v>426</v>
      </c>
      <c r="O38" s="12" t="s">
        <v>474</v>
      </c>
      <c r="P38" s="12" t="s">
        <v>458</v>
      </c>
      <c r="Q38" s="13" t="n">
        <v>4.61011830677098</v>
      </c>
      <c r="R38" s="13" t="n">
        <f aca="false">IF(N38="","",SUMIFS($I$5:$I$210,$N$5:$N$210,N38))</f>
        <v>214.08</v>
      </c>
      <c r="S38" s="26" t="s">
        <v>553</v>
      </c>
      <c r="T38" s="5"/>
    </row>
    <row r="39" customFormat="false" ht="15" hidden="false" customHeight="false" outlineLevel="0" collapsed="false">
      <c r="A39" s="12" t="s">
        <v>627</v>
      </c>
      <c r="B39" s="12" t="s">
        <v>18</v>
      </c>
      <c r="C39" s="12" t="s">
        <v>116</v>
      </c>
      <c r="D39" s="12" t="s">
        <v>626</v>
      </c>
      <c r="E39" s="12" t="s">
        <v>561</v>
      </c>
      <c r="F39" s="12" t="n">
        <v>124</v>
      </c>
      <c r="G39" s="28" t="n">
        <v>151.25</v>
      </c>
      <c r="H39" s="12" t="s">
        <v>552</v>
      </c>
      <c r="I39" s="28" t="n">
        <f aca="false">ROUND(G39/1,2)</f>
        <v>151.25</v>
      </c>
      <c r="J39" s="12" t="n">
        <v>394</v>
      </c>
      <c r="K39" s="12" t="s">
        <v>523</v>
      </c>
      <c r="L39" s="28" t="n">
        <f aca="false">G39</f>
        <v>151.25</v>
      </c>
      <c r="M39" s="13" t="n">
        <v>12.73</v>
      </c>
      <c r="N39" s="12" t="n">
        <v>439</v>
      </c>
      <c r="O39" s="12" t="s">
        <v>477</v>
      </c>
      <c r="P39" s="12" t="s">
        <v>478</v>
      </c>
      <c r="Q39" s="13" t="n">
        <v>6.60855070268968</v>
      </c>
      <c r="R39" s="13" t="n">
        <f aca="false">IF(N39="","",SUMIFS($I$5:$I$210,$N$5:$N$210,N39))</f>
        <v>214.67</v>
      </c>
      <c r="S39" s="30" t="s">
        <v>628</v>
      </c>
      <c r="T39" s="5" t="s">
        <v>629</v>
      </c>
    </row>
    <row r="40" customFormat="false" ht="15" hidden="false" customHeight="false" outlineLevel="0" collapsed="false">
      <c r="A40" s="12" t="s">
        <v>630</v>
      </c>
      <c r="B40" s="12" t="s">
        <v>18</v>
      </c>
      <c r="C40" s="12" t="s">
        <v>116</v>
      </c>
      <c r="D40" s="12" t="s">
        <v>631</v>
      </c>
      <c r="E40" s="12" t="s">
        <v>558</v>
      </c>
      <c r="F40" s="12" t="n">
        <v>177</v>
      </c>
      <c r="G40" s="28" t="n">
        <v>429.67</v>
      </c>
      <c r="H40" s="12" t="s">
        <v>632</v>
      </c>
      <c r="I40" s="28" t="n">
        <f aca="false">ROUND(G40/3,2)</f>
        <v>143.22</v>
      </c>
      <c r="J40" s="12" t="n">
        <v>420</v>
      </c>
      <c r="K40" s="12" t="s">
        <v>482</v>
      </c>
      <c r="L40" s="28" t="n">
        <f aca="false">G40</f>
        <v>429.67</v>
      </c>
      <c r="M40" s="13" t="n">
        <v>6.35</v>
      </c>
      <c r="N40" s="12" t="n">
        <v>420</v>
      </c>
      <c r="O40" s="12" t="s">
        <v>482</v>
      </c>
      <c r="P40" s="12" t="s">
        <v>458</v>
      </c>
      <c r="Q40" s="13" t="n">
        <v>6.34564600721988</v>
      </c>
      <c r="R40" s="13" t="n">
        <f aca="false">IF(N40="","",SUMIFS($I$5:$I$210,$N$5:$N$210,N40))</f>
        <v>198.94</v>
      </c>
      <c r="S40" s="26" t="s">
        <v>553</v>
      </c>
      <c r="T40" s="5"/>
    </row>
    <row r="41" customFormat="false" ht="23.85" hidden="false" customHeight="false" outlineLevel="0" collapsed="false">
      <c r="A41" s="12" t="s">
        <v>630</v>
      </c>
      <c r="B41" s="12" t="s">
        <v>18</v>
      </c>
      <c r="C41" s="12" t="s">
        <v>116</v>
      </c>
      <c r="D41" s="12" t="s">
        <v>631</v>
      </c>
      <c r="E41" s="12" t="s">
        <v>558</v>
      </c>
      <c r="F41" s="12" t="n">
        <v>177</v>
      </c>
      <c r="G41" s="28" t="n">
        <v>429.67</v>
      </c>
      <c r="H41" s="12" t="s">
        <v>633</v>
      </c>
      <c r="I41" s="28" t="n">
        <f aca="false">ROUND(G41/3,2)</f>
        <v>143.22</v>
      </c>
      <c r="J41" s="12"/>
      <c r="K41" s="12"/>
      <c r="L41" s="28"/>
      <c r="M41" s="13"/>
      <c r="N41" s="12" t="n">
        <v>380</v>
      </c>
      <c r="O41" s="12" t="s">
        <v>111</v>
      </c>
      <c r="P41" s="12" t="s">
        <v>472</v>
      </c>
      <c r="Q41" s="13" t="n">
        <v>78.8911062360376</v>
      </c>
      <c r="R41" s="13" t="n">
        <f aca="false">IF(N41="","",SUMIFS($I$5:$I$210,$N$5:$N$210,N41))</f>
        <v>213.04</v>
      </c>
      <c r="S41" s="29" t="s">
        <v>623</v>
      </c>
      <c r="T41" s="5" t="s">
        <v>624</v>
      </c>
    </row>
    <row r="42" customFormat="false" ht="23.85" hidden="false" customHeight="false" outlineLevel="0" collapsed="false">
      <c r="A42" s="12" t="s">
        <v>630</v>
      </c>
      <c r="B42" s="12" t="s">
        <v>18</v>
      </c>
      <c r="C42" s="12" t="s">
        <v>116</v>
      </c>
      <c r="D42" s="12" t="s">
        <v>631</v>
      </c>
      <c r="E42" s="12" t="s">
        <v>558</v>
      </c>
      <c r="F42" s="12" t="n">
        <v>177</v>
      </c>
      <c r="G42" s="28" t="n">
        <v>429.67</v>
      </c>
      <c r="H42" s="12" t="s">
        <v>634</v>
      </c>
      <c r="I42" s="28" t="n">
        <f aca="false">ROUND(G42/3,2)</f>
        <v>143.22</v>
      </c>
      <c r="J42" s="12"/>
      <c r="K42" s="12"/>
      <c r="L42" s="28"/>
      <c r="M42" s="13"/>
      <c r="N42" s="12" t="n">
        <v>365</v>
      </c>
      <c r="O42" s="12" t="s">
        <v>118</v>
      </c>
      <c r="P42" s="12" t="s">
        <v>472</v>
      </c>
      <c r="Q42" s="13" t="n">
        <v>35.2636606261655</v>
      </c>
      <c r="R42" s="13" t="n">
        <f aca="false">IF(N42="","",SUMIFS($I$5:$I$210,$N$5:$N$210,N42))</f>
        <v>143.22</v>
      </c>
      <c r="S42" s="29" t="s">
        <v>623</v>
      </c>
      <c r="T42" s="5" t="s">
        <v>624</v>
      </c>
    </row>
    <row r="43" customFormat="false" ht="15" hidden="false" customHeight="false" outlineLevel="0" collapsed="false">
      <c r="A43" s="12" t="s">
        <v>635</v>
      </c>
      <c r="B43" s="12" t="s">
        <v>18</v>
      </c>
      <c r="C43" s="12" t="s">
        <v>116</v>
      </c>
      <c r="D43" s="12" t="s">
        <v>636</v>
      </c>
      <c r="E43" s="12" t="s">
        <v>558</v>
      </c>
      <c r="F43" s="12" t="n">
        <v>94</v>
      </c>
      <c r="G43" s="28" t="n">
        <v>260.2</v>
      </c>
      <c r="H43" s="12" t="s">
        <v>620</v>
      </c>
      <c r="I43" s="28" t="n">
        <f aca="false">ROUND(G43/2,2)</f>
        <v>130.1</v>
      </c>
      <c r="J43" s="12" t="n">
        <v>158</v>
      </c>
      <c r="K43" s="12" t="s">
        <v>480</v>
      </c>
      <c r="L43" s="28" t="n">
        <f aca="false">G43</f>
        <v>260.2</v>
      </c>
      <c r="M43" s="13" t="n">
        <v>0.07</v>
      </c>
      <c r="N43" s="12" t="n">
        <v>158</v>
      </c>
      <c r="O43" s="12" t="s">
        <v>480</v>
      </c>
      <c r="P43" s="12" t="s">
        <v>458</v>
      </c>
      <c r="Q43" s="13" t="n">
        <v>0.0665881098718412</v>
      </c>
      <c r="R43" s="13" t="n">
        <f aca="false">IF(N43="","",SUMIFS($I$5:$I$210,$N$5:$N$210,N43))</f>
        <v>209.81</v>
      </c>
      <c r="S43" s="26" t="s">
        <v>553</v>
      </c>
      <c r="T43" s="5"/>
    </row>
    <row r="44" customFormat="false" ht="23.85" hidden="false" customHeight="false" outlineLevel="0" collapsed="false">
      <c r="A44" s="12" t="s">
        <v>635</v>
      </c>
      <c r="B44" s="12" t="s">
        <v>18</v>
      </c>
      <c r="C44" s="12" t="s">
        <v>116</v>
      </c>
      <c r="D44" s="12" t="s">
        <v>636</v>
      </c>
      <c r="E44" s="12" t="s">
        <v>558</v>
      </c>
      <c r="F44" s="12" t="n">
        <v>94</v>
      </c>
      <c r="G44" s="28" t="n">
        <v>260.2</v>
      </c>
      <c r="H44" s="12" t="s">
        <v>622</v>
      </c>
      <c r="I44" s="28" t="n">
        <f aca="false">ROUND(G44/2,2)</f>
        <v>130.1</v>
      </c>
      <c r="J44" s="12"/>
      <c r="K44" s="12"/>
      <c r="L44" s="28"/>
      <c r="M44" s="13"/>
      <c r="N44" s="12" t="n">
        <v>153</v>
      </c>
      <c r="O44" s="12" t="s">
        <v>129</v>
      </c>
      <c r="P44" s="12" t="s">
        <v>472</v>
      </c>
      <c r="Q44" s="13" t="n">
        <v>20.8222706801348</v>
      </c>
      <c r="R44" s="13" t="n">
        <f aca="false">IF(N44="","",SUMIFS($I$5:$I$210,$N$5:$N$210,N44))</f>
        <v>205.52</v>
      </c>
      <c r="S44" s="29" t="s">
        <v>623</v>
      </c>
      <c r="T44" s="5" t="s">
        <v>624</v>
      </c>
    </row>
    <row r="45" customFormat="false" ht="15" hidden="false" customHeight="false" outlineLevel="0" collapsed="false">
      <c r="A45" s="12" t="s">
        <v>637</v>
      </c>
      <c r="B45" s="12" t="s">
        <v>18</v>
      </c>
      <c r="C45" s="12" t="s">
        <v>116</v>
      </c>
      <c r="D45" s="12" t="s">
        <v>638</v>
      </c>
      <c r="E45" s="12" t="s">
        <v>558</v>
      </c>
      <c r="F45" s="12" t="n">
        <v>137</v>
      </c>
      <c r="G45" s="28" t="n">
        <v>182.06</v>
      </c>
      <c r="H45" s="12" t="s">
        <v>552</v>
      </c>
      <c r="I45" s="28" t="n">
        <f aca="false">ROUND(G45/1,2)</f>
        <v>182.06</v>
      </c>
      <c r="J45" s="12" t="n">
        <v>167</v>
      </c>
      <c r="K45" s="12" t="s">
        <v>475</v>
      </c>
      <c r="L45" s="28" t="n">
        <f aca="false">G45</f>
        <v>182.06</v>
      </c>
      <c r="M45" s="13" t="n">
        <v>0.03</v>
      </c>
      <c r="N45" s="12" t="n">
        <v>167</v>
      </c>
      <c r="O45" s="12" t="s">
        <v>475</v>
      </c>
      <c r="P45" s="12" t="s">
        <v>458</v>
      </c>
      <c r="Q45" s="13" t="n">
        <v>0.0348646016243757</v>
      </c>
      <c r="R45" s="13" t="n">
        <f aca="false">IF(N45="","",SUMIFS($I$5:$I$210,$N$5:$N$210,N45))</f>
        <v>213.09</v>
      </c>
      <c r="S45" s="26" t="s">
        <v>553</v>
      </c>
      <c r="T45" s="5"/>
    </row>
    <row r="46" customFormat="false" ht="15" hidden="false" customHeight="false" outlineLevel="0" collapsed="false">
      <c r="A46" s="12" t="s">
        <v>639</v>
      </c>
      <c r="B46" s="12" t="s">
        <v>18</v>
      </c>
      <c r="C46" s="12" t="s">
        <v>82</v>
      </c>
      <c r="D46" s="12" t="s">
        <v>640</v>
      </c>
      <c r="E46" s="12" t="s">
        <v>551</v>
      </c>
      <c r="F46" s="12" t="n">
        <v>120</v>
      </c>
      <c r="G46" s="28" t="n">
        <v>154.84</v>
      </c>
      <c r="H46" s="12" t="s">
        <v>552</v>
      </c>
      <c r="I46" s="28" t="n">
        <f aca="false">ROUND(G46/1,2)</f>
        <v>154.84</v>
      </c>
      <c r="J46" s="12" t="n">
        <v>466</v>
      </c>
      <c r="K46" s="12" t="s">
        <v>479</v>
      </c>
      <c r="L46" s="28" t="n">
        <f aca="false">G46</f>
        <v>154.84</v>
      </c>
      <c r="M46" s="13"/>
      <c r="N46" s="12" t="n">
        <v>466</v>
      </c>
      <c r="O46" s="12" t="s">
        <v>479</v>
      </c>
      <c r="P46" s="12" t="s">
        <v>458</v>
      </c>
      <c r="Q46" s="13" t="n">
        <v>1.39241282201449</v>
      </c>
      <c r="R46" s="13" t="n">
        <f aca="false">IF(N46="","",SUMIFS($I$5:$I$210,$N$5:$N$210,N46))</f>
        <v>219.12</v>
      </c>
      <c r="S46" s="26" t="s">
        <v>553</v>
      </c>
      <c r="T46" s="5"/>
    </row>
    <row r="47" customFormat="false" ht="15" hidden="false" customHeight="false" outlineLevel="0" collapsed="false">
      <c r="A47" s="12" t="s">
        <v>641</v>
      </c>
      <c r="B47" s="12" t="s">
        <v>18</v>
      </c>
      <c r="C47" s="12" t="s">
        <v>82</v>
      </c>
      <c r="D47" s="12" t="s">
        <v>640</v>
      </c>
      <c r="E47" s="12" t="s">
        <v>561</v>
      </c>
      <c r="F47" s="12" t="n">
        <v>129</v>
      </c>
      <c r="G47" s="28" t="n">
        <v>156.27</v>
      </c>
      <c r="H47" s="12" t="s">
        <v>552</v>
      </c>
      <c r="I47" s="28" t="n">
        <f aca="false">ROUND(G47/1,2)</f>
        <v>156.27</v>
      </c>
      <c r="J47" s="12" t="n">
        <v>166</v>
      </c>
      <c r="K47" s="12" t="s">
        <v>473</v>
      </c>
      <c r="L47" s="28" t="n">
        <f aca="false">G47</f>
        <v>156.27</v>
      </c>
      <c r="M47" s="13" t="n">
        <v>0.08</v>
      </c>
      <c r="N47" s="12" t="n">
        <v>166</v>
      </c>
      <c r="O47" s="12" t="s">
        <v>473</v>
      </c>
      <c r="P47" s="12" t="s">
        <v>458</v>
      </c>
      <c r="Q47" s="13" t="n">
        <v>0.081735254902565</v>
      </c>
      <c r="R47" s="13" t="n">
        <f aca="false">IF(N47="","",SUMIFS($I$5:$I$210,$N$5:$N$210,N47))</f>
        <v>191.99</v>
      </c>
      <c r="S47" s="26" t="s">
        <v>553</v>
      </c>
      <c r="T47" s="5"/>
    </row>
    <row r="48" customFormat="false" ht="35.05" hidden="false" customHeight="false" outlineLevel="0" collapsed="false">
      <c r="A48" s="12" t="s">
        <v>642</v>
      </c>
      <c r="B48" s="12" t="s">
        <v>18</v>
      </c>
      <c r="C48" s="12" t="s">
        <v>82</v>
      </c>
      <c r="D48" s="12" t="s">
        <v>640</v>
      </c>
      <c r="E48" s="12" t="s">
        <v>608</v>
      </c>
      <c r="F48" s="12" t="n">
        <v>123</v>
      </c>
      <c r="G48" s="28" t="n">
        <v>155.29</v>
      </c>
      <c r="H48" s="12" t="s">
        <v>552</v>
      </c>
      <c r="I48" s="28" t="n">
        <f aca="false">ROUND(G48/1,2)</f>
        <v>155.29</v>
      </c>
      <c r="J48" s="12" t="n">
        <v>160</v>
      </c>
      <c r="K48" s="12" t="s">
        <v>643</v>
      </c>
      <c r="L48" s="28" t="n">
        <f aca="false">G48</f>
        <v>155.29</v>
      </c>
      <c r="M48" s="13" t="n">
        <v>0.01</v>
      </c>
      <c r="N48" s="12" t="n">
        <v>99</v>
      </c>
      <c r="O48" s="12" t="s">
        <v>93</v>
      </c>
      <c r="P48" s="12" t="s">
        <v>472</v>
      </c>
      <c r="Q48" s="13" t="n">
        <v>40.1180079545598</v>
      </c>
      <c r="R48" s="13" t="n">
        <f aca="false">IF(N48="","",SUMIFS($I$5:$I$210,$N$5:$N$210,N48))</f>
        <v>155.29</v>
      </c>
      <c r="S48" s="31" t="s">
        <v>644</v>
      </c>
      <c r="T48" s="5" t="s">
        <v>645</v>
      </c>
    </row>
    <row r="49" customFormat="false" ht="35.05" hidden="false" customHeight="false" outlineLevel="0" collapsed="false">
      <c r="A49" s="12" t="s">
        <v>646</v>
      </c>
      <c r="B49" s="12" t="s">
        <v>18</v>
      </c>
      <c r="C49" s="12" t="s">
        <v>82</v>
      </c>
      <c r="D49" s="12" t="s">
        <v>640</v>
      </c>
      <c r="E49" s="12" t="s">
        <v>573</v>
      </c>
      <c r="F49" s="12" t="n">
        <v>121</v>
      </c>
      <c r="G49" s="28" t="n">
        <v>155.97</v>
      </c>
      <c r="H49" s="12" t="s">
        <v>552</v>
      </c>
      <c r="I49" s="28" t="n">
        <f aca="false">ROUND(G49/1,2)</f>
        <v>155.97</v>
      </c>
      <c r="J49" s="12" t="n">
        <v>160</v>
      </c>
      <c r="K49" s="12" t="s">
        <v>643</v>
      </c>
      <c r="L49" s="28" t="n">
        <f aca="false">G49</f>
        <v>155.97</v>
      </c>
      <c r="M49" s="13" t="n">
        <v>0.61</v>
      </c>
      <c r="N49" s="12" t="n">
        <v>44</v>
      </c>
      <c r="O49" s="12" t="s">
        <v>84</v>
      </c>
      <c r="P49" s="12" t="s">
        <v>472</v>
      </c>
      <c r="Q49" s="13" t="n">
        <v>48.0319162846473</v>
      </c>
      <c r="R49" s="13" t="n">
        <f aca="false">IF(N49="","",SUMIFS($I$5:$I$210,$N$5:$N$210,N49))</f>
        <v>155.97</v>
      </c>
      <c r="S49" s="31" t="s">
        <v>644</v>
      </c>
      <c r="T49" s="5" t="s">
        <v>645</v>
      </c>
    </row>
    <row r="50" customFormat="false" ht="23.85" hidden="false" customHeight="false" outlineLevel="0" collapsed="false">
      <c r="A50" s="12" t="s">
        <v>647</v>
      </c>
      <c r="B50" s="12" t="s">
        <v>18</v>
      </c>
      <c r="C50" s="12" t="s">
        <v>82</v>
      </c>
      <c r="D50" s="12" t="s">
        <v>640</v>
      </c>
      <c r="E50" s="12" t="s">
        <v>611</v>
      </c>
      <c r="F50" s="12" t="n">
        <v>122</v>
      </c>
      <c r="G50" s="28" t="n">
        <v>155.13</v>
      </c>
      <c r="H50" s="12" t="s">
        <v>552</v>
      </c>
      <c r="I50" s="28" t="n">
        <f aca="false">ROUND(G50/1,2)</f>
        <v>155.13</v>
      </c>
      <c r="J50" s="12"/>
      <c r="K50" s="12"/>
      <c r="L50" s="28"/>
      <c r="M50" s="13"/>
      <c r="N50" s="12" t="n">
        <v>65</v>
      </c>
      <c r="O50" s="12" t="s">
        <v>99</v>
      </c>
      <c r="P50" s="12" t="s">
        <v>472</v>
      </c>
      <c r="Q50" s="13" t="n">
        <v>44.2703586634339</v>
      </c>
      <c r="R50" s="13" t="n">
        <f aca="false">IF(N50="","",SUMIFS($I$5:$I$210,$N$5:$N$210,N50))</f>
        <v>218.55</v>
      </c>
      <c r="S50" s="27" t="s">
        <v>648</v>
      </c>
      <c r="T50" s="5" t="s">
        <v>624</v>
      </c>
    </row>
    <row r="51" customFormat="false" ht="23.85" hidden="false" customHeight="false" outlineLevel="0" collapsed="false">
      <c r="A51" s="12" t="s">
        <v>649</v>
      </c>
      <c r="B51" s="12" t="s">
        <v>18</v>
      </c>
      <c r="C51" s="12" t="s">
        <v>82</v>
      </c>
      <c r="D51" s="12" t="s">
        <v>640</v>
      </c>
      <c r="E51" s="12" t="s">
        <v>587</v>
      </c>
      <c r="F51" s="12" t="n">
        <v>122</v>
      </c>
      <c r="G51" s="28" t="n">
        <v>155.13</v>
      </c>
      <c r="H51" s="12" t="s">
        <v>552</v>
      </c>
      <c r="I51" s="28" t="n">
        <f aca="false">ROUND(G51/1,2)</f>
        <v>155.13</v>
      </c>
      <c r="J51" s="12"/>
      <c r="K51" s="12"/>
      <c r="L51" s="28"/>
      <c r="M51" s="13"/>
      <c r="N51" s="12" t="n">
        <v>283</v>
      </c>
      <c r="O51" s="12" t="s">
        <v>105</v>
      </c>
      <c r="P51" s="12" t="s">
        <v>472</v>
      </c>
      <c r="Q51" s="13" t="n">
        <v>59.2646305618007</v>
      </c>
      <c r="R51" s="13" t="n">
        <f aca="false">IF(N51="","",SUMIFS($I$5:$I$210,$N$5:$N$210,N51))</f>
        <v>155.13</v>
      </c>
      <c r="S51" s="27" t="s">
        <v>648</v>
      </c>
      <c r="T51" s="5" t="s">
        <v>624</v>
      </c>
    </row>
    <row r="52" customFormat="false" ht="15" hidden="false" customHeight="false" outlineLevel="0" collapsed="false">
      <c r="A52" s="12" t="s">
        <v>650</v>
      </c>
      <c r="B52" s="12" t="s">
        <v>18</v>
      </c>
      <c r="C52" s="12" t="s">
        <v>82</v>
      </c>
      <c r="D52" s="12" t="s">
        <v>640</v>
      </c>
      <c r="E52" s="12" t="s">
        <v>651</v>
      </c>
      <c r="F52" s="12" t="n">
        <v>121</v>
      </c>
      <c r="G52" s="28" t="n">
        <v>165.81</v>
      </c>
      <c r="H52" s="12" t="s">
        <v>552</v>
      </c>
      <c r="I52" s="28" t="n">
        <f aca="false">ROUND(G52/1,2)</f>
        <v>165.81</v>
      </c>
      <c r="J52" s="12" t="n">
        <v>437</v>
      </c>
      <c r="K52" s="12" t="s">
        <v>476</v>
      </c>
      <c r="L52" s="28" t="n">
        <f aca="false">G52</f>
        <v>165.81</v>
      </c>
      <c r="M52" s="13" t="n">
        <v>6.76</v>
      </c>
      <c r="N52" s="12" t="n">
        <v>437</v>
      </c>
      <c r="O52" s="12" t="s">
        <v>476</v>
      </c>
      <c r="P52" s="12" t="s">
        <v>458</v>
      </c>
      <c r="Q52" s="13" t="n">
        <v>6.75921004085417</v>
      </c>
      <c r="R52" s="13" t="n">
        <f aca="false">IF(N52="","",SUMIFS($I$5:$I$210,$N$5:$N$210,N52))</f>
        <v>165.81</v>
      </c>
      <c r="S52" s="26" t="s">
        <v>553</v>
      </c>
      <c r="T52" s="5"/>
    </row>
    <row r="53" customFormat="false" ht="15" hidden="false" customHeight="false" outlineLevel="0" collapsed="false">
      <c r="A53" s="12" t="s">
        <v>652</v>
      </c>
      <c r="B53" s="12" t="s">
        <v>18</v>
      </c>
      <c r="C53" s="12" t="s">
        <v>82</v>
      </c>
      <c r="D53" s="12" t="s">
        <v>653</v>
      </c>
      <c r="E53" s="12" t="s">
        <v>551</v>
      </c>
      <c r="F53" s="12" t="n">
        <v>123</v>
      </c>
      <c r="G53" s="28" t="n">
        <v>18</v>
      </c>
      <c r="H53" s="12" t="s">
        <v>552</v>
      </c>
      <c r="I53" s="28" t="n">
        <f aca="false">ROUND(G53/1,2)</f>
        <v>18</v>
      </c>
      <c r="J53" s="12" t="n">
        <v>164</v>
      </c>
      <c r="K53" s="12" t="s">
        <v>481</v>
      </c>
      <c r="L53" s="28" t="n">
        <f aca="false">G53</f>
        <v>18</v>
      </c>
      <c r="M53" s="13" t="n">
        <v>1.09</v>
      </c>
      <c r="N53" s="12" t="n">
        <v>164</v>
      </c>
      <c r="O53" s="12" t="s">
        <v>481</v>
      </c>
      <c r="P53" s="12" t="s">
        <v>458</v>
      </c>
      <c r="Q53" s="13" t="n">
        <v>1.0903703541112</v>
      </c>
      <c r="R53" s="13" t="n">
        <f aca="false">IF(N53="","",SUMIFS($I$5:$I$210,$N$5:$N$210,N53))</f>
        <v>196.76</v>
      </c>
      <c r="S53" s="26" t="s">
        <v>553</v>
      </c>
      <c r="T53" s="5"/>
    </row>
    <row r="54" customFormat="false" ht="15" hidden="false" customHeight="false" outlineLevel="0" collapsed="false">
      <c r="A54" s="12" t="s">
        <v>654</v>
      </c>
      <c r="B54" s="12" t="s">
        <v>18</v>
      </c>
      <c r="C54" s="12" t="s">
        <v>82</v>
      </c>
      <c r="D54" s="12" t="s">
        <v>653</v>
      </c>
      <c r="E54" s="12" t="s">
        <v>561</v>
      </c>
      <c r="F54" s="12" t="n">
        <v>122</v>
      </c>
      <c r="G54" s="28" t="n">
        <v>17.89</v>
      </c>
      <c r="H54" s="12" t="s">
        <v>552</v>
      </c>
      <c r="I54" s="28" t="n">
        <f aca="false">ROUND(G54/1,2)</f>
        <v>17.89</v>
      </c>
      <c r="J54" s="12" t="n">
        <v>164</v>
      </c>
      <c r="K54" s="12" t="s">
        <v>481</v>
      </c>
      <c r="L54" s="28" t="n">
        <f aca="false">G54</f>
        <v>17.89</v>
      </c>
      <c r="M54" s="13" t="n">
        <v>1.17</v>
      </c>
      <c r="N54" s="12" t="n">
        <v>164</v>
      </c>
      <c r="O54" s="12" t="s">
        <v>481</v>
      </c>
      <c r="P54" s="12" t="s">
        <v>458</v>
      </c>
      <c r="Q54" s="13" t="n">
        <v>1.16715354038046</v>
      </c>
      <c r="R54" s="13" t="n">
        <f aca="false">IF(N54="","",SUMIFS($I$5:$I$210,$N$5:$N$210,N54))</f>
        <v>196.76</v>
      </c>
      <c r="S54" s="26" t="s">
        <v>553</v>
      </c>
      <c r="T54" s="5"/>
    </row>
    <row r="55" customFormat="false" ht="15" hidden="false" customHeight="false" outlineLevel="0" collapsed="false">
      <c r="A55" s="12" t="s">
        <v>655</v>
      </c>
      <c r="B55" s="12" t="s">
        <v>18</v>
      </c>
      <c r="C55" s="12" t="s">
        <v>82</v>
      </c>
      <c r="D55" s="12" t="s">
        <v>653</v>
      </c>
      <c r="E55" s="12" t="s">
        <v>608</v>
      </c>
      <c r="F55" s="12" t="n">
        <v>120</v>
      </c>
      <c r="G55" s="28" t="n">
        <v>17.6</v>
      </c>
      <c r="H55" s="12" t="s">
        <v>552</v>
      </c>
      <c r="I55" s="28" t="n">
        <f aca="false">ROUND(G55/1,2)</f>
        <v>17.6</v>
      </c>
      <c r="J55" s="12" t="n">
        <v>164</v>
      </c>
      <c r="K55" s="12" t="s">
        <v>481</v>
      </c>
      <c r="L55" s="28" t="n">
        <f aca="false">G55</f>
        <v>17.6</v>
      </c>
      <c r="M55" s="13" t="n">
        <v>1.16</v>
      </c>
      <c r="N55" s="12" t="n">
        <v>164</v>
      </c>
      <c r="O55" s="12" t="s">
        <v>481</v>
      </c>
      <c r="P55" s="12" t="s">
        <v>458</v>
      </c>
      <c r="Q55" s="13" t="n">
        <v>1.15974480889589</v>
      </c>
      <c r="R55" s="13" t="n">
        <f aca="false">IF(N55="","",SUMIFS($I$5:$I$210,$N$5:$N$210,N55))</f>
        <v>196.76</v>
      </c>
      <c r="S55" s="26" t="s">
        <v>553</v>
      </c>
      <c r="T55" s="5"/>
    </row>
    <row r="56" customFormat="false" ht="15" hidden="false" customHeight="false" outlineLevel="0" collapsed="false">
      <c r="A56" s="12" t="s">
        <v>656</v>
      </c>
      <c r="B56" s="12" t="s">
        <v>18</v>
      </c>
      <c r="C56" s="12" t="s">
        <v>82</v>
      </c>
      <c r="D56" s="12" t="s">
        <v>657</v>
      </c>
      <c r="E56" s="12" t="s">
        <v>551</v>
      </c>
      <c r="F56" s="12" t="n">
        <v>167</v>
      </c>
      <c r="G56" s="28" t="n">
        <v>24.15</v>
      </c>
      <c r="H56" s="12" t="s">
        <v>552</v>
      </c>
      <c r="I56" s="28" t="n">
        <f aca="false">ROUND(G56/1,2)</f>
        <v>24.15</v>
      </c>
      <c r="J56" s="12" t="n">
        <v>164</v>
      </c>
      <c r="K56" s="12" t="s">
        <v>481</v>
      </c>
      <c r="L56" s="28" t="n">
        <f aca="false">G56</f>
        <v>24.15</v>
      </c>
      <c r="M56" s="13" t="n">
        <v>0.75</v>
      </c>
      <c r="N56" s="12" t="n">
        <v>164</v>
      </c>
      <c r="O56" s="12" t="s">
        <v>481</v>
      </c>
      <c r="P56" s="12" t="s">
        <v>458</v>
      </c>
      <c r="Q56" s="13" t="n">
        <v>0.747259052283748</v>
      </c>
      <c r="R56" s="13" t="n">
        <f aca="false">IF(N56="","",SUMIFS($I$5:$I$210,$N$5:$N$210,N56))</f>
        <v>196.76</v>
      </c>
      <c r="S56" s="26" t="s">
        <v>553</v>
      </c>
      <c r="T56" s="5"/>
    </row>
    <row r="57" customFormat="false" ht="15" hidden="false" customHeight="false" outlineLevel="0" collapsed="false">
      <c r="A57" s="12" t="s">
        <v>658</v>
      </c>
      <c r="B57" s="12" t="s">
        <v>18</v>
      </c>
      <c r="C57" s="12" t="s">
        <v>82</v>
      </c>
      <c r="D57" s="12" t="s">
        <v>657</v>
      </c>
      <c r="E57" s="12" t="s">
        <v>561</v>
      </c>
      <c r="F57" s="12" t="n">
        <v>121</v>
      </c>
      <c r="G57" s="28" t="n">
        <v>17.86</v>
      </c>
      <c r="H57" s="12" t="s">
        <v>552</v>
      </c>
      <c r="I57" s="28" t="n">
        <f aca="false">ROUND(G57/1,2)</f>
        <v>17.86</v>
      </c>
      <c r="J57" s="12" t="n">
        <v>166</v>
      </c>
      <c r="K57" s="12" t="s">
        <v>473</v>
      </c>
      <c r="L57" s="28" t="n">
        <f aca="false">G57</f>
        <v>17.86</v>
      </c>
      <c r="M57" s="13" t="n">
        <v>1.46</v>
      </c>
      <c r="N57" s="12" t="n">
        <v>166</v>
      </c>
      <c r="O57" s="12" t="s">
        <v>473</v>
      </c>
      <c r="P57" s="12" t="s">
        <v>458</v>
      </c>
      <c r="Q57" s="13" t="n">
        <v>1.46362659446251</v>
      </c>
      <c r="R57" s="13" t="n">
        <f aca="false">IF(N57="","",SUMIFS($I$5:$I$210,$N$5:$N$210,N57))</f>
        <v>191.99</v>
      </c>
      <c r="S57" s="26" t="s">
        <v>553</v>
      </c>
      <c r="T57" s="5"/>
    </row>
    <row r="58" customFormat="false" ht="15" hidden="false" customHeight="false" outlineLevel="0" collapsed="false">
      <c r="A58" s="12" t="s">
        <v>659</v>
      </c>
      <c r="B58" s="12" t="s">
        <v>18</v>
      </c>
      <c r="C58" s="12" t="s">
        <v>82</v>
      </c>
      <c r="D58" s="12" t="s">
        <v>657</v>
      </c>
      <c r="E58" s="12" t="s">
        <v>608</v>
      </c>
      <c r="F58" s="12" t="n">
        <v>121</v>
      </c>
      <c r="G58" s="28" t="n">
        <v>17.86</v>
      </c>
      <c r="H58" s="12" t="s">
        <v>552</v>
      </c>
      <c r="I58" s="28" t="n">
        <f aca="false">ROUND(G58/1,2)</f>
        <v>17.86</v>
      </c>
      <c r="J58" s="12" t="n">
        <v>166</v>
      </c>
      <c r="K58" s="12" t="s">
        <v>473</v>
      </c>
      <c r="L58" s="28" t="n">
        <f aca="false">G58</f>
        <v>17.86</v>
      </c>
      <c r="M58" s="13" t="n">
        <v>1.45</v>
      </c>
      <c r="N58" s="12" t="n">
        <v>166</v>
      </c>
      <c r="O58" s="12" t="s">
        <v>473</v>
      </c>
      <c r="P58" s="12" t="s">
        <v>458</v>
      </c>
      <c r="Q58" s="13" t="n">
        <v>1.45153050461326</v>
      </c>
      <c r="R58" s="13" t="n">
        <f aca="false">IF(N58="","",SUMIFS($I$5:$I$210,$N$5:$N$210,N58))</f>
        <v>191.99</v>
      </c>
      <c r="S58" s="26" t="s">
        <v>553</v>
      </c>
      <c r="T58" s="5"/>
    </row>
    <row r="59" customFormat="false" ht="15" hidden="false" customHeight="false" outlineLevel="0" collapsed="false">
      <c r="A59" s="12" t="s">
        <v>660</v>
      </c>
      <c r="B59" s="12" t="s">
        <v>18</v>
      </c>
      <c r="C59" s="12" t="s">
        <v>82</v>
      </c>
      <c r="D59" s="12" t="s">
        <v>657</v>
      </c>
      <c r="E59" s="12" t="s">
        <v>573</v>
      </c>
      <c r="F59" s="12" t="n">
        <v>176</v>
      </c>
      <c r="G59" s="28" t="n">
        <v>34.69</v>
      </c>
      <c r="H59" s="12" t="s">
        <v>552</v>
      </c>
      <c r="I59" s="28" t="n">
        <f aca="false">ROUND(G59/1,2)</f>
        <v>34.69</v>
      </c>
      <c r="J59" s="12" t="n">
        <v>190</v>
      </c>
      <c r="K59" s="12" t="s">
        <v>500</v>
      </c>
      <c r="L59" s="28" t="n">
        <f aca="false">G59</f>
        <v>34.69</v>
      </c>
      <c r="M59" s="13" t="n">
        <v>23.91</v>
      </c>
      <c r="N59" s="12" t="n">
        <v>426</v>
      </c>
      <c r="O59" s="12" t="s">
        <v>474</v>
      </c>
      <c r="P59" s="12" t="s">
        <v>458</v>
      </c>
      <c r="Q59" s="13" t="n">
        <v>6.21120569578311</v>
      </c>
      <c r="R59" s="13" t="n">
        <f aca="false">IF(N59="","",SUMIFS($I$5:$I$210,$N$5:$N$210,N59))</f>
        <v>214.08</v>
      </c>
      <c r="S59" s="30" t="s">
        <v>628</v>
      </c>
      <c r="T59" s="5" t="s">
        <v>661</v>
      </c>
    </row>
    <row r="60" customFormat="false" ht="15" hidden="false" customHeight="false" outlineLevel="0" collapsed="false">
      <c r="A60" s="12" t="s">
        <v>662</v>
      </c>
      <c r="B60" s="12" t="s">
        <v>18</v>
      </c>
      <c r="C60" s="12" t="s">
        <v>82</v>
      </c>
      <c r="D60" s="12" t="s">
        <v>657</v>
      </c>
      <c r="E60" s="12" t="s">
        <v>611</v>
      </c>
      <c r="F60" s="12" t="n">
        <v>188</v>
      </c>
      <c r="G60" s="28" t="n">
        <v>27.28</v>
      </c>
      <c r="H60" s="12" t="s">
        <v>552</v>
      </c>
      <c r="I60" s="28" t="n">
        <f aca="false">ROUND(G60/1,2)</f>
        <v>27.28</v>
      </c>
      <c r="J60" s="12" t="n">
        <v>164</v>
      </c>
      <c r="K60" s="12" t="s">
        <v>481</v>
      </c>
      <c r="L60" s="28" t="n">
        <f aca="false">G60</f>
        <v>27.28</v>
      </c>
      <c r="M60" s="13" t="n">
        <v>1.07</v>
      </c>
      <c r="N60" s="12" t="n">
        <v>164</v>
      </c>
      <c r="O60" s="12" t="s">
        <v>481</v>
      </c>
      <c r="P60" s="12" t="s">
        <v>458</v>
      </c>
      <c r="Q60" s="13" t="n">
        <v>1.0662909193239</v>
      </c>
      <c r="R60" s="13" t="n">
        <f aca="false">IF(N60="","",SUMIFS($I$5:$I$210,$N$5:$N$210,N60))</f>
        <v>196.76</v>
      </c>
      <c r="S60" s="26" t="s">
        <v>553</v>
      </c>
      <c r="T60" s="5"/>
    </row>
    <row r="61" customFormat="false" ht="15" hidden="false" customHeight="false" outlineLevel="0" collapsed="false">
      <c r="A61" s="12" t="s">
        <v>663</v>
      </c>
      <c r="B61" s="12" t="s">
        <v>18</v>
      </c>
      <c r="C61" s="12" t="s">
        <v>82</v>
      </c>
      <c r="D61" s="12" t="s">
        <v>657</v>
      </c>
      <c r="E61" s="12" t="s">
        <v>587</v>
      </c>
      <c r="F61" s="12" t="n">
        <v>150</v>
      </c>
      <c r="G61" s="28" t="n">
        <v>21.85</v>
      </c>
      <c r="H61" s="12" t="s">
        <v>552</v>
      </c>
      <c r="I61" s="28" t="n">
        <f aca="false">ROUND(G61/1,2)</f>
        <v>21.85</v>
      </c>
      <c r="J61" s="12" t="n">
        <v>164</v>
      </c>
      <c r="K61" s="12" t="s">
        <v>481</v>
      </c>
      <c r="L61" s="28" t="n">
        <f aca="false">G61</f>
        <v>21.85</v>
      </c>
      <c r="M61" s="13" t="n">
        <v>1.07</v>
      </c>
      <c r="N61" s="12" t="n">
        <v>164</v>
      </c>
      <c r="O61" s="12" t="s">
        <v>481</v>
      </c>
      <c r="P61" s="12" t="s">
        <v>458</v>
      </c>
      <c r="Q61" s="13" t="n">
        <v>1.0662909193239</v>
      </c>
      <c r="R61" s="13" t="n">
        <f aca="false">IF(N61="","",SUMIFS($I$5:$I$210,$N$5:$N$210,N61))</f>
        <v>196.76</v>
      </c>
      <c r="S61" s="26" t="s">
        <v>553</v>
      </c>
      <c r="T61" s="5"/>
    </row>
    <row r="62" customFormat="false" ht="15" hidden="false" customHeight="false" outlineLevel="0" collapsed="false">
      <c r="A62" s="12" t="s">
        <v>664</v>
      </c>
      <c r="B62" s="12" t="s">
        <v>18</v>
      </c>
      <c r="C62" s="12" t="s">
        <v>82</v>
      </c>
      <c r="D62" s="12" t="s">
        <v>665</v>
      </c>
      <c r="E62" s="12" t="s">
        <v>551</v>
      </c>
      <c r="F62" s="12" t="n">
        <v>120</v>
      </c>
      <c r="G62" s="28" t="n">
        <v>17.3</v>
      </c>
      <c r="H62" s="12" t="s">
        <v>552</v>
      </c>
      <c r="I62" s="28" t="n">
        <f aca="false">ROUND(G62/1,2)</f>
        <v>17.3</v>
      </c>
      <c r="J62" s="12" t="n">
        <v>164</v>
      </c>
      <c r="K62" s="12" t="s">
        <v>481</v>
      </c>
      <c r="L62" s="28" t="n">
        <f aca="false">G62</f>
        <v>17.3</v>
      </c>
      <c r="M62" s="13" t="n">
        <v>0.39</v>
      </c>
      <c r="N62" s="12" t="n">
        <v>164</v>
      </c>
      <c r="O62" s="12" t="s">
        <v>481</v>
      </c>
      <c r="P62" s="12" t="s">
        <v>458</v>
      </c>
      <c r="Q62" s="13" t="n">
        <v>0.393059301911844</v>
      </c>
      <c r="R62" s="13" t="n">
        <f aca="false">IF(N62="","",SUMIFS($I$5:$I$210,$N$5:$N$210,N62))</f>
        <v>196.76</v>
      </c>
      <c r="S62" s="26" t="s">
        <v>553</v>
      </c>
      <c r="T62" s="5"/>
    </row>
    <row r="63" customFormat="false" ht="15" hidden="false" customHeight="false" outlineLevel="0" collapsed="false">
      <c r="A63" s="12" t="s">
        <v>666</v>
      </c>
      <c r="B63" s="12" t="s">
        <v>18</v>
      </c>
      <c r="C63" s="12" t="s">
        <v>82</v>
      </c>
      <c r="D63" s="12" t="s">
        <v>665</v>
      </c>
      <c r="E63" s="12" t="s">
        <v>561</v>
      </c>
      <c r="F63" s="12" t="n">
        <v>122</v>
      </c>
      <c r="G63" s="28" t="n">
        <v>17.72</v>
      </c>
      <c r="H63" s="12" t="s">
        <v>552</v>
      </c>
      <c r="I63" s="28" t="n">
        <f aca="false">ROUND(G63/1,2)</f>
        <v>17.72</v>
      </c>
      <c r="J63" s="12" t="n">
        <v>164</v>
      </c>
      <c r="K63" s="12" t="s">
        <v>481</v>
      </c>
      <c r="L63" s="28" t="n">
        <f aca="false">G63</f>
        <v>17.72</v>
      </c>
      <c r="M63" s="13" t="n">
        <v>0.75</v>
      </c>
      <c r="N63" s="12" t="n">
        <v>164</v>
      </c>
      <c r="O63" s="12" t="s">
        <v>481</v>
      </c>
      <c r="P63" s="12" t="s">
        <v>458</v>
      </c>
      <c r="Q63" s="13" t="n">
        <v>0.747640307445613</v>
      </c>
      <c r="R63" s="13" t="n">
        <f aca="false">IF(N63="","",SUMIFS($I$5:$I$210,$N$5:$N$210,N63))</f>
        <v>196.76</v>
      </c>
      <c r="S63" s="26" t="s">
        <v>553</v>
      </c>
      <c r="T63" s="5"/>
    </row>
    <row r="64" customFormat="false" ht="15" hidden="false" customHeight="false" outlineLevel="0" collapsed="false">
      <c r="A64" s="12" t="s">
        <v>667</v>
      </c>
      <c r="B64" s="12" t="s">
        <v>18</v>
      </c>
      <c r="C64" s="12" t="s">
        <v>82</v>
      </c>
      <c r="D64" s="12" t="s">
        <v>665</v>
      </c>
      <c r="E64" s="12" t="s">
        <v>608</v>
      </c>
      <c r="F64" s="12" t="n">
        <v>122</v>
      </c>
      <c r="G64" s="28" t="n">
        <v>17.6</v>
      </c>
      <c r="H64" s="12" t="s">
        <v>552</v>
      </c>
      <c r="I64" s="28" t="n">
        <f aca="false">ROUND(G64/1,2)</f>
        <v>17.6</v>
      </c>
      <c r="J64" s="12" t="n">
        <v>164</v>
      </c>
      <c r="K64" s="12" t="s">
        <v>481</v>
      </c>
      <c r="L64" s="28" t="n">
        <f aca="false">G64</f>
        <v>17.6</v>
      </c>
      <c r="M64" s="13" t="n">
        <v>0.44</v>
      </c>
      <c r="N64" s="12" t="n">
        <v>164</v>
      </c>
      <c r="O64" s="12" t="s">
        <v>481</v>
      </c>
      <c r="P64" s="12" t="s">
        <v>458</v>
      </c>
      <c r="Q64" s="13" t="n">
        <v>0.436228173026396</v>
      </c>
      <c r="R64" s="13" t="n">
        <f aca="false">IF(N64="","",SUMIFS($I$5:$I$210,$N$5:$N$210,N64))</f>
        <v>196.76</v>
      </c>
      <c r="S64" s="26" t="s">
        <v>553</v>
      </c>
      <c r="T64" s="5"/>
    </row>
    <row r="65" customFormat="false" ht="15" hidden="false" customHeight="false" outlineLevel="0" collapsed="false">
      <c r="A65" s="12" t="s">
        <v>668</v>
      </c>
      <c r="B65" s="12" t="s">
        <v>18</v>
      </c>
      <c r="C65" s="12" t="s">
        <v>82</v>
      </c>
      <c r="D65" s="12" t="s">
        <v>665</v>
      </c>
      <c r="E65" s="12" t="s">
        <v>573</v>
      </c>
      <c r="F65" s="12" t="n">
        <v>120</v>
      </c>
      <c r="G65" s="28" t="n">
        <v>17.37</v>
      </c>
      <c r="H65" s="12" t="s">
        <v>552</v>
      </c>
      <c r="I65" s="28" t="n">
        <f aca="false">ROUND(G65/1,2)</f>
        <v>17.37</v>
      </c>
      <c r="J65" s="12" t="n">
        <v>164</v>
      </c>
      <c r="K65" s="12" t="s">
        <v>481</v>
      </c>
      <c r="L65" s="28" t="n">
        <f aca="false">G65</f>
        <v>17.37</v>
      </c>
      <c r="M65" s="13" t="n">
        <v>0.58</v>
      </c>
      <c r="N65" s="12" t="n">
        <v>164</v>
      </c>
      <c r="O65" s="12" t="s">
        <v>481</v>
      </c>
      <c r="P65" s="12" t="s">
        <v>458</v>
      </c>
      <c r="Q65" s="13" t="n">
        <v>0.576266696365632</v>
      </c>
      <c r="R65" s="13" t="n">
        <f aca="false">IF(N65="","",SUMIFS($I$5:$I$210,$N$5:$N$210,N65))</f>
        <v>196.76</v>
      </c>
      <c r="S65" s="26" t="s">
        <v>553</v>
      </c>
      <c r="T65" s="5"/>
    </row>
    <row r="66" customFormat="false" ht="15" hidden="false" customHeight="false" outlineLevel="0" collapsed="false">
      <c r="A66" s="12" t="s">
        <v>669</v>
      </c>
      <c r="B66" s="12" t="s">
        <v>18</v>
      </c>
      <c r="C66" s="12" t="s">
        <v>82</v>
      </c>
      <c r="D66" s="12" t="s">
        <v>670</v>
      </c>
      <c r="E66" s="12" t="s">
        <v>551</v>
      </c>
      <c r="F66" s="12" t="n">
        <v>121</v>
      </c>
      <c r="G66" s="28" t="n">
        <v>69.32</v>
      </c>
      <c r="H66" s="12" t="s">
        <v>552</v>
      </c>
      <c r="I66" s="28" t="n">
        <f aca="false">ROUND(G66/1,2)</f>
        <v>69.32</v>
      </c>
      <c r="J66" s="12" t="n">
        <v>432</v>
      </c>
      <c r="K66" s="12" t="s">
        <v>483</v>
      </c>
      <c r="L66" s="28" t="n">
        <f aca="false">G66</f>
        <v>69.32</v>
      </c>
      <c r="M66" s="13" t="n">
        <v>7.19</v>
      </c>
      <c r="N66" s="12" t="n">
        <v>432</v>
      </c>
      <c r="O66" s="12" t="s">
        <v>483</v>
      </c>
      <c r="P66" s="12" t="s">
        <v>458</v>
      </c>
      <c r="Q66" s="13" t="n">
        <v>7.19112885307504</v>
      </c>
      <c r="R66" s="13" t="n">
        <f aca="false">IF(N66="","",SUMIFS($I$5:$I$210,$N$5:$N$210,N66))</f>
        <v>181.65</v>
      </c>
      <c r="S66" s="26" t="s">
        <v>553</v>
      </c>
      <c r="T66" s="5" t="s">
        <v>621</v>
      </c>
    </row>
    <row r="67" customFormat="false" ht="15" hidden="false" customHeight="false" outlineLevel="0" collapsed="false">
      <c r="A67" s="12" t="s">
        <v>671</v>
      </c>
      <c r="B67" s="12" t="s">
        <v>18</v>
      </c>
      <c r="C67" s="12" t="s">
        <v>82</v>
      </c>
      <c r="D67" s="12" t="s">
        <v>670</v>
      </c>
      <c r="E67" s="12" t="s">
        <v>561</v>
      </c>
      <c r="F67" s="12" t="n">
        <v>120</v>
      </c>
      <c r="G67" s="28" t="n">
        <v>63.42</v>
      </c>
      <c r="H67" s="12" t="s">
        <v>552</v>
      </c>
      <c r="I67" s="28" t="n">
        <f aca="false">ROUND(G67/1,2)</f>
        <v>63.42</v>
      </c>
      <c r="J67" s="12"/>
      <c r="K67" s="12"/>
      <c r="L67" s="28"/>
      <c r="M67" s="13"/>
      <c r="N67" s="12" t="n">
        <v>439</v>
      </c>
      <c r="O67" s="12" t="s">
        <v>477</v>
      </c>
      <c r="P67" s="12" t="s">
        <v>478</v>
      </c>
      <c r="Q67" s="13" t="n">
        <v>7.48840495112397</v>
      </c>
      <c r="R67" s="13" t="n">
        <f aca="false">IF(N67="","",SUMIFS($I$5:$I$210,$N$5:$N$210,N67))</f>
        <v>214.67</v>
      </c>
      <c r="S67" s="27" t="s">
        <v>648</v>
      </c>
      <c r="T67" s="5" t="s">
        <v>672</v>
      </c>
    </row>
    <row r="68" customFormat="false" ht="15" hidden="false" customHeight="false" outlineLevel="0" collapsed="false">
      <c r="A68" s="12" t="s">
        <v>673</v>
      </c>
      <c r="B68" s="12" t="s">
        <v>18</v>
      </c>
      <c r="C68" s="12" t="s">
        <v>82</v>
      </c>
      <c r="D68" s="12" t="s">
        <v>670</v>
      </c>
      <c r="E68" s="12" t="s">
        <v>608</v>
      </c>
      <c r="F68" s="12" t="n">
        <v>126</v>
      </c>
      <c r="G68" s="28" t="n">
        <v>64.28</v>
      </c>
      <c r="H68" s="12" t="s">
        <v>552</v>
      </c>
      <c r="I68" s="28" t="n">
        <f aca="false">ROUND(G68/1,2)</f>
        <v>64.28</v>
      </c>
      <c r="J68" s="12"/>
      <c r="K68" s="12"/>
      <c r="L68" s="28"/>
      <c r="M68" s="13"/>
      <c r="N68" s="12" t="n">
        <v>466</v>
      </c>
      <c r="O68" s="12" t="s">
        <v>479</v>
      </c>
      <c r="P68" s="12" t="s">
        <v>458</v>
      </c>
      <c r="Q68" s="13" t="n">
        <v>0.83302502195628</v>
      </c>
      <c r="R68" s="13" t="n">
        <f aca="false">IF(N68="","",SUMIFS($I$5:$I$210,$N$5:$N$210,N68))</f>
        <v>219.12</v>
      </c>
      <c r="S68" s="27" t="s">
        <v>648</v>
      </c>
      <c r="T68" s="5" t="s">
        <v>674</v>
      </c>
    </row>
    <row r="69" customFormat="false" ht="23.85" hidden="false" customHeight="false" outlineLevel="0" collapsed="false">
      <c r="A69" s="12" t="s">
        <v>675</v>
      </c>
      <c r="B69" s="12" t="s">
        <v>18</v>
      </c>
      <c r="C69" s="12" t="s">
        <v>82</v>
      </c>
      <c r="D69" s="12" t="s">
        <v>670</v>
      </c>
      <c r="E69" s="12" t="s">
        <v>573</v>
      </c>
      <c r="F69" s="12" t="n">
        <v>120</v>
      </c>
      <c r="G69" s="28" t="n">
        <v>63.42</v>
      </c>
      <c r="H69" s="12" t="s">
        <v>552</v>
      </c>
      <c r="I69" s="28" t="n">
        <f aca="false">ROUND(G69/1,2)</f>
        <v>63.42</v>
      </c>
      <c r="J69" s="12"/>
      <c r="K69" s="12"/>
      <c r="L69" s="28"/>
      <c r="M69" s="13"/>
      <c r="N69" s="12" t="n">
        <v>65</v>
      </c>
      <c r="O69" s="12" t="s">
        <v>99</v>
      </c>
      <c r="P69" s="12" t="s">
        <v>472</v>
      </c>
      <c r="Q69" s="13" t="n">
        <v>46.1302507653544</v>
      </c>
      <c r="R69" s="13" t="n">
        <f aca="false">IF(N69="","",SUMIFS($I$5:$I$210,$N$5:$N$210,N69))</f>
        <v>218.55</v>
      </c>
      <c r="S69" s="27" t="s">
        <v>648</v>
      </c>
      <c r="T69" s="5" t="s">
        <v>624</v>
      </c>
    </row>
    <row r="70" customFormat="false" ht="23.85" hidden="false" customHeight="false" outlineLevel="0" collapsed="false">
      <c r="A70" s="12" t="s">
        <v>676</v>
      </c>
      <c r="B70" s="12" t="s">
        <v>18</v>
      </c>
      <c r="C70" s="12" t="s">
        <v>82</v>
      </c>
      <c r="D70" s="12" t="s">
        <v>670</v>
      </c>
      <c r="E70" s="12" t="s">
        <v>611</v>
      </c>
      <c r="F70" s="12" t="n">
        <v>126</v>
      </c>
      <c r="G70" s="28" t="n">
        <v>69.82</v>
      </c>
      <c r="H70" s="12" t="s">
        <v>552</v>
      </c>
      <c r="I70" s="28" t="n">
        <f aca="false">ROUND(G70/1,2)</f>
        <v>69.82</v>
      </c>
      <c r="J70" s="12" t="n">
        <v>437</v>
      </c>
      <c r="K70" s="12" t="s">
        <v>476</v>
      </c>
      <c r="L70" s="28" t="n">
        <f aca="false">G70</f>
        <v>69.82</v>
      </c>
      <c r="M70" s="13" t="n">
        <v>6.93</v>
      </c>
      <c r="N70" s="12" t="n">
        <v>380</v>
      </c>
      <c r="O70" s="12" t="s">
        <v>111</v>
      </c>
      <c r="P70" s="12" t="s">
        <v>472</v>
      </c>
      <c r="Q70" s="13" t="n">
        <v>81.2480095049231</v>
      </c>
      <c r="R70" s="13" t="n">
        <f aca="false">IF(N70="","",SUMIFS($I$5:$I$210,$N$5:$N$210,N70))</f>
        <v>213.04</v>
      </c>
      <c r="S70" s="30" t="s">
        <v>677</v>
      </c>
      <c r="T70" s="5" t="s">
        <v>624</v>
      </c>
    </row>
    <row r="71" customFormat="false" ht="23.85" hidden="false" customHeight="false" outlineLevel="0" collapsed="false">
      <c r="A71" s="12" t="s">
        <v>678</v>
      </c>
      <c r="B71" s="12" t="s">
        <v>18</v>
      </c>
      <c r="C71" s="12" t="s">
        <v>82</v>
      </c>
      <c r="D71" s="12" t="s">
        <v>679</v>
      </c>
      <c r="E71" s="12" t="s">
        <v>551</v>
      </c>
      <c r="F71" s="12" t="n">
        <v>127</v>
      </c>
      <c r="G71" s="28" t="n">
        <v>133.86</v>
      </c>
      <c r="H71" s="12" t="s">
        <v>552</v>
      </c>
      <c r="I71" s="28" t="n">
        <f aca="false">ROUND(G71/1,2)</f>
        <v>133.86</v>
      </c>
      <c r="J71" s="12"/>
      <c r="K71" s="12"/>
      <c r="L71" s="28"/>
      <c r="M71" s="13"/>
      <c r="N71" s="12" t="n">
        <v>389</v>
      </c>
      <c r="O71" s="12" t="s">
        <v>124</v>
      </c>
      <c r="P71" s="12" t="s">
        <v>472</v>
      </c>
      <c r="Q71" s="13"/>
      <c r="R71" s="13" t="n">
        <f aca="false">IF(N71="","",SUMIFS($I$5:$I$210,$N$5:$N$210,N71))</f>
        <v>209.71</v>
      </c>
      <c r="S71" s="27" t="s">
        <v>648</v>
      </c>
      <c r="T71" s="5" t="s">
        <v>624</v>
      </c>
    </row>
    <row r="72" customFormat="false" ht="15" hidden="false" customHeight="false" outlineLevel="0" collapsed="false">
      <c r="A72" s="12" t="s">
        <v>680</v>
      </c>
      <c r="B72" s="12" t="s">
        <v>18</v>
      </c>
      <c r="C72" s="12" t="s">
        <v>82</v>
      </c>
      <c r="D72" s="12" t="s">
        <v>679</v>
      </c>
      <c r="E72" s="12" t="s">
        <v>561</v>
      </c>
      <c r="F72" s="12" t="n">
        <v>123</v>
      </c>
      <c r="G72" s="28" t="n">
        <v>75.42</v>
      </c>
      <c r="H72" s="12" t="s">
        <v>552</v>
      </c>
      <c r="I72" s="28" t="n">
        <f aca="false">ROUND(G72/1,2)</f>
        <v>75.42</v>
      </c>
      <c r="J72" s="12"/>
      <c r="K72" s="12"/>
      <c r="L72" s="28"/>
      <c r="M72" s="13"/>
      <c r="N72" s="12" t="n">
        <v>442</v>
      </c>
      <c r="O72" s="12" t="s">
        <v>484</v>
      </c>
      <c r="P72" s="12" t="s">
        <v>458</v>
      </c>
      <c r="Q72" s="13" t="n">
        <v>6.9709298335322</v>
      </c>
      <c r="R72" s="13" t="n">
        <f aca="false">IF(N72="","",SUMIFS($I$5:$I$210,$N$5:$N$210,N72))</f>
        <v>203.88</v>
      </c>
      <c r="S72" s="27" t="s">
        <v>648</v>
      </c>
      <c r="T72" s="5" t="s">
        <v>681</v>
      </c>
    </row>
    <row r="73" customFormat="false" ht="23.85" hidden="false" customHeight="false" outlineLevel="0" collapsed="false">
      <c r="A73" s="12" t="s">
        <v>682</v>
      </c>
      <c r="B73" s="12" t="s">
        <v>18</v>
      </c>
      <c r="C73" s="12" t="s">
        <v>82</v>
      </c>
      <c r="D73" s="12" t="s">
        <v>679</v>
      </c>
      <c r="E73" s="12" t="s">
        <v>608</v>
      </c>
      <c r="F73" s="12" t="n">
        <v>126</v>
      </c>
      <c r="G73" s="28" t="n">
        <v>75.85</v>
      </c>
      <c r="H73" s="12" t="s">
        <v>552</v>
      </c>
      <c r="I73" s="28" t="n">
        <f aca="false">ROUND(G73/1,2)</f>
        <v>75.85</v>
      </c>
      <c r="J73" s="12"/>
      <c r="K73" s="12"/>
      <c r="L73" s="28"/>
      <c r="M73" s="13"/>
      <c r="N73" s="12" t="n">
        <v>389</v>
      </c>
      <c r="O73" s="12" t="s">
        <v>124</v>
      </c>
      <c r="P73" s="12" t="s">
        <v>472</v>
      </c>
      <c r="Q73" s="13"/>
      <c r="R73" s="13" t="n">
        <f aca="false">IF(N73="","",SUMIFS($I$5:$I$210,$N$5:$N$210,N73))</f>
        <v>209.71</v>
      </c>
      <c r="S73" s="27" t="s">
        <v>648</v>
      </c>
      <c r="T73" s="5" t="s">
        <v>624</v>
      </c>
    </row>
    <row r="74" customFormat="false" ht="23.85" hidden="false" customHeight="false" outlineLevel="0" collapsed="false">
      <c r="A74" s="12" t="s">
        <v>683</v>
      </c>
      <c r="B74" s="12" t="s">
        <v>18</v>
      </c>
      <c r="C74" s="12" t="s">
        <v>82</v>
      </c>
      <c r="D74" s="12" t="s">
        <v>679</v>
      </c>
      <c r="E74" s="12" t="s">
        <v>573</v>
      </c>
      <c r="F74" s="12" t="n">
        <v>123</v>
      </c>
      <c r="G74" s="28" t="n">
        <v>75.42</v>
      </c>
      <c r="H74" s="12" t="s">
        <v>552</v>
      </c>
      <c r="I74" s="28" t="n">
        <f aca="false">ROUND(G74/1,2)</f>
        <v>75.42</v>
      </c>
      <c r="J74" s="12"/>
      <c r="K74" s="12"/>
      <c r="L74" s="28"/>
      <c r="M74" s="13"/>
      <c r="N74" s="12" t="n">
        <v>153</v>
      </c>
      <c r="O74" s="12" t="s">
        <v>129</v>
      </c>
      <c r="P74" s="12" t="s">
        <v>472</v>
      </c>
      <c r="Q74" s="13" t="n">
        <v>25.1862499572503</v>
      </c>
      <c r="R74" s="13" t="n">
        <f aca="false">IF(N74="","",SUMIFS($I$5:$I$210,$N$5:$N$210,N74))</f>
        <v>205.52</v>
      </c>
      <c r="S74" s="27" t="s">
        <v>648</v>
      </c>
      <c r="T74" s="5" t="s">
        <v>624</v>
      </c>
    </row>
    <row r="75" customFormat="false" ht="15" hidden="false" customHeight="false" outlineLevel="0" collapsed="false">
      <c r="A75" s="12" t="s">
        <v>684</v>
      </c>
      <c r="B75" s="12" t="s">
        <v>18</v>
      </c>
      <c r="C75" s="12" t="s">
        <v>82</v>
      </c>
      <c r="D75" s="12" t="s">
        <v>679</v>
      </c>
      <c r="E75" s="12" t="s">
        <v>611</v>
      </c>
      <c r="F75" s="12" t="n">
        <v>153</v>
      </c>
      <c r="G75" s="28" t="n">
        <v>79.71</v>
      </c>
      <c r="H75" s="12" t="s">
        <v>552</v>
      </c>
      <c r="I75" s="28" t="n">
        <f aca="false">ROUND(G75/1,2)</f>
        <v>79.71</v>
      </c>
      <c r="J75" s="12"/>
      <c r="K75" s="12"/>
      <c r="L75" s="28"/>
      <c r="M75" s="13"/>
      <c r="N75" s="12" t="n">
        <v>158</v>
      </c>
      <c r="O75" s="12" t="s">
        <v>480</v>
      </c>
      <c r="P75" s="12" t="s">
        <v>458</v>
      </c>
      <c r="Q75" s="13" t="n">
        <v>3.3949826204379</v>
      </c>
      <c r="R75" s="13" t="n">
        <f aca="false">IF(N75="","",SUMIFS($I$5:$I$210,$N$5:$N$210,N75))</f>
        <v>209.81</v>
      </c>
      <c r="S75" s="27" t="s">
        <v>648</v>
      </c>
      <c r="T75" s="5" t="s">
        <v>685</v>
      </c>
    </row>
    <row r="76" customFormat="false" ht="15" hidden="false" customHeight="false" outlineLevel="0" collapsed="false">
      <c r="A76" s="12" t="s">
        <v>686</v>
      </c>
      <c r="B76" s="12" t="s">
        <v>20</v>
      </c>
      <c r="C76" s="12" t="s">
        <v>687</v>
      </c>
      <c r="D76" s="12" t="s">
        <v>688</v>
      </c>
      <c r="E76" s="12" t="s">
        <v>551</v>
      </c>
      <c r="F76" s="12" t="n">
        <v>152</v>
      </c>
      <c r="G76" s="28" t="n">
        <v>21.79</v>
      </c>
      <c r="H76" s="12" t="s">
        <v>552</v>
      </c>
      <c r="I76" s="28" t="n">
        <f aca="false">ROUND(G76/1,2)</f>
        <v>21.79</v>
      </c>
      <c r="J76" s="12" t="n">
        <v>179</v>
      </c>
      <c r="K76" s="12" t="s">
        <v>485</v>
      </c>
      <c r="L76" s="28" t="n">
        <f aca="false">G76</f>
        <v>21.79</v>
      </c>
      <c r="M76" s="13" t="n">
        <v>0.19</v>
      </c>
      <c r="N76" s="12" t="n">
        <v>179</v>
      </c>
      <c r="O76" s="12" t="s">
        <v>485</v>
      </c>
      <c r="P76" s="12" t="s">
        <v>458</v>
      </c>
      <c r="Q76" s="13" t="n">
        <v>0.189135399407948</v>
      </c>
      <c r="R76" s="13" t="n">
        <f aca="false">IF(N76="","",SUMIFS($I$5:$I$210,$N$5:$N$210,N76))</f>
        <v>151.94</v>
      </c>
      <c r="S76" s="26" t="s">
        <v>553</v>
      </c>
      <c r="T76" s="5"/>
    </row>
    <row r="77" customFormat="false" ht="15" hidden="false" customHeight="false" outlineLevel="0" collapsed="false">
      <c r="A77" s="12" t="s">
        <v>689</v>
      </c>
      <c r="B77" s="12" t="s">
        <v>20</v>
      </c>
      <c r="C77" s="12" t="s">
        <v>687</v>
      </c>
      <c r="D77" s="12" t="s">
        <v>688</v>
      </c>
      <c r="E77" s="12" t="s">
        <v>561</v>
      </c>
      <c r="F77" s="12" t="n">
        <v>136</v>
      </c>
      <c r="G77" s="28" t="n">
        <v>20.62</v>
      </c>
      <c r="H77" s="12" t="s">
        <v>552</v>
      </c>
      <c r="I77" s="28" t="n">
        <f aca="false">ROUND(G77/1,2)</f>
        <v>20.62</v>
      </c>
      <c r="J77" s="12" t="n">
        <v>82</v>
      </c>
      <c r="K77" s="12" t="s">
        <v>492</v>
      </c>
      <c r="L77" s="28" t="n">
        <f aca="false">G77</f>
        <v>20.62</v>
      </c>
      <c r="M77" s="13" t="n">
        <v>2.99</v>
      </c>
      <c r="N77" s="12" t="n">
        <v>82</v>
      </c>
      <c r="O77" s="12" t="s">
        <v>492</v>
      </c>
      <c r="P77" s="12" t="s">
        <v>458</v>
      </c>
      <c r="Q77" s="13" t="n">
        <v>2.98901847132706</v>
      </c>
      <c r="R77" s="13" t="n">
        <f aca="false">IF(N77="","",SUMIFS($I$5:$I$210,$N$5:$N$210,N77))</f>
        <v>185.32</v>
      </c>
      <c r="S77" s="26" t="s">
        <v>553</v>
      </c>
      <c r="T77" s="5"/>
    </row>
    <row r="78" customFormat="false" ht="15" hidden="false" customHeight="false" outlineLevel="0" collapsed="false">
      <c r="A78" s="12" t="s">
        <v>690</v>
      </c>
      <c r="B78" s="12" t="s">
        <v>20</v>
      </c>
      <c r="C78" s="12" t="s">
        <v>687</v>
      </c>
      <c r="D78" s="12" t="s">
        <v>688</v>
      </c>
      <c r="E78" s="12" t="s">
        <v>608</v>
      </c>
      <c r="F78" s="12" t="n">
        <v>136</v>
      </c>
      <c r="G78" s="28" t="n">
        <v>19.55</v>
      </c>
      <c r="H78" s="12" t="s">
        <v>552</v>
      </c>
      <c r="I78" s="28" t="n">
        <f aca="false">ROUND(G78/1,2)</f>
        <v>19.55</v>
      </c>
      <c r="J78" s="12" t="n">
        <v>179</v>
      </c>
      <c r="K78" s="12" t="s">
        <v>485</v>
      </c>
      <c r="L78" s="28" t="n">
        <f aca="false">G78</f>
        <v>19.55</v>
      </c>
      <c r="M78" s="13" t="n">
        <v>0.32</v>
      </c>
      <c r="N78" s="12" t="n">
        <v>179</v>
      </c>
      <c r="O78" s="12" t="s">
        <v>485</v>
      </c>
      <c r="P78" s="12" t="s">
        <v>458</v>
      </c>
      <c r="Q78" s="13" t="n">
        <v>0.316207957672753</v>
      </c>
      <c r="R78" s="13" t="n">
        <f aca="false">IF(N78="","",SUMIFS($I$5:$I$210,$N$5:$N$210,N78))</f>
        <v>151.94</v>
      </c>
      <c r="S78" s="26" t="s">
        <v>553</v>
      </c>
      <c r="T78" s="5"/>
    </row>
    <row r="79" customFormat="false" ht="15" hidden="false" customHeight="false" outlineLevel="0" collapsed="false">
      <c r="A79" s="12" t="s">
        <v>691</v>
      </c>
      <c r="B79" s="12" t="s">
        <v>20</v>
      </c>
      <c r="C79" s="12" t="s">
        <v>687</v>
      </c>
      <c r="D79" s="12" t="s">
        <v>692</v>
      </c>
      <c r="E79" s="12" t="s">
        <v>551</v>
      </c>
      <c r="F79" s="12" t="n">
        <v>160</v>
      </c>
      <c r="G79" s="28" t="n">
        <v>23.03</v>
      </c>
      <c r="H79" s="12" t="s">
        <v>552</v>
      </c>
      <c r="I79" s="28" t="n">
        <f aca="false">ROUND(G79/1,2)</f>
        <v>23.03</v>
      </c>
      <c r="J79" s="12" t="n">
        <v>179</v>
      </c>
      <c r="K79" s="12" t="s">
        <v>485</v>
      </c>
      <c r="L79" s="28" t="n">
        <f aca="false">G79</f>
        <v>23.03</v>
      </c>
      <c r="M79" s="13" t="n">
        <v>0.45</v>
      </c>
      <c r="N79" s="12" t="n">
        <v>179</v>
      </c>
      <c r="O79" s="12" t="s">
        <v>485</v>
      </c>
      <c r="P79" s="12" t="s">
        <v>458</v>
      </c>
      <c r="Q79" s="13" t="n">
        <v>0.452520158461091</v>
      </c>
      <c r="R79" s="13" t="n">
        <f aca="false">IF(N79="","",SUMIFS($I$5:$I$210,$N$5:$N$210,N79))</f>
        <v>151.94</v>
      </c>
      <c r="S79" s="26" t="s">
        <v>553</v>
      </c>
      <c r="T79" s="5"/>
    </row>
    <row r="80" customFormat="false" ht="15" hidden="false" customHeight="false" outlineLevel="0" collapsed="false">
      <c r="A80" s="12" t="s">
        <v>693</v>
      </c>
      <c r="B80" s="12" t="s">
        <v>20</v>
      </c>
      <c r="C80" s="12" t="s">
        <v>687</v>
      </c>
      <c r="D80" s="12" t="s">
        <v>692</v>
      </c>
      <c r="E80" s="12" t="s">
        <v>561</v>
      </c>
      <c r="F80" s="12" t="n">
        <v>133</v>
      </c>
      <c r="G80" s="28" t="n">
        <v>19.13</v>
      </c>
      <c r="H80" s="12" t="s">
        <v>552</v>
      </c>
      <c r="I80" s="28" t="n">
        <f aca="false">ROUND(G80/1,2)</f>
        <v>19.13</v>
      </c>
      <c r="J80" s="12" t="n">
        <v>179</v>
      </c>
      <c r="K80" s="12" t="s">
        <v>485</v>
      </c>
      <c r="L80" s="28" t="n">
        <f aca="false">G80</f>
        <v>19.13</v>
      </c>
      <c r="M80" s="13" t="n">
        <v>0.36</v>
      </c>
      <c r="N80" s="12" t="n">
        <v>179</v>
      </c>
      <c r="O80" s="12" t="s">
        <v>485</v>
      </c>
      <c r="P80" s="12" t="s">
        <v>458</v>
      </c>
      <c r="Q80" s="13" t="n">
        <v>0.359621901009856</v>
      </c>
      <c r="R80" s="13" t="n">
        <f aca="false">IF(N80="","",SUMIFS($I$5:$I$210,$N$5:$N$210,N80))</f>
        <v>151.94</v>
      </c>
      <c r="S80" s="26" t="s">
        <v>553</v>
      </c>
      <c r="T80" s="5"/>
    </row>
    <row r="81" customFormat="false" ht="15" hidden="false" customHeight="false" outlineLevel="0" collapsed="false">
      <c r="A81" s="12" t="s">
        <v>694</v>
      </c>
      <c r="B81" s="12" t="s">
        <v>20</v>
      </c>
      <c r="C81" s="12" t="s">
        <v>687</v>
      </c>
      <c r="D81" s="12" t="s">
        <v>692</v>
      </c>
      <c r="E81" s="12" t="s">
        <v>608</v>
      </c>
      <c r="F81" s="12" t="n">
        <v>141</v>
      </c>
      <c r="G81" s="28" t="n">
        <v>20.23</v>
      </c>
      <c r="H81" s="12" t="s">
        <v>552</v>
      </c>
      <c r="I81" s="28" t="n">
        <f aca="false">ROUND(G81/1,2)</f>
        <v>20.23</v>
      </c>
      <c r="J81" s="12" t="n">
        <v>179</v>
      </c>
      <c r="K81" s="12" t="s">
        <v>485</v>
      </c>
      <c r="L81" s="28" t="n">
        <f aca="false">G81</f>
        <v>20.23</v>
      </c>
      <c r="M81" s="13" t="n">
        <v>0.25</v>
      </c>
      <c r="N81" s="12" t="n">
        <v>179</v>
      </c>
      <c r="O81" s="12" t="s">
        <v>485</v>
      </c>
      <c r="P81" s="12" t="s">
        <v>458</v>
      </c>
      <c r="Q81" s="13" t="n">
        <v>0.251207210872694</v>
      </c>
      <c r="R81" s="13" t="n">
        <f aca="false">IF(N81="","",SUMIFS($I$5:$I$210,$N$5:$N$210,N81))</f>
        <v>151.94</v>
      </c>
      <c r="S81" s="26" t="s">
        <v>553</v>
      </c>
      <c r="T81" s="5"/>
    </row>
    <row r="82" customFormat="false" ht="15" hidden="false" customHeight="false" outlineLevel="0" collapsed="false">
      <c r="A82" s="12" t="s">
        <v>695</v>
      </c>
      <c r="B82" s="12" t="s">
        <v>20</v>
      </c>
      <c r="C82" s="12" t="s">
        <v>687</v>
      </c>
      <c r="D82" s="12" t="s">
        <v>696</v>
      </c>
      <c r="E82" s="12" t="s">
        <v>551</v>
      </c>
      <c r="F82" s="12" t="n">
        <v>159</v>
      </c>
      <c r="G82" s="28" t="n">
        <v>24.29</v>
      </c>
      <c r="H82" s="12" t="s">
        <v>552</v>
      </c>
      <c r="I82" s="28" t="n">
        <f aca="false">ROUND(G82/1,2)</f>
        <v>24.29</v>
      </c>
      <c r="J82" s="12" t="n">
        <v>78</v>
      </c>
      <c r="K82" s="12" t="s">
        <v>486</v>
      </c>
      <c r="L82" s="28" t="n">
        <f aca="false">G82</f>
        <v>24.29</v>
      </c>
      <c r="M82" s="13" t="n">
        <v>3.95</v>
      </c>
      <c r="N82" s="12" t="n">
        <v>78</v>
      </c>
      <c r="O82" s="12" t="s">
        <v>486</v>
      </c>
      <c r="P82" s="12" t="s">
        <v>458</v>
      </c>
      <c r="Q82" s="13" t="n">
        <v>3.94888794372995</v>
      </c>
      <c r="R82" s="13" t="n">
        <f aca="false">IF(N82="","",SUMIFS($I$5:$I$210,$N$5:$N$210,N82))</f>
        <v>204.54</v>
      </c>
      <c r="S82" s="26" t="s">
        <v>553</v>
      </c>
      <c r="T82" s="5"/>
    </row>
    <row r="83" customFormat="false" ht="15" hidden="false" customHeight="false" outlineLevel="0" collapsed="false">
      <c r="A83" s="12" t="s">
        <v>697</v>
      </c>
      <c r="B83" s="12" t="s">
        <v>20</v>
      </c>
      <c r="C83" s="12" t="s">
        <v>687</v>
      </c>
      <c r="D83" s="12" t="s">
        <v>696</v>
      </c>
      <c r="E83" s="12" t="s">
        <v>561</v>
      </c>
      <c r="F83" s="12" t="n">
        <v>149</v>
      </c>
      <c r="G83" s="28" t="n">
        <v>22.45</v>
      </c>
      <c r="H83" s="12" t="s">
        <v>552</v>
      </c>
      <c r="I83" s="28" t="n">
        <f aca="false">ROUND(G83/1,2)</f>
        <v>22.45</v>
      </c>
      <c r="J83" s="12" t="n">
        <v>181</v>
      </c>
      <c r="K83" s="12" t="s">
        <v>491</v>
      </c>
      <c r="L83" s="28" t="n">
        <f aca="false">G83</f>
        <v>22.45</v>
      </c>
      <c r="M83" s="13" t="n">
        <v>2.93</v>
      </c>
      <c r="N83" s="12" t="n">
        <v>181</v>
      </c>
      <c r="O83" s="12" t="s">
        <v>491</v>
      </c>
      <c r="P83" s="12" t="s">
        <v>458</v>
      </c>
      <c r="Q83" s="13" t="n">
        <v>2.92551802092922</v>
      </c>
      <c r="R83" s="13" t="n">
        <f aca="false">IF(N83="","",SUMIFS($I$5:$I$210,$N$5:$N$210,N83))</f>
        <v>144.3</v>
      </c>
      <c r="S83" s="26" t="s">
        <v>553</v>
      </c>
      <c r="T83" s="5"/>
    </row>
    <row r="84" customFormat="false" ht="15" hidden="false" customHeight="false" outlineLevel="0" collapsed="false">
      <c r="A84" s="12" t="s">
        <v>698</v>
      </c>
      <c r="B84" s="12" t="s">
        <v>20</v>
      </c>
      <c r="C84" s="12" t="s">
        <v>687</v>
      </c>
      <c r="D84" s="12" t="s">
        <v>696</v>
      </c>
      <c r="E84" s="12" t="s">
        <v>608</v>
      </c>
      <c r="F84" s="12" t="n">
        <v>121</v>
      </c>
      <c r="G84" s="28" t="n">
        <v>17.52</v>
      </c>
      <c r="H84" s="12" t="s">
        <v>552</v>
      </c>
      <c r="I84" s="28" t="n">
        <f aca="false">ROUND(G84/1,2)</f>
        <v>17.52</v>
      </c>
      <c r="J84" s="12" t="n">
        <v>179</v>
      </c>
      <c r="K84" s="12" t="s">
        <v>485</v>
      </c>
      <c r="L84" s="28" t="n">
        <f aca="false">G84</f>
        <v>17.52</v>
      </c>
      <c r="M84" s="13" t="n">
        <v>0.61</v>
      </c>
      <c r="N84" s="12" t="n">
        <v>179</v>
      </c>
      <c r="O84" s="12" t="s">
        <v>485</v>
      </c>
      <c r="P84" s="12" t="s">
        <v>458</v>
      </c>
      <c r="Q84" s="13" t="n">
        <v>0.610399893293474</v>
      </c>
      <c r="R84" s="13" t="n">
        <f aca="false">IF(N84="","",SUMIFS($I$5:$I$210,$N$5:$N$210,N84))</f>
        <v>151.94</v>
      </c>
      <c r="S84" s="26" t="s">
        <v>553</v>
      </c>
      <c r="T84" s="5"/>
    </row>
    <row r="85" customFormat="false" ht="15" hidden="false" customHeight="false" outlineLevel="0" collapsed="false">
      <c r="A85" s="12" t="s">
        <v>699</v>
      </c>
      <c r="B85" s="12" t="s">
        <v>20</v>
      </c>
      <c r="C85" s="12" t="s">
        <v>687</v>
      </c>
      <c r="D85" s="12" t="s">
        <v>700</v>
      </c>
      <c r="E85" s="12" t="s">
        <v>551</v>
      </c>
      <c r="F85" s="12" t="n">
        <v>146</v>
      </c>
      <c r="G85" s="28" t="n">
        <v>21.53</v>
      </c>
      <c r="H85" s="12" t="s">
        <v>552</v>
      </c>
      <c r="I85" s="28" t="n">
        <f aca="false">ROUND(G85/1,2)</f>
        <v>21.53</v>
      </c>
      <c r="J85" s="12" t="n">
        <v>130</v>
      </c>
      <c r="K85" s="12" t="s">
        <v>488</v>
      </c>
      <c r="L85" s="28" t="n">
        <f aca="false">G85</f>
        <v>21.53</v>
      </c>
      <c r="M85" s="13" t="n">
        <v>1.69</v>
      </c>
      <c r="N85" s="12" t="n">
        <v>130</v>
      </c>
      <c r="O85" s="12" t="s">
        <v>488</v>
      </c>
      <c r="P85" s="12" t="s">
        <v>458</v>
      </c>
      <c r="Q85" s="13" t="n">
        <v>1.69201092440731</v>
      </c>
      <c r="R85" s="13" t="n">
        <f aca="false">IF(N85="","",SUMIFS($I$5:$I$210,$N$5:$N$210,N85))</f>
        <v>216.04</v>
      </c>
      <c r="S85" s="26" t="s">
        <v>553</v>
      </c>
      <c r="T85" s="5"/>
    </row>
    <row r="86" customFormat="false" ht="15" hidden="false" customHeight="false" outlineLevel="0" collapsed="false">
      <c r="A86" s="12" t="s">
        <v>701</v>
      </c>
      <c r="B86" s="12" t="s">
        <v>20</v>
      </c>
      <c r="C86" s="12" t="s">
        <v>687</v>
      </c>
      <c r="D86" s="12" t="s">
        <v>700</v>
      </c>
      <c r="E86" s="12" t="s">
        <v>561</v>
      </c>
      <c r="F86" s="12" t="n">
        <v>114</v>
      </c>
      <c r="G86" s="28" t="n">
        <v>17.1</v>
      </c>
      <c r="H86" s="12" t="s">
        <v>552</v>
      </c>
      <c r="I86" s="28" t="n">
        <f aca="false">ROUND(G86/1,2)</f>
        <v>17.1</v>
      </c>
      <c r="J86" s="12" t="n">
        <v>130</v>
      </c>
      <c r="K86" s="12" t="s">
        <v>488</v>
      </c>
      <c r="L86" s="28" t="n">
        <f aca="false">G86</f>
        <v>17.1</v>
      </c>
      <c r="M86" s="13" t="n">
        <v>2.04</v>
      </c>
      <c r="N86" s="12" t="n">
        <v>130</v>
      </c>
      <c r="O86" s="12" t="s">
        <v>488</v>
      </c>
      <c r="P86" s="12" t="s">
        <v>458</v>
      </c>
      <c r="Q86" s="13" t="n">
        <v>2.0407336110494</v>
      </c>
      <c r="R86" s="13" t="n">
        <f aca="false">IF(N86="","",SUMIFS($I$5:$I$210,$N$5:$N$210,N86))</f>
        <v>216.04</v>
      </c>
      <c r="S86" s="26" t="s">
        <v>553</v>
      </c>
      <c r="T86" s="5"/>
    </row>
    <row r="87" customFormat="false" ht="15" hidden="false" customHeight="false" outlineLevel="0" collapsed="false">
      <c r="A87" s="12" t="s">
        <v>702</v>
      </c>
      <c r="B87" s="12" t="s">
        <v>20</v>
      </c>
      <c r="C87" s="12" t="s">
        <v>687</v>
      </c>
      <c r="D87" s="12" t="s">
        <v>703</v>
      </c>
      <c r="E87" s="12" t="s">
        <v>551</v>
      </c>
      <c r="F87" s="12" t="n">
        <v>136</v>
      </c>
      <c r="G87" s="28" t="n">
        <v>21.8</v>
      </c>
      <c r="H87" s="12" t="s">
        <v>552</v>
      </c>
      <c r="I87" s="28" t="n">
        <f aca="false">ROUND(G87/1,2)</f>
        <v>21.8</v>
      </c>
      <c r="J87" s="12" t="n">
        <v>130</v>
      </c>
      <c r="K87" s="12" t="s">
        <v>488</v>
      </c>
      <c r="L87" s="28" t="n">
        <f aca="false">G87</f>
        <v>21.8</v>
      </c>
      <c r="M87" s="13" t="n">
        <v>5.95</v>
      </c>
      <c r="N87" s="12" t="n">
        <v>130</v>
      </c>
      <c r="O87" s="12" t="s">
        <v>488</v>
      </c>
      <c r="P87" s="12" t="s">
        <v>458</v>
      </c>
      <c r="Q87" s="13" t="n">
        <v>5.95496589778138</v>
      </c>
      <c r="R87" s="13" t="n">
        <f aca="false">IF(N87="","",SUMIFS($I$5:$I$210,$N$5:$N$210,N87))</f>
        <v>216.04</v>
      </c>
      <c r="S87" s="26" t="s">
        <v>553</v>
      </c>
      <c r="T87" s="5"/>
    </row>
    <row r="88" customFormat="false" ht="15" hidden="false" customHeight="false" outlineLevel="0" collapsed="false">
      <c r="A88" s="12" t="s">
        <v>704</v>
      </c>
      <c r="B88" s="12" t="s">
        <v>20</v>
      </c>
      <c r="C88" s="12" t="s">
        <v>687</v>
      </c>
      <c r="D88" s="12" t="s">
        <v>703</v>
      </c>
      <c r="E88" s="12" t="s">
        <v>561</v>
      </c>
      <c r="F88" s="12" t="n">
        <v>143</v>
      </c>
      <c r="G88" s="28" t="n">
        <v>21.37</v>
      </c>
      <c r="H88" s="12" t="s">
        <v>552</v>
      </c>
      <c r="I88" s="28" t="n">
        <f aca="false">ROUND(G88/1,2)</f>
        <v>21.37</v>
      </c>
      <c r="J88" s="12" t="n">
        <v>181</v>
      </c>
      <c r="K88" s="12" t="s">
        <v>491</v>
      </c>
      <c r="L88" s="28" t="n">
        <f aca="false">G88</f>
        <v>21.37</v>
      </c>
      <c r="M88" s="13" t="n">
        <v>2.38</v>
      </c>
      <c r="N88" s="12" t="n">
        <v>181</v>
      </c>
      <c r="O88" s="12" t="s">
        <v>491</v>
      </c>
      <c r="P88" s="12" t="s">
        <v>458</v>
      </c>
      <c r="Q88" s="13" t="n">
        <v>2.37766291530823</v>
      </c>
      <c r="R88" s="13" t="n">
        <f aca="false">IF(N88="","",SUMIFS($I$5:$I$210,$N$5:$N$210,N88))</f>
        <v>144.3</v>
      </c>
      <c r="S88" s="26" t="s">
        <v>553</v>
      </c>
      <c r="T88" s="5"/>
    </row>
    <row r="89" customFormat="false" ht="15" hidden="false" customHeight="false" outlineLevel="0" collapsed="false">
      <c r="A89" s="12" t="s">
        <v>705</v>
      </c>
      <c r="B89" s="12" t="s">
        <v>20</v>
      </c>
      <c r="C89" s="12" t="s">
        <v>687</v>
      </c>
      <c r="D89" s="12" t="s">
        <v>703</v>
      </c>
      <c r="E89" s="12" t="s">
        <v>608</v>
      </c>
      <c r="F89" s="12" t="n">
        <v>163</v>
      </c>
      <c r="G89" s="28" t="n">
        <v>25.51</v>
      </c>
      <c r="H89" s="12" t="s">
        <v>552</v>
      </c>
      <c r="I89" s="28" t="n">
        <f aca="false">ROUND(G89/1,2)</f>
        <v>25.51</v>
      </c>
      <c r="J89" s="12" t="n">
        <v>107</v>
      </c>
      <c r="K89" s="12" t="s">
        <v>493</v>
      </c>
      <c r="L89" s="28" t="n">
        <f aca="false">G89</f>
        <v>25.51</v>
      </c>
      <c r="M89" s="13" t="n">
        <v>5.57</v>
      </c>
      <c r="N89" s="12" t="n">
        <v>107</v>
      </c>
      <c r="O89" s="12" t="s">
        <v>493</v>
      </c>
      <c r="P89" s="12" t="s">
        <v>458</v>
      </c>
      <c r="Q89" s="13" t="n">
        <v>5.57334145277618</v>
      </c>
      <c r="R89" s="13" t="n">
        <f aca="false">IF(N89="","",SUMIFS($I$5:$I$210,$N$5:$N$210,N89))</f>
        <v>214.82</v>
      </c>
      <c r="S89" s="26" t="s">
        <v>553</v>
      </c>
      <c r="T89" s="5"/>
    </row>
    <row r="90" customFormat="false" ht="15" hidden="false" customHeight="false" outlineLevel="0" collapsed="false">
      <c r="A90" s="12" t="s">
        <v>706</v>
      </c>
      <c r="B90" s="12" t="s">
        <v>20</v>
      </c>
      <c r="C90" s="12" t="s">
        <v>707</v>
      </c>
      <c r="D90" s="12" t="s">
        <v>708</v>
      </c>
      <c r="E90" s="12" t="s">
        <v>551</v>
      </c>
      <c r="F90" s="12" t="n">
        <v>184</v>
      </c>
      <c r="G90" s="28" t="n">
        <v>110.53</v>
      </c>
      <c r="H90" s="12" t="s">
        <v>552</v>
      </c>
      <c r="I90" s="28" t="n">
        <f aca="false">ROUND(G90/1,2)</f>
        <v>110.53</v>
      </c>
      <c r="J90" s="12" t="n">
        <v>174</v>
      </c>
      <c r="K90" s="12" t="s">
        <v>495</v>
      </c>
      <c r="L90" s="28" t="n">
        <f aca="false">G90</f>
        <v>110.53</v>
      </c>
      <c r="M90" s="13" t="n">
        <v>2.71</v>
      </c>
      <c r="N90" s="12" t="n">
        <v>174</v>
      </c>
      <c r="O90" s="12" t="s">
        <v>495</v>
      </c>
      <c r="P90" s="12" t="s">
        <v>458</v>
      </c>
      <c r="Q90" s="13" t="n">
        <v>2.70687675375009</v>
      </c>
      <c r="R90" s="13" t="n">
        <f aca="false">IF(N90="","",SUMIFS($I$5:$I$210,$N$5:$N$210,N90))</f>
        <v>166.26</v>
      </c>
      <c r="S90" s="26" t="s">
        <v>553</v>
      </c>
      <c r="T90" s="5"/>
    </row>
    <row r="91" customFormat="false" ht="15" hidden="false" customHeight="false" outlineLevel="0" collapsed="false">
      <c r="A91" s="12" t="s">
        <v>709</v>
      </c>
      <c r="B91" s="12" t="s">
        <v>20</v>
      </c>
      <c r="C91" s="12" t="s">
        <v>707</v>
      </c>
      <c r="D91" s="12" t="s">
        <v>708</v>
      </c>
      <c r="E91" s="12" t="s">
        <v>561</v>
      </c>
      <c r="F91" s="12" t="n">
        <v>196</v>
      </c>
      <c r="G91" s="28" t="n">
        <v>102.17</v>
      </c>
      <c r="H91" s="12" t="s">
        <v>552</v>
      </c>
      <c r="I91" s="28" t="n">
        <f aca="false">ROUND(G91/1,2)</f>
        <v>102.17</v>
      </c>
      <c r="J91" s="12" t="n">
        <v>31</v>
      </c>
      <c r="K91" s="12" t="s">
        <v>498</v>
      </c>
      <c r="L91" s="28" t="n">
        <f aca="false">G91</f>
        <v>102.17</v>
      </c>
      <c r="M91" s="13" t="n">
        <v>3.96</v>
      </c>
      <c r="N91" s="12" t="n">
        <v>240</v>
      </c>
      <c r="O91" s="12" t="s">
        <v>505</v>
      </c>
      <c r="P91" s="12" t="s">
        <v>458</v>
      </c>
      <c r="Q91" s="13" t="n">
        <v>2.06029710991495</v>
      </c>
      <c r="R91" s="13" t="n">
        <f aca="false">IF(N91="","",SUMIFS($I$5:$I$210,$N$5:$N$210,N91))</f>
        <v>217.56</v>
      </c>
      <c r="S91" s="30" t="s">
        <v>677</v>
      </c>
      <c r="T91" s="5" t="s">
        <v>710</v>
      </c>
    </row>
    <row r="92" customFormat="false" ht="15" hidden="false" customHeight="false" outlineLevel="0" collapsed="false">
      <c r="A92" s="12" t="s">
        <v>711</v>
      </c>
      <c r="B92" s="12" t="s">
        <v>20</v>
      </c>
      <c r="C92" s="12" t="s">
        <v>707</v>
      </c>
      <c r="D92" s="12" t="s">
        <v>708</v>
      </c>
      <c r="E92" s="12" t="s">
        <v>608</v>
      </c>
      <c r="F92" s="12" t="n">
        <v>188</v>
      </c>
      <c r="G92" s="28" t="n">
        <v>105.26</v>
      </c>
      <c r="H92" s="12" t="s">
        <v>552</v>
      </c>
      <c r="I92" s="28" t="n">
        <f aca="false">ROUND(G92/1,2)</f>
        <v>105.26</v>
      </c>
      <c r="J92" s="12" t="n">
        <v>22</v>
      </c>
      <c r="K92" s="12" t="s">
        <v>496</v>
      </c>
      <c r="L92" s="28" t="n">
        <f aca="false">G92</f>
        <v>105.26</v>
      </c>
      <c r="M92" s="13" t="n">
        <v>3.31</v>
      </c>
      <c r="N92" s="12" t="n">
        <v>22</v>
      </c>
      <c r="O92" s="12" t="s">
        <v>496</v>
      </c>
      <c r="P92" s="12" t="s">
        <v>458</v>
      </c>
      <c r="Q92" s="13" t="n">
        <v>3.31263220225503</v>
      </c>
      <c r="R92" s="13" t="n">
        <f aca="false">IF(N92="","",SUMIFS($I$5:$I$210,$N$5:$N$210,N92))</f>
        <v>105.26</v>
      </c>
      <c r="S92" s="26" t="s">
        <v>553</v>
      </c>
      <c r="T92" s="5"/>
    </row>
    <row r="93" customFormat="false" ht="15" hidden="false" customHeight="false" outlineLevel="0" collapsed="false">
      <c r="A93" s="12" t="s">
        <v>712</v>
      </c>
      <c r="B93" s="12" t="s">
        <v>20</v>
      </c>
      <c r="C93" s="12" t="s">
        <v>707</v>
      </c>
      <c r="D93" s="12" t="s">
        <v>708</v>
      </c>
      <c r="E93" s="12" t="s">
        <v>573</v>
      </c>
      <c r="F93" s="12" t="n">
        <v>148</v>
      </c>
      <c r="G93" s="28" t="n">
        <v>85.84</v>
      </c>
      <c r="H93" s="12" t="s">
        <v>552</v>
      </c>
      <c r="I93" s="28" t="n">
        <f aca="false">ROUND(G93/1,2)</f>
        <v>85.84</v>
      </c>
      <c r="J93" s="12" t="n">
        <v>27</v>
      </c>
      <c r="K93" s="12" t="s">
        <v>471</v>
      </c>
      <c r="L93" s="28" t="n">
        <f aca="false">G93</f>
        <v>85.84</v>
      </c>
      <c r="M93" s="13" t="n">
        <v>6.85</v>
      </c>
      <c r="N93" s="12" t="n">
        <v>27</v>
      </c>
      <c r="O93" s="12" t="s">
        <v>471</v>
      </c>
      <c r="P93" s="12" t="s">
        <v>458</v>
      </c>
      <c r="Q93" s="13" t="n">
        <v>6.84933118792857</v>
      </c>
      <c r="R93" s="13" t="n">
        <f aca="false">IF(N93="","",SUMIFS($I$5:$I$210,$N$5:$N$210,N93))</f>
        <v>213.61</v>
      </c>
      <c r="S93" s="26" t="s">
        <v>553</v>
      </c>
      <c r="T93" s="5"/>
    </row>
    <row r="94" customFormat="false" ht="15" hidden="false" customHeight="false" outlineLevel="0" collapsed="false">
      <c r="A94" s="12" t="s">
        <v>713</v>
      </c>
      <c r="B94" s="12" t="s">
        <v>20</v>
      </c>
      <c r="C94" s="12" t="s">
        <v>707</v>
      </c>
      <c r="D94" s="12" t="s">
        <v>708</v>
      </c>
      <c r="E94" s="12" t="s">
        <v>611</v>
      </c>
      <c r="F94" s="12" t="n">
        <v>144</v>
      </c>
      <c r="G94" s="28" t="n">
        <v>99.39</v>
      </c>
      <c r="H94" s="12" t="s">
        <v>552</v>
      </c>
      <c r="I94" s="28" t="n">
        <f aca="false">ROUND(G94/1,2)</f>
        <v>99.39</v>
      </c>
      <c r="J94" s="12" t="n">
        <v>31</v>
      </c>
      <c r="K94" s="12" t="s">
        <v>498</v>
      </c>
      <c r="L94" s="28" t="n">
        <f aca="false">G94</f>
        <v>99.39</v>
      </c>
      <c r="M94" s="13" t="n">
        <v>3.65</v>
      </c>
      <c r="N94" s="12" t="n">
        <v>31</v>
      </c>
      <c r="O94" s="12" t="s">
        <v>498</v>
      </c>
      <c r="P94" s="12" t="s">
        <v>458</v>
      </c>
      <c r="Q94" s="13" t="n">
        <v>3.64538332321062</v>
      </c>
      <c r="R94" s="13" t="n">
        <f aca="false">IF(N94="","",SUMIFS($I$5:$I$210,$N$5:$N$210,N94))</f>
        <v>124.26</v>
      </c>
      <c r="S94" s="26" t="s">
        <v>553</v>
      </c>
      <c r="T94" s="5"/>
    </row>
    <row r="95" customFormat="false" ht="15" hidden="false" customHeight="false" outlineLevel="0" collapsed="false">
      <c r="A95" s="12" t="s">
        <v>714</v>
      </c>
      <c r="B95" s="12" t="s">
        <v>20</v>
      </c>
      <c r="C95" s="12" t="s">
        <v>707</v>
      </c>
      <c r="D95" s="12" t="s">
        <v>708</v>
      </c>
      <c r="E95" s="12" t="s">
        <v>587</v>
      </c>
      <c r="F95" s="12" t="n">
        <v>191</v>
      </c>
      <c r="G95" s="28" t="n">
        <v>154.27</v>
      </c>
      <c r="H95" s="12" t="s">
        <v>552</v>
      </c>
      <c r="I95" s="28" t="n">
        <f aca="false">ROUND(G95/1,2)</f>
        <v>154.27</v>
      </c>
      <c r="J95" s="12" t="n">
        <v>27</v>
      </c>
      <c r="K95" s="12" t="s">
        <v>471</v>
      </c>
      <c r="L95" s="28" t="n">
        <f aca="false">G95</f>
        <v>154.27</v>
      </c>
      <c r="M95" s="13" t="n">
        <v>7.05</v>
      </c>
      <c r="N95" s="12" t="n">
        <v>319</v>
      </c>
      <c r="O95" s="12" t="s">
        <v>497</v>
      </c>
      <c r="P95" s="12" t="s">
        <v>478</v>
      </c>
      <c r="Q95" s="13" t="n">
        <v>6.52744427336287</v>
      </c>
      <c r="R95" s="13" t="n">
        <f aca="false">IF(N95="","",SUMIFS($I$5:$I$210,$N$5:$N$210,N95))</f>
        <v>154.27</v>
      </c>
      <c r="S95" s="30" t="s">
        <v>677</v>
      </c>
      <c r="T95" s="5" t="s">
        <v>715</v>
      </c>
    </row>
    <row r="96" customFormat="false" ht="15" hidden="false" customHeight="false" outlineLevel="0" collapsed="false">
      <c r="A96" s="12" t="s">
        <v>716</v>
      </c>
      <c r="B96" s="12" t="s">
        <v>20</v>
      </c>
      <c r="C96" s="12" t="s">
        <v>707</v>
      </c>
      <c r="D96" s="12" t="s">
        <v>717</v>
      </c>
      <c r="E96" s="12" t="s">
        <v>551</v>
      </c>
      <c r="F96" s="12" t="n">
        <v>126</v>
      </c>
      <c r="G96" s="28" t="n">
        <v>66.46</v>
      </c>
      <c r="H96" s="12" t="s">
        <v>552</v>
      </c>
      <c r="I96" s="28" t="n">
        <f aca="false">ROUND(G96/1,2)</f>
        <v>66.46</v>
      </c>
      <c r="J96" s="12" t="n">
        <v>185</v>
      </c>
      <c r="K96" s="12" t="s">
        <v>502</v>
      </c>
      <c r="L96" s="28" t="n">
        <f aca="false">G96</f>
        <v>66.46</v>
      </c>
      <c r="M96" s="13" t="n">
        <v>2.72</v>
      </c>
      <c r="N96" s="12" t="n">
        <v>185</v>
      </c>
      <c r="O96" s="12" t="s">
        <v>502</v>
      </c>
      <c r="P96" s="12" t="s">
        <v>458</v>
      </c>
      <c r="Q96" s="13" t="n">
        <v>2.7186078673701</v>
      </c>
      <c r="R96" s="13" t="n">
        <f aca="false">IF(N96="","",SUMIFS($I$5:$I$210,$N$5:$N$210,N96))</f>
        <v>138.59</v>
      </c>
      <c r="S96" s="26" t="s">
        <v>553</v>
      </c>
      <c r="T96" s="5"/>
    </row>
    <row r="97" customFormat="false" ht="15" hidden="false" customHeight="false" outlineLevel="0" collapsed="false">
      <c r="A97" s="12" t="s">
        <v>718</v>
      </c>
      <c r="B97" s="12" t="s">
        <v>20</v>
      </c>
      <c r="C97" s="12" t="s">
        <v>707</v>
      </c>
      <c r="D97" s="12" t="s">
        <v>717</v>
      </c>
      <c r="E97" s="12" t="s">
        <v>561</v>
      </c>
      <c r="F97" s="12" t="n">
        <v>115</v>
      </c>
      <c r="G97" s="28" t="n">
        <v>72.13</v>
      </c>
      <c r="H97" s="12" t="s">
        <v>552</v>
      </c>
      <c r="I97" s="28" t="n">
        <f aca="false">ROUND(G97/1,2)</f>
        <v>72.13</v>
      </c>
      <c r="J97" s="12" t="n">
        <v>185</v>
      </c>
      <c r="K97" s="12" t="s">
        <v>502</v>
      </c>
      <c r="L97" s="28" t="n">
        <f aca="false">G97</f>
        <v>72.13</v>
      </c>
      <c r="M97" s="13" t="n">
        <v>2.12</v>
      </c>
      <c r="N97" s="12" t="n">
        <v>185</v>
      </c>
      <c r="O97" s="12" t="s">
        <v>502</v>
      </c>
      <c r="P97" s="12" t="s">
        <v>458</v>
      </c>
      <c r="Q97" s="13" t="n">
        <v>2.11600722913465</v>
      </c>
      <c r="R97" s="13" t="n">
        <f aca="false">IF(N97="","",SUMIFS($I$5:$I$210,$N$5:$N$210,N97))</f>
        <v>138.59</v>
      </c>
      <c r="S97" s="26" t="s">
        <v>553</v>
      </c>
      <c r="T97" s="5"/>
    </row>
    <row r="98" customFormat="false" ht="15" hidden="false" customHeight="false" outlineLevel="0" collapsed="false">
      <c r="A98" s="12" t="s">
        <v>719</v>
      </c>
      <c r="B98" s="12" t="s">
        <v>20</v>
      </c>
      <c r="C98" s="12" t="s">
        <v>707</v>
      </c>
      <c r="D98" s="12" t="s">
        <v>717</v>
      </c>
      <c r="E98" s="12" t="s">
        <v>608</v>
      </c>
      <c r="F98" s="12" t="n">
        <v>132</v>
      </c>
      <c r="G98" s="28" t="n">
        <v>93.91</v>
      </c>
      <c r="H98" s="12" t="s">
        <v>552</v>
      </c>
      <c r="I98" s="28" t="n">
        <f aca="false">ROUND(G98/1,2)</f>
        <v>93.91</v>
      </c>
      <c r="J98" s="12" t="n">
        <v>238</v>
      </c>
      <c r="K98" s="12" t="s">
        <v>504</v>
      </c>
      <c r="L98" s="28" t="n">
        <f aca="false">G98</f>
        <v>93.91</v>
      </c>
      <c r="M98" s="13" t="n">
        <v>5.63</v>
      </c>
      <c r="N98" s="12" t="n">
        <v>238</v>
      </c>
      <c r="O98" s="12" t="s">
        <v>504</v>
      </c>
      <c r="P98" s="12" t="s">
        <v>458</v>
      </c>
      <c r="Q98" s="13" t="n">
        <v>5.63272228136571</v>
      </c>
      <c r="R98" s="13" t="n">
        <f aca="false">IF(N98="","",SUMIFS($I$5:$I$210,$N$5:$N$210,N98))</f>
        <v>209.45</v>
      </c>
      <c r="S98" s="26" t="s">
        <v>553</v>
      </c>
      <c r="T98" s="5"/>
    </row>
    <row r="99" customFormat="false" ht="15" hidden="false" customHeight="false" outlineLevel="0" collapsed="false">
      <c r="A99" s="12" t="s">
        <v>720</v>
      </c>
      <c r="B99" s="12" t="s">
        <v>20</v>
      </c>
      <c r="C99" s="12" t="s">
        <v>707</v>
      </c>
      <c r="D99" s="12" t="s">
        <v>721</v>
      </c>
      <c r="E99" s="12" t="s">
        <v>551</v>
      </c>
      <c r="F99" s="12" t="n">
        <v>159</v>
      </c>
      <c r="G99" s="28" t="n">
        <v>26.68</v>
      </c>
      <c r="H99" s="12" t="s">
        <v>552</v>
      </c>
      <c r="I99" s="28" t="n">
        <f aca="false">ROUND(G99/1,2)</f>
        <v>26.68</v>
      </c>
      <c r="J99" s="12" t="n">
        <v>219</v>
      </c>
      <c r="K99" s="12" t="s">
        <v>499</v>
      </c>
      <c r="L99" s="28" t="n">
        <f aca="false">G99</f>
        <v>26.68</v>
      </c>
      <c r="M99" s="13" t="n">
        <v>0.52</v>
      </c>
      <c r="N99" s="12" t="n">
        <v>219</v>
      </c>
      <c r="O99" s="12" t="s">
        <v>499</v>
      </c>
      <c r="P99" s="12" t="s">
        <v>458</v>
      </c>
      <c r="Q99" s="13" t="n">
        <v>0.521882789555847</v>
      </c>
      <c r="R99" s="13" t="n">
        <f aca="false">IF(N99="","",SUMIFS($I$5:$I$210,$N$5:$N$210,N99))</f>
        <v>129.58</v>
      </c>
      <c r="S99" s="26" t="s">
        <v>553</v>
      </c>
      <c r="T99" s="5"/>
    </row>
    <row r="100" customFormat="false" ht="15" hidden="false" customHeight="false" outlineLevel="0" collapsed="false">
      <c r="A100" s="12" t="s">
        <v>722</v>
      </c>
      <c r="B100" s="12" t="s">
        <v>20</v>
      </c>
      <c r="C100" s="12" t="s">
        <v>707</v>
      </c>
      <c r="D100" s="12" t="s">
        <v>721</v>
      </c>
      <c r="E100" s="12" t="s">
        <v>561</v>
      </c>
      <c r="F100" s="12" t="n">
        <v>165</v>
      </c>
      <c r="G100" s="28" t="n">
        <v>27.41</v>
      </c>
      <c r="H100" s="12" t="s">
        <v>552</v>
      </c>
      <c r="I100" s="28" t="n">
        <f aca="false">ROUND(G100/1,2)</f>
        <v>27.41</v>
      </c>
      <c r="J100" s="12" t="n">
        <v>219</v>
      </c>
      <c r="K100" s="12" t="s">
        <v>499</v>
      </c>
      <c r="L100" s="28" t="n">
        <f aca="false">G100</f>
        <v>27.41</v>
      </c>
      <c r="M100" s="13" t="n">
        <v>0.22</v>
      </c>
      <c r="N100" s="12" t="n">
        <v>219</v>
      </c>
      <c r="O100" s="12" t="s">
        <v>499</v>
      </c>
      <c r="P100" s="12" t="s">
        <v>458</v>
      </c>
      <c r="Q100" s="13" t="n">
        <v>0.220091600257875</v>
      </c>
      <c r="R100" s="13" t="n">
        <f aca="false">IF(N100="","",SUMIFS($I$5:$I$210,$N$5:$N$210,N100))</f>
        <v>129.58</v>
      </c>
      <c r="S100" s="26" t="s">
        <v>553</v>
      </c>
      <c r="T100" s="5"/>
    </row>
    <row r="101" customFormat="false" ht="15" hidden="false" customHeight="false" outlineLevel="0" collapsed="false">
      <c r="A101" s="12" t="s">
        <v>723</v>
      </c>
      <c r="B101" s="12" t="s">
        <v>20</v>
      </c>
      <c r="C101" s="12" t="s">
        <v>707</v>
      </c>
      <c r="D101" s="12" t="s">
        <v>721</v>
      </c>
      <c r="E101" s="12" t="s">
        <v>608</v>
      </c>
      <c r="F101" s="12" t="n">
        <v>146</v>
      </c>
      <c r="G101" s="28" t="n">
        <v>24.63</v>
      </c>
      <c r="H101" s="12" t="s">
        <v>552</v>
      </c>
      <c r="I101" s="28" t="n">
        <f aca="false">ROUND(G101/1,2)</f>
        <v>24.63</v>
      </c>
      <c r="J101" s="12" t="n">
        <v>219</v>
      </c>
      <c r="K101" s="12" t="s">
        <v>499</v>
      </c>
      <c r="L101" s="28" t="n">
        <f aca="false">G101</f>
        <v>24.63</v>
      </c>
      <c r="M101" s="13" t="n">
        <v>0.05</v>
      </c>
      <c r="N101" s="12" t="n">
        <v>219</v>
      </c>
      <c r="O101" s="12" t="s">
        <v>499</v>
      </c>
      <c r="P101" s="12" t="s">
        <v>458</v>
      </c>
      <c r="Q101" s="13" t="n">
        <v>0.050013810802909</v>
      </c>
      <c r="R101" s="13" t="n">
        <f aca="false">IF(N101="","",SUMIFS($I$5:$I$210,$N$5:$N$210,N101))</f>
        <v>129.58</v>
      </c>
      <c r="S101" s="26" t="s">
        <v>553</v>
      </c>
      <c r="T101" s="5"/>
    </row>
    <row r="102" customFormat="false" ht="15" hidden="false" customHeight="false" outlineLevel="0" collapsed="false">
      <c r="A102" s="12" t="s">
        <v>724</v>
      </c>
      <c r="B102" s="12" t="s">
        <v>20</v>
      </c>
      <c r="C102" s="12" t="s">
        <v>707</v>
      </c>
      <c r="D102" s="12" t="s">
        <v>721</v>
      </c>
      <c r="E102" s="12" t="s">
        <v>573</v>
      </c>
      <c r="F102" s="12" t="n">
        <v>167</v>
      </c>
      <c r="G102" s="28" t="n">
        <v>27.91</v>
      </c>
      <c r="H102" s="12" t="s">
        <v>552</v>
      </c>
      <c r="I102" s="28" t="n">
        <f aca="false">ROUND(G102/1,2)</f>
        <v>27.91</v>
      </c>
      <c r="J102" s="12" t="n">
        <v>219</v>
      </c>
      <c r="K102" s="12" t="s">
        <v>499</v>
      </c>
      <c r="L102" s="28" t="n">
        <f aca="false">G102</f>
        <v>27.91</v>
      </c>
      <c r="M102" s="13" t="n">
        <v>0.74</v>
      </c>
      <c r="N102" s="12" t="n">
        <v>219</v>
      </c>
      <c r="O102" s="12" t="s">
        <v>499</v>
      </c>
      <c r="P102" s="12" t="s">
        <v>458</v>
      </c>
      <c r="Q102" s="13" t="n">
        <v>0.742178491892649</v>
      </c>
      <c r="R102" s="13" t="n">
        <f aca="false">IF(N102="","",SUMIFS($I$5:$I$210,$N$5:$N$210,N102))</f>
        <v>129.58</v>
      </c>
      <c r="S102" s="26" t="s">
        <v>553</v>
      </c>
      <c r="T102" s="5"/>
    </row>
    <row r="103" customFormat="false" ht="15" hidden="false" customHeight="false" outlineLevel="0" collapsed="false">
      <c r="A103" s="12" t="s">
        <v>725</v>
      </c>
      <c r="B103" s="12" t="s">
        <v>20</v>
      </c>
      <c r="C103" s="12" t="s">
        <v>707</v>
      </c>
      <c r="D103" s="12" t="s">
        <v>721</v>
      </c>
      <c r="E103" s="12" t="s">
        <v>611</v>
      </c>
      <c r="F103" s="12" t="n">
        <v>175</v>
      </c>
      <c r="G103" s="28" t="n">
        <v>29.55</v>
      </c>
      <c r="H103" s="12" t="s">
        <v>552</v>
      </c>
      <c r="I103" s="28" t="n">
        <f aca="false">ROUND(G103/1,2)</f>
        <v>29.55</v>
      </c>
      <c r="J103" s="12" t="n">
        <v>174</v>
      </c>
      <c r="K103" s="12" t="s">
        <v>495</v>
      </c>
      <c r="L103" s="28" t="n">
        <f aca="false">G103</f>
        <v>29.55</v>
      </c>
      <c r="M103" s="13" t="n">
        <v>2.01</v>
      </c>
      <c r="N103" s="12" t="n">
        <v>174</v>
      </c>
      <c r="O103" s="12" t="s">
        <v>495</v>
      </c>
      <c r="P103" s="12" t="s">
        <v>458</v>
      </c>
      <c r="Q103" s="13" t="n">
        <v>2.01333590793801</v>
      </c>
      <c r="R103" s="13" t="n">
        <f aca="false">IF(N103="","",SUMIFS($I$5:$I$210,$N$5:$N$210,N103))</f>
        <v>166.26</v>
      </c>
      <c r="S103" s="26" t="s">
        <v>553</v>
      </c>
      <c r="T103" s="5"/>
    </row>
    <row r="104" customFormat="false" ht="15" hidden="false" customHeight="false" outlineLevel="0" collapsed="false">
      <c r="A104" s="12" t="s">
        <v>726</v>
      </c>
      <c r="B104" s="12" t="s">
        <v>20</v>
      </c>
      <c r="C104" s="12" t="s">
        <v>707</v>
      </c>
      <c r="D104" s="12" t="s">
        <v>721</v>
      </c>
      <c r="E104" s="12" t="s">
        <v>587</v>
      </c>
      <c r="F104" s="12" t="n">
        <v>139</v>
      </c>
      <c r="G104" s="28" t="n">
        <v>24.87</v>
      </c>
      <c r="H104" s="12" t="s">
        <v>552</v>
      </c>
      <c r="I104" s="28" t="n">
        <f aca="false">ROUND(G104/1,2)</f>
        <v>24.87</v>
      </c>
      <c r="J104" s="12" t="n">
        <v>31</v>
      </c>
      <c r="K104" s="12" t="s">
        <v>498</v>
      </c>
      <c r="L104" s="28" t="n">
        <f aca="false">G104</f>
        <v>24.87</v>
      </c>
      <c r="M104" s="13" t="n">
        <v>3.14</v>
      </c>
      <c r="N104" s="12" t="n">
        <v>31</v>
      </c>
      <c r="O104" s="12" t="s">
        <v>498</v>
      </c>
      <c r="P104" s="12" t="s">
        <v>458</v>
      </c>
      <c r="Q104" s="13" t="n">
        <v>3.1404984044968</v>
      </c>
      <c r="R104" s="13" t="n">
        <f aca="false">IF(N104="","",SUMIFS($I$5:$I$210,$N$5:$N$210,N104))</f>
        <v>124.26</v>
      </c>
      <c r="S104" s="26" t="s">
        <v>553</v>
      </c>
      <c r="T104" s="5"/>
    </row>
    <row r="105" customFormat="false" ht="15" hidden="false" customHeight="false" outlineLevel="0" collapsed="false">
      <c r="A105" s="12" t="s">
        <v>727</v>
      </c>
      <c r="B105" s="12" t="s">
        <v>20</v>
      </c>
      <c r="C105" s="12" t="s">
        <v>707</v>
      </c>
      <c r="D105" s="12" t="s">
        <v>721</v>
      </c>
      <c r="E105" s="12" t="s">
        <v>651</v>
      </c>
      <c r="F105" s="12" t="n">
        <v>132</v>
      </c>
      <c r="G105" s="28" t="n">
        <v>22.95</v>
      </c>
      <c r="H105" s="12" t="s">
        <v>552</v>
      </c>
      <c r="I105" s="28" t="n">
        <f aca="false">ROUND(G105/1,2)</f>
        <v>22.95</v>
      </c>
      <c r="J105" s="12" t="n">
        <v>219</v>
      </c>
      <c r="K105" s="12" t="s">
        <v>499</v>
      </c>
      <c r="L105" s="28" t="n">
        <f aca="false">G105</f>
        <v>22.95</v>
      </c>
      <c r="M105" s="13" t="n">
        <v>0.85</v>
      </c>
      <c r="N105" s="12" t="n">
        <v>219</v>
      </c>
      <c r="O105" s="12" t="s">
        <v>499</v>
      </c>
      <c r="P105" s="12" t="s">
        <v>458</v>
      </c>
      <c r="Q105" s="13" t="n">
        <v>0.846019862674358</v>
      </c>
      <c r="R105" s="13" t="n">
        <f aca="false">IF(N105="","",SUMIFS($I$5:$I$210,$N$5:$N$210,N105))</f>
        <v>129.58</v>
      </c>
      <c r="S105" s="26" t="s">
        <v>553</v>
      </c>
      <c r="T105" s="5"/>
    </row>
    <row r="106" customFormat="false" ht="15" hidden="false" customHeight="false" outlineLevel="0" collapsed="false">
      <c r="A106" s="12" t="s">
        <v>728</v>
      </c>
      <c r="B106" s="12" t="s">
        <v>20</v>
      </c>
      <c r="C106" s="12" t="s">
        <v>707</v>
      </c>
      <c r="D106" s="12" t="s">
        <v>721</v>
      </c>
      <c r="E106" s="12" t="s">
        <v>575</v>
      </c>
      <c r="F106" s="12" t="n">
        <v>152</v>
      </c>
      <c r="G106" s="28" t="n">
        <v>26.18</v>
      </c>
      <c r="H106" s="12" t="s">
        <v>552</v>
      </c>
      <c r="I106" s="28" t="n">
        <f aca="false">ROUND(G106/1,2)</f>
        <v>26.18</v>
      </c>
      <c r="J106" s="12" t="n">
        <v>174</v>
      </c>
      <c r="K106" s="12" t="s">
        <v>495</v>
      </c>
      <c r="L106" s="28" t="n">
        <f aca="false">G106</f>
        <v>26.18</v>
      </c>
      <c r="M106" s="13" t="n">
        <v>1.78</v>
      </c>
      <c r="N106" s="12" t="n">
        <v>174</v>
      </c>
      <c r="O106" s="12" t="s">
        <v>495</v>
      </c>
      <c r="P106" s="12" t="s">
        <v>458</v>
      </c>
      <c r="Q106" s="13" t="n">
        <v>1.78439226337979</v>
      </c>
      <c r="R106" s="13" t="n">
        <f aca="false">IF(N106="","",SUMIFS($I$5:$I$210,$N$5:$N$210,N106))</f>
        <v>166.26</v>
      </c>
      <c r="S106" s="26" t="s">
        <v>553</v>
      </c>
      <c r="T106" s="5"/>
    </row>
    <row r="107" customFormat="false" ht="15" hidden="false" customHeight="false" outlineLevel="0" collapsed="false">
      <c r="A107" s="12" t="s">
        <v>729</v>
      </c>
      <c r="B107" s="12" t="s">
        <v>20</v>
      </c>
      <c r="C107" s="12" t="s">
        <v>707</v>
      </c>
      <c r="D107" s="12" t="s">
        <v>730</v>
      </c>
      <c r="E107" s="12" t="s">
        <v>561</v>
      </c>
      <c r="F107" s="12" t="n">
        <v>176</v>
      </c>
      <c r="G107" s="28" t="n">
        <v>32.44</v>
      </c>
      <c r="H107" s="12" t="s">
        <v>552</v>
      </c>
      <c r="I107" s="28" t="n">
        <f aca="false">ROUND(G107/1,2)</f>
        <v>32.44</v>
      </c>
      <c r="J107" s="12" t="n">
        <v>181</v>
      </c>
      <c r="K107" s="12" t="s">
        <v>491</v>
      </c>
      <c r="L107" s="28" t="n">
        <f aca="false">G107</f>
        <v>32.44</v>
      </c>
      <c r="M107" s="13" t="n">
        <v>0.6</v>
      </c>
      <c r="N107" s="12" t="n">
        <v>181</v>
      </c>
      <c r="O107" s="12" t="s">
        <v>491</v>
      </c>
      <c r="P107" s="12" t="s">
        <v>458</v>
      </c>
      <c r="Q107" s="13" t="n">
        <v>0.599427414041124</v>
      </c>
      <c r="R107" s="13" t="n">
        <f aca="false">IF(N107="","",SUMIFS($I$5:$I$210,$N$5:$N$210,N107))</f>
        <v>144.3</v>
      </c>
      <c r="S107" s="26" t="s">
        <v>553</v>
      </c>
      <c r="T107" s="5"/>
    </row>
    <row r="108" customFormat="false" ht="15" hidden="false" customHeight="false" outlineLevel="0" collapsed="false">
      <c r="A108" s="12" t="s">
        <v>731</v>
      </c>
      <c r="B108" s="12" t="s">
        <v>20</v>
      </c>
      <c r="C108" s="12" t="s">
        <v>732</v>
      </c>
      <c r="D108" s="12" t="s">
        <v>733</v>
      </c>
      <c r="E108" s="12" t="s">
        <v>558</v>
      </c>
      <c r="F108" s="12" t="n">
        <v>86</v>
      </c>
      <c r="G108" s="28" t="n">
        <v>466.84</v>
      </c>
      <c r="H108" s="12" t="s">
        <v>632</v>
      </c>
      <c r="I108" s="28" t="n">
        <f aca="false">ROUND(G108/3,2)</f>
        <v>155.61</v>
      </c>
      <c r="J108" s="12" t="n">
        <v>78</v>
      </c>
      <c r="K108" s="12" t="s">
        <v>486</v>
      </c>
      <c r="L108" s="28" t="n">
        <f aca="false">G108</f>
        <v>466.84</v>
      </c>
      <c r="M108" s="13" t="n">
        <v>8.6</v>
      </c>
      <c r="N108" s="12" t="n">
        <v>78</v>
      </c>
      <c r="O108" s="12" t="s">
        <v>486</v>
      </c>
      <c r="P108" s="12" t="s">
        <v>458</v>
      </c>
      <c r="Q108" s="13" t="n">
        <v>8.59857083421915</v>
      </c>
      <c r="R108" s="13" t="n">
        <f aca="false">IF(N108="","",SUMIFS($I$5:$I$210,$N$5:$N$210,N108))</f>
        <v>204.54</v>
      </c>
      <c r="S108" s="26" t="s">
        <v>553</v>
      </c>
      <c r="T108" s="5" t="s">
        <v>621</v>
      </c>
    </row>
    <row r="109" customFormat="false" ht="15" hidden="false" customHeight="false" outlineLevel="0" collapsed="false">
      <c r="A109" s="12" t="s">
        <v>731</v>
      </c>
      <c r="B109" s="12" t="s">
        <v>20</v>
      </c>
      <c r="C109" s="12" t="s">
        <v>732</v>
      </c>
      <c r="D109" s="12" t="s">
        <v>733</v>
      </c>
      <c r="E109" s="12" t="s">
        <v>558</v>
      </c>
      <c r="F109" s="12" t="n">
        <v>86</v>
      </c>
      <c r="G109" s="28" t="n">
        <v>466.84</v>
      </c>
      <c r="H109" s="12" t="s">
        <v>633</v>
      </c>
      <c r="I109" s="28" t="n">
        <f aca="false">ROUND(G109/3,2)</f>
        <v>155.61</v>
      </c>
      <c r="J109" s="12"/>
      <c r="K109" s="12"/>
      <c r="L109" s="28"/>
      <c r="M109" s="13"/>
      <c r="N109" s="12" t="n">
        <v>116</v>
      </c>
      <c r="O109" s="12" t="s">
        <v>487</v>
      </c>
      <c r="P109" s="12" t="s">
        <v>478</v>
      </c>
      <c r="Q109" s="13" t="n">
        <v>6.46265256925051</v>
      </c>
      <c r="R109" s="13" t="n">
        <f aca="false">IF(N109="","",SUMIFS($I$5:$I$210,$N$5:$N$210,N109))</f>
        <v>155.61</v>
      </c>
      <c r="S109" s="29" t="s">
        <v>623</v>
      </c>
      <c r="T109" s="5" t="s">
        <v>715</v>
      </c>
    </row>
    <row r="110" customFormat="false" ht="15" hidden="false" customHeight="false" outlineLevel="0" collapsed="false">
      <c r="A110" s="12" t="s">
        <v>731</v>
      </c>
      <c r="B110" s="12" t="s">
        <v>20</v>
      </c>
      <c r="C110" s="12" t="s">
        <v>732</v>
      </c>
      <c r="D110" s="12" t="s">
        <v>733</v>
      </c>
      <c r="E110" s="12" t="s">
        <v>558</v>
      </c>
      <c r="F110" s="12" t="n">
        <v>86</v>
      </c>
      <c r="G110" s="28" t="n">
        <v>466.84</v>
      </c>
      <c r="H110" s="12" t="s">
        <v>634</v>
      </c>
      <c r="I110" s="28" t="n">
        <f aca="false">ROUND(G110/3,2)</f>
        <v>155.61</v>
      </c>
      <c r="J110" s="12"/>
      <c r="K110" s="12"/>
      <c r="L110" s="28"/>
      <c r="M110" s="13"/>
      <c r="N110" s="12" t="n">
        <v>130</v>
      </c>
      <c r="O110" s="12" t="s">
        <v>488</v>
      </c>
      <c r="P110" s="12" t="s">
        <v>458</v>
      </c>
      <c r="Q110" s="13" t="n">
        <v>8.20411056542957</v>
      </c>
      <c r="R110" s="13" t="n">
        <f aca="false">IF(N110="","",SUMIFS($I$5:$I$210,$N$5:$N$210,N110))</f>
        <v>216.04</v>
      </c>
      <c r="S110" s="29" t="s">
        <v>623</v>
      </c>
      <c r="T110" s="5" t="s">
        <v>734</v>
      </c>
    </row>
    <row r="111" customFormat="false" ht="15" hidden="false" customHeight="false" outlineLevel="0" collapsed="false">
      <c r="A111" s="12" t="s">
        <v>735</v>
      </c>
      <c r="B111" s="12" t="s">
        <v>20</v>
      </c>
      <c r="C111" s="12" t="s">
        <v>732</v>
      </c>
      <c r="D111" s="12" t="s">
        <v>736</v>
      </c>
      <c r="E111" s="12" t="s">
        <v>551</v>
      </c>
      <c r="F111" s="12" t="n">
        <v>134</v>
      </c>
      <c r="G111" s="28" t="n">
        <v>30.69</v>
      </c>
      <c r="H111" s="12" t="s">
        <v>552</v>
      </c>
      <c r="I111" s="28" t="n">
        <f aca="false">ROUND(G111/1,2)</f>
        <v>30.69</v>
      </c>
      <c r="J111" s="12" t="n">
        <v>179</v>
      </c>
      <c r="K111" s="12" t="s">
        <v>485</v>
      </c>
      <c r="L111" s="28" t="n">
        <f aca="false">G111</f>
        <v>30.69</v>
      </c>
      <c r="M111" s="13" t="n">
        <v>2.85</v>
      </c>
      <c r="N111" s="12" t="n">
        <v>179</v>
      </c>
      <c r="O111" s="12" t="s">
        <v>485</v>
      </c>
      <c r="P111" s="12" t="s">
        <v>458</v>
      </c>
      <c r="Q111" s="13" t="n">
        <v>2.84965440244278</v>
      </c>
      <c r="R111" s="13" t="n">
        <f aca="false">IF(N111="","",SUMIFS($I$5:$I$210,$N$5:$N$210,N111))</f>
        <v>151.94</v>
      </c>
      <c r="S111" s="26" t="s">
        <v>553</v>
      </c>
      <c r="T111" s="5"/>
    </row>
    <row r="112" customFormat="false" ht="15" hidden="false" customHeight="false" outlineLevel="0" collapsed="false">
      <c r="A112" s="12" t="s">
        <v>737</v>
      </c>
      <c r="B112" s="12" t="s">
        <v>20</v>
      </c>
      <c r="C112" s="12" t="s">
        <v>732</v>
      </c>
      <c r="D112" s="12" t="s">
        <v>736</v>
      </c>
      <c r="E112" s="12" t="s">
        <v>561</v>
      </c>
      <c r="F112" s="12" t="n">
        <v>113</v>
      </c>
      <c r="G112" s="28" t="n">
        <v>28.35</v>
      </c>
      <c r="H112" s="12" t="s">
        <v>552</v>
      </c>
      <c r="I112" s="28" t="n">
        <f aca="false">ROUND(G112/1,2)</f>
        <v>28.35</v>
      </c>
      <c r="J112" s="12" t="n">
        <v>190</v>
      </c>
      <c r="K112" s="12" t="s">
        <v>500</v>
      </c>
      <c r="L112" s="28" t="n">
        <f aca="false">G112</f>
        <v>28.35</v>
      </c>
      <c r="M112" s="13" t="n">
        <v>4.49</v>
      </c>
      <c r="N112" s="12" t="n">
        <v>190</v>
      </c>
      <c r="O112" s="12" t="s">
        <v>500</v>
      </c>
      <c r="P112" s="12" t="s">
        <v>458</v>
      </c>
      <c r="Q112" s="13" t="n">
        <v>4.4902350082196</v>
      </c>
      <c r="R112" s="13" t="n">
        <f aca="false">IF(N112="","",SUMIFS($I$5:$I$210,$N$5:$N$210,N112))</f>
        <v>143.15</v>
      </c>
      <c r="S112" s="26" t="s">
        <v>553</v>
      </c>
      <c r="T112" s="5"/>
    </row>
    <row r="113" customFormat="false" ht="15" hidden="false" customHeight="false" outlineLevel="0" collapsed="false">
      <c r="A113" s="12" t="s">
        <v>738</v>
      </c>
      <c r="B113" s="12" t="s">
        <v>20</v>
      </c>
      <c r="C113" s="12" t="s">
        <v>139</v>
      </c>
      <c r="D113" s="12" t="s">
        <v>739</v>
      </c>
      <c r="E113" s="12" t="s">
        <v>551</v>
      </c>
      <c r="F113" s="12" t="n">
        <v>147</v>
      </c>
      <c r="G113" s="28" t="n">
        <v>115.54</v>
      </c>
      <c r="H113" s="12" t="s">
        <v>552</v>
      </c>
      <c r="I113" s="28" t="n">
        <f aca="false">ROUND(G113/1,2)</f>
        <v>115.54</v>
      </c>
      <c r="J113" s="12" t="n">
        <v>238</v>
      </c>
      <c r="K113" s="12" t="s">
        <v>504</v>
      </c>
      <c r="L113" s="28" t="n">
        <f aca="false">G113</f>
        <v>115.54</v>
      </c>
      <c r="M113" s="13" t="n">
        <v>6.47</v>
      </c>
      <c r="N113" s="12" t="n">
        <v>238</v>
      </c>
      <c r="O113" s="12" t="s">
        <v>504</v>
      </c>
      <c r="P113" s="12" t="s">
        <v>458</v>
      </c>
      <c r="Q113" s="13" t="n">
        <v>6.47246320976226</v>
      </c>
      <c r="R113" s="13" t="n">
        <f aca="false">IF(N113="","",SUMIFS($I$5:$I$210,$N$5:$N$210,N113))</f>
        <v>209.45</v>
      </c>
      <c r="S113" s="26" t="s">
        <v>553</v>
      </c>
      <c r="T113" s="5"/>
    </row>
    <row r="114" customFormat="false" ht="15" hidden="false" customHeight="false" outlineLevel="0" collapsed="false">
      <c r="A114" s="12" t="s">
        <v>740</v>
      </c>
      <c r="B114" s="12" t="s">
        <v>20</v>
      </c>
      <c r="C114" s="12" t="s">
        <v>139</v>
      </c>
      <c r="D114" s="12" t="s">
        <v>739</v>
      </c>
      <c r="E114" s="12" t="s">
        <v>561</v>
      </c>
      <c r="F114" s="12" t="n">
        <v>155</v>
      </c>
      <c r="G114" s="28" t="n">
        <v>114.8</v>
      </c>
      <c r="H114" s="12" t="s">
        <v>552</v>
      </c>
      <c r="I114" s="28" t="n">
        <f aca="false">ROUND(G114/1,2)</f>
        <v>114.8</v>
      </c>
      <c r="J114" s="12" t="n">
        <v>190</v>
      </c>
      <c r="K114" s="12" t="s">
        <v>500</v>
      </c>
      <c r="L114" s="28" t="n">
        <f aca="false">G114</f>
        <v>114.8</v>
      </c>
      <c r="M114" s="13" t="n">
        <v>4.9</v>
      </c>
      <c r="N114" s="12" t="n">
        <v>190</v>
      </c>
      <c r="O114" s="12" t="s">
        <v>500</v>
      </c>
      <c r="P114" s="12" t="s">
        <v>458</v>
      </c>
      <c r="Q114" s="13" t="n">
        <v>4.89925735309053</v>
      </c>
      <c r="R114" s="13" t="n">
        <f aca="false">IF(N114="","",SUMIFS($I$5:$I$210,$N$5:$N$210,N114))</f>
        <v>143.15</v>
      </c>
      <c r="S114" s="26" t="s">
        <v>553</v>
      </c>
      <c r="T114" s="5"/>
    </row>
    <row r="115" customFormat="false" ht="23.85" hidden="false" customHeight="false" outlineLevel="0" collapsed="false">
      <c r="A115" s="12" t="s">
        <v>741</v>
      </c>
      <c r="B115" s="12" t="s">
        <v>20</v>
      </c>
      <c r="C115" s="12" t="s">
        <v>139</v>
      </c>
      <c r="D115" s="12" t="s">
        <v>739</v>
      </c>
      <c r="E115" s="12" t="s">
        <v>608</v>
      </c>
      <c r="F115" s="12" t="n">
        <v>174</v>
      </c>
      <c r="G115" s="28" t="n">
        <v>117.05</v>
      </c>
      <c r="H115" s="12" t="s">
        <v>552</v>
      </c>
      <c r="I115" s="28" t="n">
        <f aca="false">ROUND(G115/1,2)</f>
        <v>117.05</v>
      </c>
      <c r="J115" s="12" t="n">
        <v>229</v>
      </c>
      <c r="K115" s="12" t="s">
        <v>510</v>
      </c>
      <c r="L115" s="28" t="n">
        <f aca="false">G115</f>
        <v>117.05</v>
      </c>
      <c r="M115" s="13" t="n">
        <v>4.51</v>
      </c>
      <c r="N115" s="12" t="n">
        <v>291</v>
      </c>
      <c r="O115" s="12" t="s">
        <v>166</v>
      </c>
      <c r="P115" s="12" t="s">
        <v>472</v>
      </c>
      <c r="Q115" s="13" t="n">
        <v>27.0296733789176</v>
      </c>
      <c r="R115" s="13" t="n">
        <f aca="false">IF(N115="","",SUMIFS($I$5:$I$210,$N$5:$N$210,N115))</f>
        <v>117.05</v>
      </c>
      <c r="S115" s="30" t="s">
        <v>677</v>
      </c>
      <c r="T115" s="5" t="s">
        <v>624</v>
      </c>
    </row>
    <row r="116" customFormat="false" ht="23.85" hidden="false" customHeight="false" outlineLevel="0" collapsed="false">
      <c r="A116" s="12" t="s">
        <v>742</v>
      </c>
      <c r="B116" s="12" t="s">
        <v>20</v>
      </c>
      <c r="C116" s="12" t="s">
        <v>139</v>
      </c>
      <c r="D116" s="12" t="s">
        <v>739</v>
      </c>
      <c r="E116" s="12" t="s">
        <v>573</v>
      </c>
      <c r="F116" s="12" t="n">
        <v>143</v>
      </c>
      <c r="G116" s="28" t="n">
        <v>111.18</v>
      </c>
      <c r="H116" s="12" t="s">
        <v>552</v>
      </c>
      <c r="I116" s="28" t="n">
        <f aca="false">ROUND(G116/1,2)</f>
        <v>111.18</v>
      </c>
      <c r="J116" s="12" t="n">
        <v>237</v>
      </c>
      <c r="K116" s="12" t="s">
        <v>503</v>
      </c>
      <c r="L116" s="28" t="n">
        <f aca="false">G116</f>
        <v>111.18</v>
      </c>
      <c r="M116" s="13" t="n">
        <v>3.31</v>
      </c>
      <c r="N116" s="12" t="n">
        <v>262</v>
      </c>
      <c r="O116" s="12" t="s">
        <v>187</v>
      </c>
      <c r="P116" s="12" t="s">
        <v>472</v>
      </c>
      <c r="Q116" s="13" t="n">
        <v>34.8263643744536</v>
      </c>
      <c r="R116" s="13" t="n">
        <f aca="false">IF(N116="","",SUMIFS($I$5:$I$210,$N$5:$N$210,N116))</f>
        <v>111.18</v>
      </c>
      <c r="S116" s="30" t="s">
        <v>677</v>
      </c>
      <c r="T116" s="5" t="s">
        <v>624</v>
      </c>
    </row>
    <row r="117" customFormat="false" ht="15" hidden="false" customHeight="false" outlineLevel="0" collapsed="false">
      <c r="A117" s="12" t="s">
        <v>743</v>
      </c>
      <c r="B117" s="12" t="s">
        <v>20</v>
      </c>
      <c r="C117" s="12" t="s">
        <v>139</v>
      </c>
      <c r="D117" s="12" t="s">
        <v>739</v>
      </c>
      <c r="E117" s="12" t="s">
        <v>611</v>
      </c>
      <c r="F117" s="12" t="n">
        <v>152</v>
      </c>
      <c r="G117" s="28" t="n">
        <v>113.07</v>
      </c>
      <c r="H117" s="12" t="s">
        <v>552</v>
      </c>
      <c r="I117" s="28" t="n">
        <f aca="false">ROUND(G117/1,2)</f>
        <v>113.07</v>
      </c>
      <c r="J117" s="12" t="n">
        <v>229</v>
      </c>
      <c r="K117" s="12" t="s">
        <v>510</v>
      </c>
      <c r="L117" s="28" t="n">
        <f aca="false">G117</f>
        <v>113.07</v>
      </c>
      <c r="M117" s="13" t="n">
        <v>3.81</v>
      </c>
      <c r="N117" s="12" t="n">
        <v>229</v>
      </c>
      <c r="O117" s="12" t="s">
        <v>510</v>
      </c>
      <c r="P117" s="12" t="s">
        <v>458</v>
      </c>
      <c r="Q117" s="13" t="n">
        <v>3.81328221192659</v>
      </c>
      <c r="R117" s="13" t="n">
        <f aca="false">IF(N117="","",SUMIFS($I$5:$I$210,$N$5:$N$210,N117))</f>
        <v>113.07</v>
      </c>
      <c r="S117" s="26" t="s">
        <v>553</v>
      </c>
      <c r="T117" s="5"/>
    </row>
    <row r="118" customFormat="false" ht="15" hidden="false" customHeight="false" outlineLevel="0" collapsed="false">
      <c r="A118" s="12" t="s">
        <v>744</v>
      </c>
      <c r="B118" s="12" t="s">
        <v>20</v>
      </c>
      <c r="C118" s="12" t="s">
        <v>139</v>
      </c>
      <c r="D118" s="12" t="s">
        <v>739</v>
      </c>
      <c r="E118" s="12" t="s">
        <v>587</v>
      </c>
      <c r="F118" s="12" t="n">
        <v>183</v>
      </c>
      <c r="G118" s="28" t="n">
        <v>122.52</v>
      </c>
      <c r="H118" s="12" t="s">
        <v>552</v>
      </c>
      <c r="I118" s="28" t="n">
        <f aca="false">ROUND(G118/1,2)</f>
        <v>122.52</v>
      </c>
      <c r="J118" s="12" t="n">
        <v>152</v>
      </c>
      <c r="K118" s="12" t="s">
        <v>509</v>
      </c>
      <c r="L118" s="28" t="n">
        <f aca="false">G118</f>
        <v>122.52</v>
      </c>
      <c r="M118" s="13" t="n">
        <v>6.86</v>
      </c>
      <c r="N118" s="12" t="n">
        <v>152</v>
      </c>
      <c r="O118" s="12" t="s">
        <v>509</v>
      </c>
      <c r="P118" s="12" t="s">
        <v>458</v>
      </c>
      <c r="Q118" s="13" t="n">
        <v>6.85513515092017</v>
      </c>
      <c r="R118" s="13" t="n">
        <f aca="false">IF(N118="","",SUMIFS($I$5:$I$210,$N$5:$N$210,N118))</f>
        <v>122.52</v>
      </c>
      <c r="S118" s="26" t="s">
        <v>553</v>
      </c>
      <c r="T118" s="5"/>
    </row>
    <row r="119" customFormat="false" ht="23.85" hidden="false" customHeight="false" outlineLevel="0" collapsed="false">
      <c r="A119" s="12" t="s">
        <v>745</v>
      </c>
      <c r="B119" s="12" t="s">
        <v>20</v>
      </c>
      <c r="C119" s="12" t="s">
        <v>139</v>
      </c>
      <c r="D119" s="12" t="s">
        <v>739</v>
      </c>
      <c r="E119" s="12" t="s">
        <v>651</v>
      </c>
      <c r="F119" s="12" t="n">
        <v>164</v>
      </c>
      <c r="G119" s="28" t="n">
        <v>118.77</v>
      </c>
      <c r="H119" s="12" t="s">
        <v>552</v>
      </c>
      <c r="I119" s="28" t="n">
        <f aca="false">ROUND(G119/1,2)</f>
        <v>118.77</v>
      </c>
      <c r="J119" s="12" t="n">
        <v>152</v>
      </c>
      <c r="K119" s="12" t="s">
        <v>509</v>
      </c>
      <c r="L119" s="28" t="n">
        <f aca="false">G119</f>
        <v>118.77</v>
      </c>
      <c r="M119" s="13" t="n">
        <v>7.13</v>
      </c>
      <c r="N119" s="12" t="n">
        <v>138</v>
      </c>
      <c r="O119" s="12" t="s">
        <v>160</v>
      </c>
      <c r="P119" s="12" t="s">
        <v>472</v>
      </c>
      <c r="Q119" s="13" t="n">
        <v>39.6601107856914</v>
      </c>
      <c r="R119" s="13" t="n">
        <f aca="false">IF(N119="","",SUMIFS($I$5:$I$210,$N$5:$N$210,N119))</f>
        <v>118.77</v>
      </c>
      <c r="S119" s="30" t="s">
        <v>628</v>
      </c>
      <c r="T119" s="5" t="s">
        <v>624</v>
      </c>
    </row>
    <row r="120" customFormat="false" ht="23.85" hidden="false" customHeight="false" outlineLevel="0" collapsed="false">
      <c r="A120" s="12" t="s">
        <v>746</v>
      </c>
      <c r="B120" s="12" t="s">
        <v>20</v>
      </c>
      <c r="C120" s="12" t="s">
        <v>139</v>
      </c>
      <c r="D120" s="12" t="s">
        <v>739</v>
      </c>
      <c r="E120" s="12" t="s">
        <v>575</v>
      </c>
      <c r="F120" s="12" t="n">
        <v>137</v>
      </c>
      <c r="G120" s="28" t="n">
        <v>109.99</v>
      </c>
      <c r="H120" s="12" t="s">
        <v>552</v>
      </c>
      <c r="I120" s="28" t="n">
        <f aca="false">ROUND(G120/1,2)</f>
        <v>109.99</v>
      </c>
      <c r="J120" s="12" t="n">
        <v>185</v>
      </c>
      <c r="K120" s="12" t="s">
        <v>502</v>
      </c>
      <c r="L120" s="28" t="n">
        <f aca="false">G120</f>
        <v>109.99</v>
      </c>
      <c r="M120" s="13" t="n">
        <v>3.03</v>
      </c>
      <c r="N120" s="12" t="n">
        <v>324</v>
      </c>
      <c r="O120" s="12" t="s">
        <v>190</v>
      </c>
      <c r="P120" s="12" t="s">
        <v>472</v>
      </c>
      <c r="Q120" s="13" t="n">
        <v>11.1402752207312</v>
      </c>
      <c r="R120" s="13" t="n">
        <f aca="false">IF(N120="","",SUMIFS($I$5:$I$210,$N$5:$N$210,N120))</f>
        <v>109.99</v>
      </c>
      <c r="S120" s="30" t="s">
        <v>677</v>
      </c>
      <c r="T120" s="5" t="s">
        <v>624</v>
      </c>
    </row>
    <row r="121" customFormat="false" ht="15" hidden="false" customHeight="false" outlineLevel="0" collapsed="false">
      <c r="A121" s="12" t="s">
        <v>747</v>
      </c>
      <c r="B121" s="12" t="s">
        <v>20</v>
      </c>
      <c r="C121" s="12" t="s">
        <v>139</v>
      </c>
      <c r="D121" s="12" t="s">
        <v>739</v>
      </c>
      <c r="E121" s="12" t="s">
        <v>577</v>
      </c>
      <c r="F121" s="12" t="n">
        <v>184</v>
      </c>
      <c r="G121" s="28" t="n">
        <v>115.39</v>
      </c>
      <c r="H121" s="12" t="s">
        <v>552</v>
      </c>
      <c r="I121" s="28" t="n">
        <f aca="false">ROUND(G121/1,2)</f>
        <v>115.39</v>
      </c>
      <c r="J121" s="12" t="n">
        <v>240</v>
      </c>
      <c r="K121" s="12" t="s">
        <v>505</v>
      </c>
      <c r="L121" s="28" t="n">
        <f aca="false">G121</f>
        <v>115.39</v>
      </c>
      <c r="M121" s="13" t="n">
        <v>1.66</v>
      </c>
      <c r="N121" s="12" t="n">
        <v>240</v>
      </c>
      <c r="O121" s="12" t="s">
        <v>505</v>
      </c>
      <c r="P121" s="12" t="s">
        <v>458</v>
      </c>
      <c r="Q121" s="13" t="n">
        <v>1.65683518789942</v>
      </c>
      <c r="R121" s="13" t="n">
        <f aca="false">IF(N121="","",SUMIFS($I$5:$I$210,$N$5:$N$210,N121))</f>
        <v>217.56</v>
      </c>
      <c r="S121" s="26" t="s">
        <v>553</v>
      </c>
      <c r="T121" s="5"/>
    </row>
    <row r="122" customFormat="false" ht="15" hidden="false" customHeight="false" outlineLevel="0" collapsed="false">
      <c r="A122" s="12" t="s">
        <v>748</v>
      </c>
      <c r="B122" s="12" t="s">
        <v>20</v>
      </c>
      <c r="C122" s="12" t="s">
        <v>139</v>
      </c>
      <c r="D122" s="12" t="s">
        <v>739</v>
      </c>
      <c r="E122" s="12" t="s">
        <v>749</v>
      </c>
      <c r="F122" s="12" t="n">
        <v>168</v>
      </c>
      <c r="G122" s="28" t="n">
        <v>112.94</v>
      </c>
      <c r="H122" s="12" t="s">
        <v>552</v>
      </c>
      <c r="I122" s="28" t="n">
        <f aca="false">ROUND(G122/1,2)</f>
        <v>112.94</v>
      </c>
      <c r="J122" s="12" t="n">
        <v>237</v>
      </c>
      <c r="K122" s="12" t="s">
        <v>503</v>
      </c>
      <c r="L122" s="28" t="n">
        <f aca="false">G122</f>
        <v>112.94</v>
      </c>
      <c r="M122" s="13" t="n">
        <v>1.8</v>
      </c>
      <c r="N122" s="12" t="n">
        <v>237</v>
      </c>
      <c r="O122" s="12" t="s">
        <v>503</v>
      </c>
      <c r="P122" s="12" t="s">
        <v>458</v>
      </c>
      <c r="Q122" s="13" t="n">
        <v>1.80432531780008</v>
      </c>
      <c r="R122" s="13" t="n">
        <f aca="false">IF(N122="","",SUMIFS($I$5:$I$210,$N$5:$N$210,N122))</f>
        <v>112.94</v>
      </c>
      <c r="S122" s="26" t="s">
        <v>553</v>
      </c>
      <c r="T122" s="5"/>
    </row>
    <row r="123" customFormat="false" ht="15" hidden="false" customHeight="false" outlineLevel="0" collapsed="false">
      <c r="A123" s="12" t="s">
        <v>750</v>
      </c>
      <c r="B123" s="12" t="s">
        <v>20</v>
      </c>
      <c r="C123" s="12" t="s">
        <v>139</v>
      </c>
      <c r="D123" s="12" t="s">
        <v>751</v>
      </c>
      <c r="E123" s="12" t="s">
        <v>551</v>
      </c>
      <c r="F123" s="12" t="n">
        <v>166</v>
      </c>
      <c r="G123" s="28" t="n">
        <v>48.91</v>
      </c>
      <c r="H123" s="12" t="s">
        <v>552</v>
      </c>
      <c r="I123" s="28" t="n">
        <f aca="false">ROUND(G123/1,2)</f>
        <v>48.91</v>
      </c>
      <c r="J123" s="12" t="n">
        <v>181</v>
      </c>
      <c r="K123" s="12" t="s">
        <v>491</v>
      </c>
      <c r="L123" s="28" t="n">
        <f aca="false">G123</f>
        <v>48.91</v>
      </c>
      <c r="M123" s="13" t="n">
        <v>3.43</v>
      </c>
      <c r="N123" s="12" t="n">
        <v>181</v>
      </c>
      <c r="O123" s="12" t="s">
        <v>491</v>
      </c>
      <c r="P123" s="12" t="s">
        <v>458</v>
      </c>
      <c r="Q123" s="13" t="n">
        <v>3.43051467733652</v>
      </c>
      <c r="R123" s="13" t="n">
        <f aca="false">IF(N123="","",SUMIFS($I$5:$I$210,$N$5:$N$210,N123))</f>
        <v>144.3</v>
      </c>
      <c r="S123" s="26" t="s">
        <v>553</v>
      </c>
      <c r="T123" s="5"/>
    </row>
    <row r="124" customFormat="false" ht="15" hidden="false" customHeight="false" outlineLevel="0" collapsed="false">
      <c r="A124" s="12" t="s">
        <v>752</v>
      </c>
      <c r="B124" s="12" t="s">
        <v>20</v>
      </c>
      <c r="C124" s="12" t="s">
        <v>139</v>
      </c>
      <c r="D124" s="12" t="s">
        <v>751</v>
      </c>
      <c r="E124" s="12" t="s">
        <v>561</v>
      </c>
      <c r="F124" s="12" t="n">
        <v>157</v>
      </c>
      <c r="G124" s="28" t="n">
        <v>48.31</v>
      </c>
      <c r="H124" s="12" t="s">
        <v>552</v>
      </c>
      <c r="I124" s="28" t="n">
        <f aca="false">ROUND(G124/1,2)</f>
        <v>48.31</v>
      </c>
      <c r="J124" s="12" t="n">
        <v>82</v>
      </c>
      <c r="K124" s="12" t="s">
        <v>492</v>
      </c>
      <c r="L124" s="28" t="n">
        <f aca="false">G124</f>
        <v>48.31</v>
      </c>
      <c r="M124" s="13" t="n">
        <v>4.58</v>
      </c>
      <c r="N124" s="12" t="n">
        <v>82</v>
      </c>
      <c r="O124" s="12" t="s">
        <v>492</v>
      </c>
      <c r="P124" s="12" t="s">
        <v>458</v>
      </c>
      <c r="Q124" s="13" t="n">
        <v>4.58299482395757</v>
      </c>
      <c r="R124" s="13" t="n">
        <f aca="false">IF(N124="","",SUMIFS($I$5:$I$210,$N$5:$N$210,N124))</f>
        <v>185.32</v>
      </c>
      <c r="S124" s="26" t="s">
        <v>553</v>
      </c>
      <c r="T124" s="5"/>
    </row>
    <row r="125" customFormat="false" ht="15" hidden="false" customHeight="false" outlineLevel="0" collapsed="false">
      <c r="A125" s="12" t="s">
        <v>753</v>
      </c>
      <c r="B125" s="12" t="s">
        <v>20</v>
      </c>
      <c r="C125" s="12" t="s">
        <v>139</v>
      </c>
      <c r="D125" s="12" t="s">
        <v>751</v>
      </c>
      <c r="E125" s="12" t="s">
        <v>608</v>
      </c>
      <c r="F125" s="12" t="n">
        <v>139</v>
      </c>
      <c r="G125" s="28" t="n">
        <v>45.67</v>
      </c>
      <c r="H125" s="12" t="s">
        <v>552</v>
      </c>
      <c r="I125" s="28" t="n">
        <f aca="false">ROUND(G125/1,2)</f>
        <v>45.67</v>
      </c>
      <c r="J125" s="12" t="n">
        <v>82</v>
      </c>
      <c r="K125" s="12" t="s">
        <v>492</v>
      </c>
      <c r="L125" s="28" t="n">
        <f aca="false">G125</f>
        <v>45.67</v>
      </c>
      <c r="M125" s="13" t="n">
        <v>4.47</v>
      </c>
      <c r="N125" s="12" t="n">
        <v>82</v>
      </c>
      <c r="O125" s="12" t="s">
        <v>492</v>
      </c>
      <c r="P125" s="12" t="s">
        <v>458</v>
      </c>
      <c r="Q125" s="13" t="n">
        <v>4.46712876907655</v>
      </c>
      <c r="R125" s="13" t="n">
        <f aca="false">IF(N125="","",SUMIFS($I$5:$I$210,$N$5:$N$210,N125))</f>
        <v>185.32</v>
      </c>
      <c r="S125" s="26" t="s">
        <v>553</v>
      </c>
      <c r="T125" s="5"/>
    </row>
    <row r="126" customFormat="false" ht="23.85" hidden="false" customHeight="false" outlineLevel="0" collapsed="false">
      <c r="A126" s="12" t="s">
        <v>754</v>
      </c>
      <c r="B126" s="12" t="s">
        <v>20</v>
      </c>
      <c r="C126" s="12" t="s">
        <v>139</v>
      </c>
      <c r="D126" s="12" t="s">
        <v>751</v>
      </c>
      <c r="E126" s="12" t="s">
        <v>573</v>
      </c>
      <c r="F126" s="12" t="n">
        <v>130</v>
      </c>
      <c r="G126" s="28" t="n">
        <v>42.57</v>
      </c>
      <c r="H126" s="12" t="s">
        <v>552</v>
      </c>
      <c r="I126" s="28" t="n">
        <f aca="false">ROUND(G126/1,2)</f>
        <v>42.57</v>
      </c>
      <c r="J126" s="12" t="n">
        <v>112</v>
      </c>
      <c r="K126" s="12" t="s">
        <v>755</v>
      </c>
      <c r="L126" s="28" t="n">
        <f aca="false">G126</f>
        <v>42.57</v>
      </c>
      <c r="M126" s="13" t="n">
        <v>1.44</v>
      </c>
      <c r="N126" s="12" t="n">
        <v>175</v>
      </c>
      <c r="O126" s="12" t="s">
        <v>489</v>
      </c>
      <c r="P126" s="12" t="s">
        <v>490</v>
      </c>
      <c r="Q126" s="13" t="n">
        <v>2.22000076706845</v>
      </c>
      <c r="R126" s="13" t="n">
        <f aca="false">IF(N126="","",SUMIFS($I$5:$I$210,$N$5:$N$210,N126))</f>
        <v>136.8</v>
      </c>
      <c r="S126" s="31" t="s">
        <v>644</v>
      </c>
      <c r="T126" s="5" t="s">
        <v>756</v>
      </c>
    </row>
    <row r="127" customFormat="false" ht="23.85" hidden="false" customHeight="false" outlineLevel="0" collapsed="false">
      <c r="A127" s="12" t="s">
        <v>757</v>
      </c>
      <c r="B127" s="12" t="s">
        <v>20</v>
      </c>
      <c r="C127" s="12" t="s">
        <v>139</v>
      </c>
      <c r="D127" s="12" t="s">
        <v>751</v>
      </c>
      <c r="E127" s="12" t="s">
        <v>611</v>
      </c>
      <c r="F127" s="12" t="n">
        <v>183</v>
      </c>
      <c r="G127" s="28" t="n">
        <v>50.47</v>
      </c>
      <c r="H127" s="12" t="s">
        <v>552</v>
      </c>
      <c r="I127" s="28" t="n">
        <f aca="false">ROUND(G127/1,2)</f>
        <v>50.47</v>
      </c>
      <c r="J127" s="12" t="n">
        <v>112</v>
      </c>
      <c r="K127" s="12" t="s">
        <v>755</v>
      </c>
      <c r="L127" s="28" t="n">
        <f aca="false">G127</f>
        <v>50.47</v>
      </c>
      <c r="M127" s="13" t="n">
        <v>1.98</v>
      </c>
      <c r="N127" s="12" t="n">
        <v>175</v>
      </c>
      <c r="O127" s="12" t="s">
        <v>489</v>
      </c>
      <c r="P127" s="12" t="s">
        <v>490</v>
      </c>
      <c r="Q127" s="13" t="n">
        <v>2.6548085723915</v>
      </c>
      <c r="R127" s="13" t="n">
        <f aca="false">IF(N127="","",SUMIFS($I$5:$I$210,$N$5:$N$210,N127))</f>
        <v>136.8</v>
      </c>
      <c r="S127" s="31" t="s">
        <v>644</v>
      </c>
      <c r="T127" s="5" t="s">
        <v>758</v>
      </c>
    </row>
    <row r="128" customFormat="false" ht="15" hidden="false" customHeight="false" outlineLevel="0" collapsed="false">
      <c r="A128" s="12" t="s">
        <v>759</v>
      </c>
      <c r="B128" s="12" t="s">
        <v>20</v>
      </c>
      <c r="C128" s="12" t="s">
        <v>139</v>
      </c>
      <c r="D128" s="12" t="s">
        <v>751</v>
      </c>
      <c r="E128" s="12" t="s">
        <v>587</v>
      </c>
      <c r="F128" s="12" t="n">
        <v>130</v>
      </c>
      <c r="G128" s="28" t="n">
        <v>44.54</v>
      </c>
      <c r="H128" s="12" t="s">
        <v>552</v>
      </c>
      <c r="I128" s="28" t="n">
        <f aca="false">ROUND(G128/1,2)</f>
        <v>44.54</v>
      </c>
      <c r="J128" s="12" t="n">
        <v>82</v>
      </c>
      <c r="K128" s="12" t="s">
        <v>492</v>
      </c>
      <c r="L128" s="28" t="n">
        <f aca="false">G128</f>
        <v>44.54</v>
      </c>
      <c r="M128" s="13" t="n">
        <v>4.72</v>
      </c>
      <c r="N128" s="12" t="n">
        <v>82</v>
      </c>
      <c r="O128" s="12" t="s">
        <v>492</v>
      </c>
      <c r="P128" s="12" t="s">
        <v>458</v>
      </c>
      <c r="Q128" s="13" t="n">
        <v>4.71865017796717</v>
      </c>
      <c r="R128" s="13" t="n">
        <f aca="false">IF(N128="","",SUMIFS($I$5:$I$210,$N$5:$N$210,N128))</f>
        <v>185.32</v>
      </c>
      <c r="S128" s="26" t="s">
        <v>553</v>
      </c>
      <c r="T128" s="5"/>
    </row>
    <row r="129" customFormat="false" ht="23.85" hidden="false" customHeight="false" outlineLevel="0" collapsed="false">
      <c r="A129" s="12" t="s">
        <v>760</v>
      </c>
      <c r="B129" s="12" t="s">
        <v>20</v>
      </c>
      <c r="C129" s="12" t="s">
        <v>139</v>
      </c>
      <c r="D129" s="12" t="s">
        <v>751</v>
      </c>
      <c r="E129" s="12" t="s">
        <v>577</v>
      </c>
      <c r="F129" s="12" t="n">
        <v>136</v>
      </c>
      <c r="G129" s="28" t="n">
        <v>43.76</v>
      </c>
      <c r="H129" s="12" t="s">
        <v>552</v>
      </c>
      <c r="I129" s="28" t="n">
        <f aca="false">ROUND(G129/1,2)</f>
        <v>43.76</v>
      </c>
      <c r="J129" s="12" t="n">
        <v>112</v>
      </c>
      <c r="K129" s="12" t="s">
        <v>755</v>
      </c>
      <c r="L129" s="28" t="n">
        <f aca="false">G129</f>
        <v>43.76</v>
      </c>
      <c r="M129" s="13" t="n">
        <v>2</v>
      </c>
      <c r="N129" s="12" t="n">
        <v>175</v>
      </c>
      <c r="O129" s="12" t="s">
        <v>489</v>
      </c>
      <c r="P129" s="12" t="s">
        <v>490</v>
      </c>
      <c r="Q129" s="13" t="n">
        <v>2.1506933331224</v>
      </c>
      <c r="R129" s="13" t="n">
        <f aca="false">IF(N129="","",SUMIFS($I$5:$I$210,$N$5:$N$210,N129))</f>
        <v>136.8</v>
      </c>
      <c r="S129" s="31" t="s">
        <v>644</v>
      </c>
      <c r="T129" s="5" t="s">
        <v>756</v>
      </c>
    </row>
    <row r="130" customFormat="false" ht="23.85" hidden="false" customHeight="false" outlineLevel="0" collapsed="false">
      <c r="A130" s="12" t="s">
        <v>761</v>
      </c>
      <c r="B130" s="12" t="s">
        <v>20</v>
      </c>
      <c r="C130" s="12" t="s">
        <v>139</v>
      </c>
      <c r="D130" s="12" t="s">
        <v>762</v>
      </c>
      <c r="E130" s="12" t="s">
        <v>551</v>
      </c>
      <c r="F130" s="12" t="n">
        <v>123</v>
      </c>
      <c r="G130" s="28" t="n">
        <v>234</v>
      </c>
      <c r="H130" s="12" t="s">
        <v>620</v>
      </c>
      <c r="I130" s="28" t="n">
        <f aca="false">ROUND(G130/2,2)</f>
        <v>117</v>
      </c>
      <c r="J130" s="12" t="n">
        <v>184</v>
      </c>
      <c r="K130" s="12" t="s">
        <v>507</v>
      </c>
      <c r="L130" s="28" t="n">
        <f aca="false">G130</f>
        <v>234</v>
      </c>
      <c r="M130" s="13" t="n">
        <v>2.03</v>
      </c>
      <c r="N130" s="12" t="n">
        <v>303</v>
      </c>
      <c r="O130" s="12" t="s">
        <v>172</v>
      </c>
      <c r="P130" s="12" t="s">
        <v>472</v>
      </c>
      <c r="Q130" s="13" t="n">
        <v>28.111573657781</v>
      </c>
      <c r="R130" s="13" t="n">
        <f aca="false">IF(N130="","",SUMIFS($I$5:$I$210,$N$5:$N$210,N130))</f>
        <v>117</v>
      </c>
      <c r="S130" s="30" t="s">
        <v>677</v>
      </c>
      <c r="T130" s="5" t="s">
        <v>624</v>
      </c>
    </row>
    <row r="131" customFormat="false" ht="23.85" hidden="false" customHeight="false" outlineLevel="0" collapsed="false">
      <c r="A131" s="12" t="s">
        <v>761</v>
      </c>
      <c r="B131" s="12" t="s">
        <v>20</v>
      </c>
      <c r="C131" s="12" t="s">
        <v>139</v>
      </c>
      <c r="D131" s="12" t="s">
        <v>762</v>
      </c>
      <c r="E131" s="12" t="s">
        <v>551</v>
      </c>
      <c r="F131" s="12" t="n">
        <v>123</v>
      </c>
      <c r="G131" s="28" t="n">
        <v>234</v>
      </c>
      <c r="H131" s="12" t="s">
        <v>622</v>
      </c>
      <c r="I131" s="28" t="n">
        <f aca="false">ROUND(G131/2,2)</f>
        <v>117</v>
      </c>
      <c r="J131" s="12"/>
      <c r="K131" s="12"/>
      <c r="L131" s="28"/>
      <c r="M131" s="13"/>
      <c r="N131" s="12" t="n">
        <v>357</v>
      </c>
      <c r="O131" s="12" t="s">
        <v>178</v>
      </c>
      <c r="P131" s="12" t="s">
        <v>472</v>
      </c>
      <c r="Q131" s="13" t="n">
        <v>55.5662401782428</v>
      </c>
      <c r="R131" s="13" t="n">
        <f aca="false">IF(N131="","",SUMIFS($I$5:$I$210,$N$5:$N$210,N131))</f>
        <v>117</v>
      </c>
      <c r="S131" s="29" t="s">
        <v>623</v>
      </c>
      <c r="T131" s="5" t="s">
        <v>624</v>
      </c>
    </row>
    <row r="132" customFormat="false" ht="23.85" hidden="false" customHeight="false" outlineLevel="0" collapsed="false">
      <c r="A132" s="12" t="s">
        <v>763</v>
      </c>
      <c r="B132" s="12" t="s">
        <v>20</v>
      </c>
      <c r="C132" s="12" t="s">
        <v>139</v>
      </c>
      <c r="D132" s="12" t="s">
        <v>762</v>
      </c>
      <c r="E132" s="12" t="s">
        <v>561</v>
      </c>
      <c r="F132" s="12" t="n">
        <v>121</v>
      </c>
      <c r="G132" s="28" t="n">
        <v>231.67</v>
      </c>
      <c r="H132" s="12" t="s">
        <v>620</v>
      </c>
      <c r="I132" s="28" t="n">
        <f aca="false">ROUND(G132/2,2)</f>
        <v>115.84</v>
      </c>
      <c r="J132" s="12" t="n">
        <v>210</v>
      </c>
      <c r="K132" s="12" t="s">
        <v>508</v>
      </c>
      <c r="L132" s="28" t="n">
        <f aca="false">G132</f>
        <v>231.67</v>
      </c>
      <c r="M132" s="13" t="n">
        <v>1.06</v>
      </c>
      <c r="N132" s="12" t="n">
        <v>309</v>
      </c>
      <c r="O132" s="12" t="s">
        <v>181</v>
      </c>
      <c r="P132" s="12" t="s">
        <v>472</v>
      </c>
      <c r="Q132" s="13"/>
      <c r="R132" s="13" t="n">
        <f aca="false">IF(N132="","",SUMIFS($I$5:$I$210,$N$5:$N$210,N132))</f>
        <v>115.84</v>
      </c>
      <c r="S132" s="30" t="s">
        <v>677</v>
      </c>
      <c r="T132" s="5" t="s">
        <v>624</v>
      </c>
    </row>
    <row r="133" customFormat="false" ht="23.85" hidden="false" customHeight="false" outlineLevel="0" collapsed="false">
      <c r="A133" s="12" t="s">
        <v>763</v>
      </c>
      <c r="B133" s="12" t="s">
        <v>20</v>
      </c>
      <c r="C133" s="12" t="s">
        <v>139</v>
      </c>
      <c r="D133" s="12" t="s">
        <v>762</v>
      </c>
      <c r="E133" s="12" t="s">
        <v>561</v>
      </c>
      <c r="F133" s="12" t="n">
        <v>121</v>
      </c>
      <c r="G133" s="28" t="n">
        <v>231.67</v>
      </c>
      <c r="H133" s="12" t="s">
        <v>622</v>
      </c>
      <c r="I133" s="28" t="n">
        <f aca="false">ROUND(G133/2,2)</f>
        <v>115.84</v>
      </c>
      <c r="J133" s="12"/>
      <c r="K133" s="12"/>
      <c r="L133" s="28"/>
      <c r="M133" s="13"/>
      <c r="N133" s="12" t="n">
        <v>344</v>
      </c>
      <c r="O133" s="12" t="s">
        <v>184</v>
      </c>
      <c r="P133" s="12" t="s">
        <v>472</v>
      </c>
      <c r="Q133" s="13" t="n">
        <v>55.9073034669859</v>
      </c>
      <c r="R133" s="13" t="n">
        <f aca="false">IF(N133="","",SUMIFS($I$5:$I$210,$N$5:$N$210,N133))</f>
        <v>115.84</v>
      </c>
      <c r="S133" s="29" t="s">
        <v>623</v>
      </c>
      <c r="T133" s="5" t="s">
        <v>624</v>
      </c>
    </row>
    <row r="134" customFormat="false" ht="23.85" hidden="false" customHeight="false" outlineLevel="0" collapsed="false">
      <c r="A134" s="12" t="s">
        <v>764</v>
      </c>
      <c r="B134" s="12" t="s">
        <v>20</v>
      </c>
      <c r="C134" s="12" t="s">
        <v>139</v>
      </c>
      <c r="D134" s="12" t="s">
        <v>762</v>
      </c>
      <c r="E134" s="12" t="s">
        <v>608</v>
      </c>
      <c r="F134" s="12" t="n">
        <v>180</v>
      </c>
      <c r="G134" s="28" t="n">
        <v>241.18</v>
      </c>
      <c r="H134" s="12" t="s">
        <v>620</v>
      </c>
      <c r="I134" s="28" t="n">
        <f aca="false">ROUND(G134/2,2)</f>
        <v>120.59</v>
      </c>
      <c r="J134" s="12" t="n">
        <v>22</v>
      </c>
      <c r="K134" s="12" t="s">
        <v>496</v>
      </c>
      <c r="L134" s="28" t="n">
        <f aca="false">G134</f>
        <v>241.18</v>
      </c>
      <c r="M134" s="13" t="n">
        <v>4.8</v>
      </c>
      <c r="N134" s="12" t="n">
        <v>284</v>
      </c>
      <c r="O134" s="12" t="s">
        <v>148</v>
      </c>
      <c r="P134" s="12" t="s">
        <v>472</v>
      </c>
      <c r="Q134" s="13" t="n">
        <v>30.369261366423</v>
      </c>
      <c r="R134" s="13" t="n">
        <f aca="false">IF(N134="","",SUMIFS($I$5:$I$210,$N$5:$N$210,N134))</f>
        <v>120.59</v>
      </c>
      <c r="S134" s="30" t="s">
        <v>677</v>
      </c>
      <c r="T134" s="5" t="s">
        <v>624</v>
      </c>
    </row>
    <row r="135" customFormat="false" ht="23.85" hidden="false" customHeight="false" outlineLevel="0" collapsed="false">
      <c r="A135" s="12" t="s">
        <v>764</v>
      </c>
      <c r="B135" s="12" t="s">
        <v>20</v>
      </c>
      <c r="C135" s="12" t="s">
        <v>139</v>
      </c>
      <c r="D135" s="12" t="s">
        <v>762</v>
      </c>
      <c r="E135" s="12" t="s">
        <v>608</v>
      </c>
      <c r="F135" s="12" t="n">
        <v>180</v>
      </c>
      <c r="G135" s="28" t="n">
        <v>241.18</v>
      </c>
      <c r="H135" s="12" t="s">
        <v>622</v>
      </c>
      <c r="I135" s="28" t="n">
        <f aca="false">ROUND(G135/2,2)</f>
        <v>120.59</v>
      </c>
      <c r="J135" s="12"/>
      <c r="K135" s="12"/>
      <c r="L135" s="28"/>
      <c r="M135" s="13"/>
      <c r="N135" s="12" t="n">
        <v>457</v>
      </c>
      <c r="O135" s="12" t="s">
        <v>151</v>
      </c>
      <c r="P135" s="12" t="s">
        <v>472</v>
      </c>
      <c r="Q135" s="13" t="n">
        <v>31.1008078478807</v>
      </c>
      <c r="R135" s="13" t="n">
        <f aca="false">IF(N135="","",SUMIFS($I$5:$I$210,$N$5:$N$210,N135))</f>
        <v>120.59</v>
      </c>
      <c r="S135" s="29" t="s">
        <v>623</v>
      </c>
      <c r="T135" s="5" t="s">
        <v>624</v>
      </c>
    </row>
    <row r="136" customFormat="false" ht="15" hidden="false" customHeight="false" outlineLevel="0" collapsed="false">
      <c r="A136" s="12" t="s">
        <v>765</v>
      </c>
      <c r="B136" s="12" t="s">
        <v>20</v>
      </c>
      <c r="C136" s="12" t="s">
        <v>139</v>
      </c>
      <c r="D136" s="12" t="s">
        <v>762</v>
      </c>
      <c r="E136" s="12" t="s">
        <v>573</v>
      </c>
      <c r="F136" s="12" t="n">
        <v>188</v>
      </c>
      <c r="G136" s="28" t="n">
        <v>255.54</v>
      </c>
      <c r="H136" s="12" t="s">
        <v>620</v>
      </c>
      <c r="I136" s="28" t="n">
        <f aca="false">ROUND(G136/2,2)</f>
        <v>127.77</v>
      </c>
      <c r="J136" s="12" t="n">
        <v>94</v>
      </c>
      <c r="K136" s="12" t="s">
        <v>469</v>
      </c>
      <c r="L136" s="28" t="n">
        <f aca="false">G136</f>
        <v>255.54</v>
      </c>
      <c r="M136" s="13" t="n">
        <v>10.31</v>
      </c>
      <c r="N136" s="12" t="n">
        <v>94</v>
      </c>
      <c r="O136" s="12" t="s">
        <v>469</v>
      </c>
      <c r="P136" s="12" t="s">
        <v>458</v>
      </c>
      <c r="Q136" s="13" t="n">
        <v>10.3090346021071</v>
      </c>
      <c r="R136" s="13" t="n">
        <f aca="false">IF(N136="","",SUMIFS($I$5:$I$210,$N$5:$N$210,N136))</f>
        <v>150.28</v>
      </c>
      <c r="S136" s="26" t="s">
        <v>553</v>
      </c>
      <c r="T136" s="5" t="s">
        <v>621</v>
      </c>
    </row>
    <row r="137" customFormat="false" ht="15" hidden="false" customHeight="false" outlineLevel="0" collapsed="false">
      <c r="A137" s="12" t="s">
        <v>765</v>
      </c>
      <c r="B137" s="12" t="s">
        <v>20</v>
      </c>
      <c r="C137" s="12" t="s">
        <v>139</v>
      </c>
      <c r="D137" s="12" t="s">
        <v>762</v>
      </c>
      <c r="E137" s="12" t="s">
        <v>573</v>
      </c>
      <c r="F137" s="12" t="n">
        <v>188</v>
      </c>
      <c r="G137" s="28" t="n">
        <v>255.54</v>
      </c>
      <c r="H137" s="12" t="s">
        <v>622</v>
      </c>
      <c r="I137" s="28" t="n">
        <f aca="false">ROUND(G137/2,2)</f>
        <v>127.77</v>
      </c>
      <c r="J137" s="12"/>
      <c r="K137" s="12"/>
      <c r="L137" s="28"/>
      <c r="M137" s="13"/>
      <c r="N137" s="12" t="n">
        <v>27</v>
      </c>
      <c r="O137" s="12" t="s">
        <v>471</v>
      </c>
      <c r="P137" s="12" t="s">
        <v>458</v>
      </c>
      <c r="Q137" s="13" t="n">
        <v>8.78224375254117</v>
      </c>
      <c r="R137" s="13" t="n">
        <f aca="false">IF(N137="","",SUMIFS($I$5:$I$210,$N$5:$N$210,N137))</f>
        <v>213.61</v>
      </c>
      <c r="S137" s="29" t="s">
        <v>623</v>
      </c>
      <c r="T137" s="5" t="s">
        <v>766</v>
      </c>
    </row>
    <row r="138" customFormat="false" ht="15" hidden="false" customHeight="false" outlineLevel="0" collapsed="false">
      <c r="A138" s="12" t="s">
        <v>767</v>
      </c>
      <c r="B138" s="12" t="s">
        <v>20</v>
      </c>
      <c r="C138" s="12" t="s">
        <v>139</v>
      </c>
      <c r="D138" s="12" t="s">
        <v>762</v>
      </c>
      <c r="E138" s="12" t="s">
        <v>611</v>
      </c>
      <c r="F138" s="12" t="n">
        <v>192</v>
      </c>
      <c r="G138" s="28" t="n">
        <v>255.13</v>
      </c>
      <c r="H138" s="12" t="s">
        <v>620</v>
      </c>
      <c r="I138" s="28" t="n">
        <f aca="false">ROUND(G138/2,2)</f>
        <v>127.57</v>
      </c>
      <c r="J138" s="12" t="n">
        <v>102</v>
      </c>
      <c r="K138" s="12" t="s">
        <v>470</v>
      </c>
      <c r="L138" s="28" t="n">
        <f aca="false">G138</f>
        <v>255.13</v>
      </c>
      <c r="M138" s="13" t="n">
        <v>9.9</v>
      </c>
      <c r="N138" s="12" t="n">
        <v>102</v>
      </c>
      <c r="O138" s="12" t="s">
        <v>470</v>
      </c>
      <c r="P138" s="12" t="s">
        <v>458</v>
      </c>
      <c r="Q138" s="13" t="n">
        <v>9.89586364953183</v>
      </c>
      <c r="R138" s="13" t="n">
        <f aca="false">IF(N138="","",SUMIFS($I$5:$I$210,$N$5:$N$210,N138))</f>
        <v>146.55</v>
      </c>
      <c r="S138" s="26" t="s">
        <v>553</v>
      </c>
      <c r="T138" s="5" t="s">
        <v>621</v>
      </c>
    </row>
    <row r="139" customFormat="false" ht="15" hidden="false" customHeight="false" outlineLevel="0" collapsed="false">
      <c r="A139" s="12" t="s">
        <v>767</v>
      </c>
      <c r="B139" s="12" t="s">
        <v>20</v>
      </c>
      <c r="C139" s="12" t="s">
        <v>139</v>
      </c>
      <c r="D139" s="12" t="s">
        <v>762</v>
      </c>
      <c r="E139" s="12" t="s">
        <v>611</v>
      </c>
      <c r="F139" s="12" t="n">
        <v>192</v>
      </c>
      <c r="G139" s="28" t="n">
        <v>255.13</v>
      </c>
      <c r="H139" s="12" t="s">
        <v>622</v>
      </c>
      <c r="I139" s="28" t="n">
        <f aca="false">ROUND(G139/2,2)</f>
        <v>127.57</v>
      </c>
      <c r="J139" s="12"/>
      <c r="K139" s="12"/>
      <c r="L139" s="28"/>
      <c r="M139" s="13"/>
      <c r="N139" s="12" t="n">
        <v>156</v>
      </c>
      <c r="O139" s="12" t="s">
        <v>501</v>
      </c>
      <c r="P139" s="12" t="s">
        <v>478</v>
      </c>
      <c r="Q139" s="13" t="n">
        <v>8.75584193601701</v>
      </c>
      <c r="R139" s="13" t="n">
        <f aca="false">IF(N139="","",SUMIFS($I$5:$I$210,$N$5:$N$210,N139))</f>
        <v>127.57</v>
      </c>
      <c r="S139" s="29" t="s">
        <v>623</v>
      </c>
      <c r="T139" s="5" t="s">
        <v>766</v>
      </c>
    </row>
    <row r="140" customFormat="false" ht="23.85" hidden="false" customHeight="false" outlineLevel="0" collapsed="false">
      <c r="A140" s="12" t="s">
        <v>768</v>
      </c>
      <c r="B140" s="12" t="s">
        <v>20</v>
      </c>
      <c r="C140" s="12" t="s">
        <v>139</v>
      </c>
      <c r="D140" s="12" t="s">
        <v>762</v>
      </c>
      <c r="E140" s="12" t="s">
        <v>587</v>
      </c>
      <c r="F140" s="12" t="n">
        <v>193</v>
      </c>
      <c r="G140" s="28" t="n">
        <v>239.34</v>
      </c>
      <c r="H140" s="12" t="s">
        <v>620</v>
      </c>
      <c r="I140" s="28" t="n">
        <f aca="false">ROUND(G140/2,2)</f>
        <v>119.67</v>
      </c>
      <c r="J140" s="12" t="n">
        <v>174</v>
      </c>
      <c r="K140" s="12" t="s">
        <v>495</v>
      </c>
      <c r="L140" s="28" t="n">
        <f aca="false">G140</f>
        <v>239.34</v>
      </c>
      <c r="M140" s="13" t="n">
        <v>3.26</v>
      </c>
      <c r="N140" s="12" t="n">
        <v>60</v>
      </c>
      <c r="O140" s="12" t="s">
        <v>154</v>
      </c>
      <c r="P140" s="12" t="s">
        <v>472</v>
      </c>
      <c r="Q140" s="13" t="n">
        <v>20.4850508387191</v>
      </c>
      <c r="R140" s="13" t="n">
        <f aca="false">IF(N140="","",SUMIFS($I$5:$I$210,$N$5:$N$210,N140))</f>
        <v>119.67</v>
      </c>
      <c r="S140" s="30" t="s">
        <v>677</v>
      </c>
      <c r="T140" s="5" t="s">
        <v>624</v>
      </c>
    </row>
    <row r="141" customFormat="false" ht="15" hidden="false" customHeight="false" outlineLevel="0" collapsed="false">
      <c r="A141" s="12" t="s">
        <v>768</v>
      </c>
      <c r="B141" s="12" t="s">
        <v>20</v>
      </c>
      <c r="C141" s="12" t="s">
        <v>139</v>
      </c>
      <c r="D141" s="12" t="s">
        <v>762</v>
      </c>
      <c r="E141" s="12" t="s">
        <v>587</v>
      </c>
      <c r="F141" s="12" t="n">
        <v>193</v>
      </c>
      <c r="G141" s="28" t="n">
        <v>239.34</v>
      </c>
      <c r="H141" s="12" t="s">
        <v>622</v>
      </c>
      <c r="I141" s="28" t="n">
        <f aca="false">ROUND(G141/2,2)</f>
        <v>119.67</v>
      </c>
      <c r="J141" s="12"/>
      <c r="K141" s="12"/>
      <c r="L141" s="28"/>
      <c r="M141" s="13"/>
      <c r="N141" s="12" t="n">
        <v>107</v>
      </c>
      <c r="O141" s="12" t="s">
        <v>493</v>
      </c>
      <c r="P141" s="12" t="s">
        <v>458</v>
      </c>
      <c r="Q141" s="13" t="n">
        <v>6.8682894240055</v>
      </c>
      <c r="R141" s="13" t="n">
        <f aca="false">IF(N141="","",SUMIFS($I$5:$I$210,$N$5:$N$210,N141))</f>
        <v>214.82</v>
      </c>
      <c r="S141" s="29" t="s">
        <v>623</v>
      </c>
      <c r="T141" s="5" t="s">
        <v>769</v>
      </c>
    </row>
    <row r="142" customFormat="false" ht="15" hidden="false" customHeight="false" outlineLevel="0" collapsed="false">
      <c r="A142" s="12" t="s">
        <v>770</v>
      </c>
      <c r="B142" s="12" t="s">
        <v>20</v>
      </c>
      <c r="C142" s="12" t="s">
        <v>139</v>
      </c>
      <c r="D142" s="12" t="s">
        <v>762</v>
      </c>
      <c r="E142" s="12" t="s">
        <v>651</v>
      </c>
      <c r="F142" s="12" t="n">
        <v>192</v>
      </c>
      <c r="G142" s="28" t="n">
        <v>254.99</v>
      </c>
      <c r="H142" s="12" t="s">
        <v>620</v>
      </c>
      <c r="I142" s="28" t="n">
        <f aca="false">ROUND(G142/2,2)</f>
        <v>127.5</v>
      </c>
      <c r="J142" s="12" t="n">
        <v>74</v>
      </c>
      <c r="K142" s="12" t="s">
        <v>468</v>
      </c>
      <c r="L142" s="28" t="n">
        <f aca="false">G142</f>
        <v>254.99</v>
      </c>
      <c r="M142" s="13" t="n">
        <v>9.84</v>
      </c>
      <c r="N142" s="12" t="n">
        <v>74</v>
      </c>
      <c r="O142" s="12" t="s">
        <v>468</v>
      </c>
      <c r="P142" s="12" t="s">
        <v>458</v>
      </c>
      <c r="Q142" s="13" t="n">
        <v>9.84254135904377</v>
      </c>
      <c r="R142" s="13" t="n">
        <f aca="false">IF(N142="","",SUMIFS($I$5:$I$210,$N$5:$N$210,N142))</f>
        <v>146.14</v>
      </c>
      <c r="S142" s="26" t="s">
        <v>553</v>
      </c>
      <c r="T142" s="5" t="s">
        <v>621</v>
      </c>
    </row>
    <row r="143" customFormat="false" ht="15" hidden="false" customHeight="false" outlineLevel="0" collapsed="false">
      <c r="A143" s="12" t="s">
        <v>770</v>
      </c>
      <c r="B143" s="12" t="s">
        <v>20</v>
      </c>
      <c r="C143" s="12" t="s">
        <v>139</v>
      </c>
      <c r="D143" s="12" t="s">
        <v>762</v>
      </c>
      <c r="E143" s="12" t="s">
        <v>651</v>
      </c>
      <c r="F143" s="12" t="n">
        <v>192</v>
      </c>
      <c r="G143" s="28" t="n">
        <v>254.99</v>
      </c>
      <c r="H143" s="12" t="s">
        <v>622</v>
      </c>
      <c r="I143" s="28" t="n">
        <f aca="false">ROUND(G143/2,2)</f>
        <v>127.5</v>
      </c>
      <c r="J143" s="12"/>
      <c r="K143" s="12"/>
      <c r="L143" s="28"/>
      <c r="M143" s="13"/>
      <c r="N143" s="12" t="n">
        <v>145</v>
      </c>
      <c r="O143" s="12" t="s">
        <v>506</v>
      </c>
      <c r="P143" s="12" t="s">
        <v>478</v>
      </c>
      <c r="Q143" s="13" t="n">
        <v>9.62931160983173</v>
      </c>
      <c r="R143" s="13" t="n">
        <f aca="false">IF(N143="","",SUMIFS($I$5:$I$210,$N$5:$N$210,N143))</f>
        <v>127.5</v>
      </c>
      <c r="S143" s="29" t="s">
        <v>623</v>
      </c>
      <c r="T143" s="5" t="s">
        <v>771</v>
      </c>
    </row>
    <row r="144" customFormat="false" ht="15" hidden="false" customHeight="false" outlineLevel="0" collapsed="false">
      <c r="A144" s="12" t="s">
        <v>772</v>
      </c>
      <c r="B144" s="12" t="s">
        <v>20</v>
      </c>
      <c r="C144" s="12" t="s">
        <v>139</v>
      </c>
      <c r="D144" s="12" t="s">
        <v>762</v>
      </c>
      <c r="E144" s="12" t="s">
        <v>575</v>
      </c>
      <c r="F144" s="12" t="n">
        <v>190</v>
      </c>
      <c r="G144" s="28" t="n">
        <v>256.48</v>
      </c>
      <c r="H144" s="12" t="s">
        <v>620</v>
      </c>
      <c r="I144" s="28" t="n">
        <f aca="false">ROUND(G144/2,2)</f>
        <v>128.24</v>
      </c>
      <c r="J144" s="12" t="n">
        <v>111</v>
      </c>
      <c r="K144" s="12" t="s">
        <v>494</v>
      </c>
      <c r="L144" s="28" t="n">
        <f aca="false">G144</f>
        <v>256.48</v>
      </c>
      <c r="M144" s="13" t="n">
        <v>10.58</v>
      </c>
      <c r="N144" s="12" t="n">
        <v>111</v>
      </c>
      <c r="O144" s="12" t="s">
        <v>494</v>
      </c>
      <c r="P144" s="12" t="s">
        <v>458</v>
      </c>
      <c r="Q144" s="13" t="n">
        <v>10.5844011280835</v>
      </c>
      <c r="R144" s="13" t="n">
        <f aca="false">IF(N144="","",SUMIFS($I$5:$I$210,$N$5:$N$210,N144))</f>
        <v>145.99</v>
      </c>
      <c r="S144" s="26" t="s">
        <v>553</v>
      </c>
      <c r="T144" s="5" t="s">
        <v>621</v>
      </c>
    </row>
    <row r="145" customFormat="false" ht="23.85" hidden="false" customHeight="false" outlineLevel="0" collapsed="false">
      <c r="A145" s="12" t="s">
        <v>772</v>
      </c>
      <c r="B145" s="12" t="s">
        <v>20</v>
      </c>
      <c r="C145" s="12" t="s">
        <v>139</v>
      </c>
      <c r="D145" s="12" t="s">
        <v>762</v>
      </c>
      <c r="E145" s="12" t="s">
        <v>575</v>
      </c>
      <c r="F145" s="12" t="n">
        <v>190</v>
      </c>
      <c r="G145" s="28" t="n">
        <v>256.48</v>
      </c>
      <c r="H145" s="12" t="s">
        <v>622</v>
      </c>
      <c r="I145" s="28" t="n">
        <f aca="false">ROUND(G145/2,2)</f>
        <v>128.24</v>
      </c>
      <c r="J145" s="12"/>
      <c r="K145" s="12"/>
      <c r="L145" s="28"/>
      <c r="M145" s="13"/>
      <c r="N145" s="12" t="n">
        <v>255</v>
      </c>
      <c r="O145" s="12" t="s">
        <v>141</v>
      </c>
      <c r="P145" s="12" t="s">
        <v>472</v>
      </c>
      <c r="Q145" s="13" t="n">
        <v>40.766744924226</v>
      </c>
      <c r="R145" s="13" t="n">
        <f aca="false">IF(N145="","",SUMIFS($I$5:$I$210,$N$5:$N$210,N145))</f>
        <v>128.24</v>
      </c>
      <c r="S145" s="29" t="s">
        <v>623</v>
      </c>
      <c r="T145" s="5" t="s">
        <v>624</v>
      </c>
    </row>
    <row r="146" customFormat="false" ht="15" hidden="false" customHeight="false" outlineLevel="0" collapsed="false">
      <c r="A146" s="12" t="s">
        <v>773</v>
      </c>
      <c r="B146" s="12" t="s">
        <v>20</v>
      </c>
      <c r="C146" s="12" t="s">
        <v>139</v>
      </c>
      <c r="D146" s="12" t="s">
        <v>774</v>
      </c>
      <c r="E146" s="12" t="s">
        <v>551</v>
      </c>
      <c r="F146" s="12" t="n">
        <v>200</v>
      </c>
      <c r="G146" s="28" t="n">
        <v>121.28</v>
      </c>
      <c r="H146" s="12" t="s">
        <v>552</v>
      </c>
      <c r="I146" s="28" t="n">
        <f aca="false">ROUND(G146/1,2)</f>
        <v>121.28</v>
      </c>
      <c r="J146" s="12" t="n">
        <v>210</v>
      </c>
      <c r="K146" s="12" t="s">
        <v>508</v>
      </c>
      <c r="L146" s="28" t="n">
        <f aca="false">G146</f>
        <v>121.28</v>
      </c>
      <c r="M146" s="13" t="n">
        <v>0.1</v>
      </c>
      <c r="N146" s="12" t="n">
        <v>210</v>
      </c>
      <c r="O146" s="12" t="s">
        <v>508</v>
      </c>
      <c r="P146" s="12" t="s">
        <v>458</v>
      </c>
      <c r="Q146" s="13" t="n">
        <v>0.098952253681391</v>
      </c>
      <c r="R146" s="13" t="n">
        <f aca="false">IF(N146="","",SUMIFS($I$5:$I$210,$N$5:$N$210,N146))</f>
        <v>121.28</v>
      </c>
      <c r="S146" s="26" t="s">
        <v>553</v>
      </c>
      <c r="T146" s="5"/>
    </row>
    <row r="147" customFormat="false" ht="15" hidden="false" customHeight="false" outlineLevel="0" collapsed="false">
      <c r="A147" s="12" t="s">
        <v>775</v>
      </c>
      <c r="B147" s="12" t="s">
        <v>20</v>
      </c>
      <c r="C147" s="12" t="s">
        <v>139</v>
      </c>
      <c r="D147" s="12" t="s">
        <v>774</v>
      </c>
      <c r="E147" s="12" t="s">
        <v>561</v>
      </c>
      <c r="F147" s="12" t="n">
        <v>165</v>
      </c>
      <c r="G147" s="28" t="n">
        <v>116.27</v>
      </c>
      <c r="H147" s="12" t="s">
        <v>552</v>
      </c>
      <c r="I147" s="28" t="n">
        <f aca="false">ROUND(G147/1,2)</f>
        <v>116.27</v>
      </c>
      <c r="J147" s="12" t="n">
        <v>184</v>
      </c>
      <c r="K147" s="12" t="s">
        <v>507</v>
      </c>
      <c r="L147" s="28" t="n">
        <f aca="false">G147</f>
        <v>116.27</v>
      </c>
      <c r="M147" s="13" t="n">
        <v>0.09</v>
      </c>
      <c r="N147" s="12" t="n">
        <v>184</v>
      </c>
      <c r="O147" s="12" t="s">
        <v>507</v>
      </c>
      <c r="P147" s="12" t="s">
        <v>458</v>
      </c>
      <c r="Q147" s="13" t="n">
        <v>0.0882455771565154</v>
      </c>
      <c r="R147" s="13" t="n">
        <f aca="false">IF(N147="","",SUMIFS($I$5:$I$210,$N$5:$N$210,N147))</f>
        <v>116.27</v>
      </c>
      <c r="S147" s="26" t="s">
        <v>553</v>
      </c>
      <c r="T147" s="5"/>
    </row>
    <row r="148" customFormat="false" ht="15" hidden="false" customHeight="false" outlineLevel="0" collapsed="false">
      <c r="A148" s="12" t="s">
        <v>776</v>
      </c>
      <c r="B148" s="12" t="s">
        <v>351</v>
      </c>
      <c r="C148" s="12" t="s">
        <v>777</v>
      </c>
      <c r="D148" s="12" t="s">
        <v>619</v>
      </c>
      <c r="E148" s="12" t="s">
        <v>551</v>
      </c>
      <c r="F148" s="12" t="n">
        <v>182</v>
      </c>
      <c r="G148" s="28" t="n">
        <v>87.55</v>
      </c>
      <c r="H148" s="12" t="s">
        <v>552</v>
      </c>
      <c r="I148" s="28" t="n">
        <f aca="false">ROUND(G148/1,2)</f>
        <v>87.55</v>
      </c>
      <c r="J148" s="12" t="n">
        <v>267</v>
      </c>
      <c r="K148" s="12" t="s">
        <v>512</v>
      </c>
      <c r="L148" s="28" t="n">
        <f aca="false">G148</f>
        <v>87.55</v>
      </c>
      <c r="M148" s="13" t="n">
        <v>3.7</v>
      </c>
      <c r="N148" s="12" t="n">
        <v>267</v>
      </c>
      <c r="O148" s="12" t="s">
        <v>512</v>
      </c>
      <c r="P148" s="12" t="s">
        <v>458</v>
      </c>
      <c r="Q148" s="13" t="n">
        <v>3.69820459715656</v>
      </c>
      <c r="R148" s="13" t="n">
        <f aca="false">IF(N148="","",SUMIFS($I$5:$I$210,$N$5:$N$210,N148))</f>
        <v>208.2</v>
      </c>
      <c r="S148" s="26" t="s">
        <v>553</v>
      </c>
      <c r="T148" s="5"/>
    </row>
    <row r="149" customFormat="false" ht="15" hidden="false" customHeight="false" outlineLevel="0" collapsed="false">
      <c r="A149" s="12" t="s">
        <v>778</v>
      </c>
      <c r="B149" s="12" t="s">
        <v>351</v>
      </c>
      <c r="C149" s="12" t="s">
        <v>777</v>
      </c>
      <c r="D149" s="12" t="s">
        <v>619</v>
      </c>
      <c r="E149" s="12" t="s">
        <v>561</v>
      </c>
      <c r="F149" s="12" t="n">
        <v>68</v>
      </c>
      <c r="G149" s="28" t="n">
        <v>21.8</v>
      </c>
      <c r="H149" s="12" t="s">
        <v>552</v>
      </c>
      <c r="I149" s="28" t="n">
        <f aca="false">ROUND(G149/1,2)</f>
        <v>21.8</v>
      </c>
      <c r="J149" s="12" t="n">
        <v>267</v>
      </c>
      <c r="K149" s="12" t="s">
        <v>512</v>
      </c>
      <c r="L149" s="28" t="n">
        <f aca="false">G149</f>
        <v>21.8</v>
      </c>
      <c r="M149" s="13" t="n">
        <v>1.3</v>
      </c>
      <c r="N149" s="12" t="n">
        <v>267</v>
      </c>
      <c r="O149" s="12" t="s">
        <v>512</v>
      </c>
      <c r="P149" s="12" t="s">
        <v>458</v>
      </c>
      <c r="Q149" s="13" t="n">
        <v>1.30000589622638</v>
      </c>
      <c r="R149" s="13" t="n">
        <f aca="false">IF(N149="","",SUMIFS($I$5:$I$210,$N$5:$N$210,N149))</f>
        <v>208.2</v>
      </c>
      <c r="S149" s="26" t="s">
        <v>553</v>
      </c>
      <c r="T149" s="5"/>
    </row>
    <row r="150" customFormat="false" ht="15" hidden="false" customHeight="false" outlineLevel="0" collapsed="false">
      <c r="A150" s="12" t="s">
        <v>779</v>
      </c>
      <c r="B150" s="12" t="s">
        <v>351</v>
      </c>
      <c r="C150" s="12" t="s">
        <v>777</v>
      </c>
      <c r="D150" s="12" t="s">
        <v>619</v>
      </c>
      <c r="E150" s="12" t="s">
        <v>608</v>
      </c>
      <c r="F150" s="12" t="n">
        <v>165</v>
      </c>
      <c r="G150" s="28" t="n">
        <v>35.13</v>
      </c>
      <c r="H150" s="12" t="s">
        <v>552</v>
      </c>
      <c r="I150" s="28" t="n">
        <f aca="false">ROUND(G150/1,2)</f>
        <v>35.13</v>
      </c>
      <c r="J150" s="12"/>
      <c r="K150" s="12"/>
      <c r="L150" s="28"/>
      <c r="M150" s="13"/>
      <c r="N150" s="12" t="n">
        <v>269</v>
      </c>
      <c r="O150" s="12" t="s">
        <v>513</v>
      </c>
      <c r="P150" s="12" t="s">
        <v>478</v>
      </c>
      <c r="Q150" s="13" t="n">
        <v>2.66808411104887</v>
      </c>
      <c r="R150" s="13" t="n">
        <f aca="false">IF(N150="","",SUMIFS($I$5:$I$210,$N$5:$N$210,N150))</f>
        <v>104.77</v>
      </c>
      <c r="S150" s="27" t="s">
        <v>648</v>
      </c>
      <c r="T150" s="5" t="s">
        <v>780</v>
      </c>
    </row>
    <row r="151" customFormat="false" ht="15" hidden="false" customHeight="false" outlineLevel="0" collapsed="false">
      <c r="A151" s="12" t="s">
        <v>781</v>
      </c>
      <c r="B151" s="12" t="s">
        <v>351</v>
      </c>
      <c r="C151" s="12" t="s">
        <v>777</v>
      </c>
      <c r="D151" s="12" t="s">
        <v>619</v>
      </c>
      <c r="E151" s="12" t="s">
        <v>573</v>
      </c>
      <c r="F151" s="12" t="n">
        <v>138</v>
      </c>
      <c r="G151" s="28" t="n">
        <v>83.35</v>
      </c>
      <c r="H151" s="12" t="s">
        <v>552</v>
      </c>
      <c r="I151" s="28" t="n">
        <f aca="false">ROUND(G151/1,2)</f>
        <v>83.35</v>
      </c>
      <c r="J151" s="12"/>
      <c r="K151" s="12"/>
      <c r="L151" s="28"/>
      <c r="M151" s="13"/>
      <c r="N151" s="12" t="n">
        <v>277</v>
      </c>
      <c r="O151" s="12" t="s">
        <v>514</v>
      </c>
      <c r="P151" s="12" t="s">
        <v>478</v>
      </c>
      <c r="Q151" s="13" t="n">
        <v>3.15722638828722</v>
      </c>
      <c r="R151" s="13" t="n">
        <f aca="false">IF(N151="","",SUMIFS($I$5:$I$210,$N$5:$N$210,N151))</f>
        <v>163.28</v>
      </c>
      <c r="S151" s="27" t="s">
        <v>648</v>
      </c>
      <c r="T151" s="5" t="s">
        <v>782</v>
      </c>
    </row>
    <row r="152" customFormat="false" ht="15" hidden="false" customHeight="false" outlineLevel="0" collapsed="false">
      <c r="A152" s="12" t="s">
        <v>783</v>
      </c>
      <c r="B152" s="12" t="s">
        <v>351</v>
      </c>
      <c r="C152" s="12" t="s">
        <v>777</v>
      </c>
      <c r="D152" s="12" t="s">
        <v>619</v>
      </c>
      <c r="E152" s="12" t="s">
        <v>611</v>
      </c>
      <c r="F152" s="12" t="n">
        <v>114</v>
      </c>
      <c r="G152" s="28" t="n">
        <v>79.93</v>
      </c>
      <c r="H152" s="12" t="s">
        <v>552</v>
      </c>
      <c r="I152" s="28" t="n">
        <f aca="false">ROUND(G152/1,2)</f>
        <v>79.93</v>
      </c>
      <c r="J152" s="12"/>
      <c r="K152" s="12"/>
      <c r="L152" s="28"/>
      <c r="M152" s="13"/>
      <c r="N152" s="12" t="n">
        <v>277</v>
      </c>
      <c r="O152" s="12" t="s">
        <v>514</v>
      </c>
      <c r="P152" s="12" t="s">
        <v>478</v>
      </c>
      <c r="Q152" s="13" t="n">
        <v>2.60059628216803</v>
      </c>
      <c r="R152" s="13" t="n">
        <f aca="false">IF(N152="","",SUMIFS($I$5:$I$210,$N$5:$N$210,N152))</f>
        <v>163.28</v>
      </c>
      <c r="S152" s="27" t="s">
        <v>648</v>
      </c>
      <c r="T152" s="5" t="s">
        <v>784</v>
      </c>
    </row>
    <row r="153" customFormat="false" ht="15" hidden="false" customHeight="false" outlineLevel="0" collapsed="false">
      <c r="A153" s="12" t="s">
        <v>785</v>
      </c>
      <c r="B153" s="12" t="s">
        <v>351</v>
      </c>
      <c r="C153" s="12" t="s">
        <v>777</v>
      </c>
      <c r="D153" s="12" t="s">
        <v>786</v>
      </c>
      <c r="E153" s="12" t="s">
        <v>551</v>
      </c>
      <c r="F153" s="12" t="n">
        <v>143</v>
      </c>
      <c r="G153" s="28" t="n">
        <v>72.48</v>
      </c>
      <c r="H153" s="12" t="s">
        <v>552</v>
      </c>
      <c r="I153" s="28" t="n">
        <f aca="false">ROUND(G153/1,2)</f>
        <v>72.48</v>
      </c>
      <c r="J153" s="12" t="n">
        <v>302</v>
      </c>
      <c r="K153" s="12" t="s">
        <v>515</v>
      </c>
      <c r="L153" s="28" t="n">
        <f aca="false">G153</f>
        <v>72.48</v>
      </c>
      <c r="M153" s="13" t="n">
        <v>4.8</v>
      </c>
      <c r="N153" s="12" t="n">
        <v>302</v>
      </c>
      <c r="O153" s="12" t="s">
        <v>515</v>
      </c>
      <c r="P153" s="12" t="s">
        <v>458</v>
      </c>
      <c r="Q153" s="13" t="n">
        <v>4.79884570540669</v>
      </c>
      <c r="R153" s="13" t="n">
        <f aca="false">IF(N153="","",SUMIFS($I$5:$I$210,$N$5:$N$210,N153))</f>
        <v>188.15</v>
      </c>
      <c r="S153" s="26" t="s">
        <v>553</v>
      </c>
      <c r="T153" s="5"/>
    </row>
    <row r="154" customFormat="false" ht="15" hidden="false" customHeight="false" outlineLevel="0" collapsed="false">
      <c r="A154" s="12" t="s">
        <v>787</v>
      </c>
      <c r="B154" s="12" t="s">
        <v>351</v>
      </c>
      <c r="C154" s="12" t="s">
        <v>777</v>
      </c>
      <c r="D154" s="12" t="s">
        <v>786</v>
      </c>
      <c r="E154" s="12" t="s">
        <v>561</v>
      </c>
      <c r="F154" s="12" t="n">
        <v>121</v>
      </c>
      <c r="G154" s="28" t="n">
        <v>69.36</v>
      </c>
      <c r="H154" s="12" t="s">
        <v>552</v>
      </c>
      <c r="I154" s="28" t="n">
        <f aca="false">ROUND(G154/1,2)</f>
        <v>69.36</v>
      </c>
      <c r="J154" s="12" t="n">
        <v>302</v>
      </c>
      <c r="K154" s="12" t="s">
        <v>515</v>
      </c>
      <c r="L154" s="28" t="n">
        <f aca="false">G154</f>
        <v>69.36</v>
      </c>
      <c r="M154" s="13" t="n">
        <v>4.83</v>
      </c>
      <c r="N154" s="12" t="n">
        <v>302</v>
      </c>
      <c r="O154" s="12" t="s">
        <v>515</v>
      </c>
      <c r="P154" s="12" t="s">
        <v>458</v>
      </c>
      <c r="Q154" s="13" t="n">
        <v>4.83049227564603</v>
      </c>
      <c r="R154" s="13" t="n">
        <f aca="false">IF(N154="","",SUMIFS($I$5:$I$210,$N$5:$N$210,N154))</f>
        <v>188.15</v>
      </c>
      <c r="S154" s="26" t="s">
        <v>553</v>
      </c>
      <c r="T154" s="5"/>
    </row>
    <row r="155" customFormat="false" ht="15" hidden="false" customHeight="false" outlineLevel="0" collapsed="false">
      <c r="A155" s="12" t="s">
        <v>788</v>
      </c>
      <c r="B155" s="12" t="s">
        <v>351</v>
      </c>
      <c r="C155" s="12" t="s">
        <v>777</v>
      </c>
      <c r="D155" s="12" t="s">
        <v>786</v>
      </c>
      <c r="E155" s="12" t="s">
        <v>608</v>
      </c>
      <c r="F155" s="12" t="n">
        <v>150</v>
      </c>
      <c r="G155" s="28" t="n">
        <v>69.64</v>
      </c>
      <c r="H155" s="12" t="s">
        <v>552</v>
      </c>
      <c r="I155" s="28" t="n">
        <f aca="false">ROUND(G155/1,2)</f>
        <v>69.64</v>
      </c>
      <c r="J155" s="12"/>
      <c r="K155" s="12"/>
      <c r="L155" s="28"/>
      <c r="M155" s="13"/>
      <c r="N155" s="12" t="n">
        <v>269</v>
      </c>
      <c r="O155" s="12" t="s">
        <v>513</v>
      </c>
      <c r="P155" s="12" t="s">
        <v>478</v>
      </c>
      <c r="Q155" s="13" t="n">
        <v>3.23505953728616</v>
      </c>
      <c r="R155" s="13" t="n">
        <f aca="false">IF(N155="","",SUMIFS($I$5:$I$210,$N$5:$N$210,N155))</f>
        <v>104.77</v>
      </c>
      <c r="S155" s="27" t="s">
        <v>648</v>
      </c>
      <c r="T155" s="5" t="s">
        <v>782</v>
      </c>
    </row>
    <row r="156" customFormat="false" ht="15" hidden="false" customHeight="false" outlineLevel="0" collapsed="false">
      <c r="A156" s="12" t="s">
        <v>789</v>
      </c>
      <c r="B156" s="12" t="s">
        <v>351</v>
      </c>
      <c r="C156" s="12" t="s">
        <v>777</v>
      </c>
      <c r="D156" s="12" t="s">
        <v>790</v>
      </c>
      <c r="E156" s="12" t="s">
        <v>561</v>
      </c>
      <c r="F156" s="12" t="n">
        <v>131</v>
      </c>
      <c r="G156" s="28" t="n">
        <v>22.13</v>
      </c>
      <c r="H156" s="12" t="s">
        <v>552</v>
      </c>
      <c r="I156" s="28" t="n">
        <f aca="false">ROUND(G156/1,2)</f>
        <v>22.13</v>
      </c>
      <c r="J156" s="12" t="n">
        <v>267</v>
      </c>
      <c r="K156" s="12" t="s">
        <v>512</v>
      </c>
      <c r="L156" s="28" t="n">
        <f aca="false">G156</f>
        <v>22.13</v>
      </c>
      <c r="M156" s="13" t="n">
        <v>2.77</v>
      </c>
      <c r="N156" s="12" t="n">
        <v>267</v>
      </c>
      <c r="O156" s="12" t="s">
        <v>512</v>
      </c>
      <c r="P156" s="12" t="s">
        <v>458</v>
      </c>
      <c r="Q156" s="13" t="n">
        <v>2.77480585819022</v>
      </c>
      <c r="R156" s="13" t="n">
        <f aca="false">IF(N156="","",SUMIFS($I$5:$I$210,$N$5:$N$210,N156))</f>
        <v>208.2</v>
      </c>
      <c r="S156" s="26" t="s">
        <v>553</v>
      </c>
      <c r="T156" s="5"/>
    </row>
    <row r="157" customFormat="false" ht="15" hidden="false" customHeight="false" outlineLevel="0" collapsed="false">
      <c r="A157" s="12" t="s">
        <v>791</v>
      </c>
      <c r="B157" s="12" t="s">
        <v>351</v>
      </c>
      <c r="C157" s="12" t="s">
        <v>777</v>
      </c>
      <c r="D157" s="12" t="s">
        <v>572</v>
      </c>
      <c r="E157" s="12" t="s">
        <v>551</v>
      </c>
      <c r="F157" s="12" t="n">
        <v>163</v>
      </c>
      <c r="G157" s="28" t="n">
        <v>31.38</v>
      </c>
      <c r="H157" s="12" t="s">
        <v>552</v>
      </c>
      <c r="I157" s="28" t="n">
        <f aca="false">ROUND(G157/1,2)</f>
        <v>31.38</v>
      </c>
      <c r="J157" s="12"/>
      <c r="K157" s="12"/>
      <c r="L157" s="28"/>
      <c r="M157" s="13"/>
      <c r="N157" s="12" t="n">
        <v>267</v>
      </c>
      <c r="O157" s="12" t="s">
        <v>512</v>
      </c>
      <c r="P157" s="12" t="s">
        <v>458</v>
      </c>
      <c r="Q157" s="13" t="n">
        <v>2.68240979129151</v>
      </c>
      <c r="R157" s="13" t="n">
        <f aca="false">IF(N157="","",SUMIFS($I$5:$I$210,$N$5:$N$210,N157))</f>
        <v>208.2</v>
      </c>
      <c r="S157" s="27" t="s">
        <v>648</v>
      </c>
      <c r="T157" s="5" t="s">
        <v>780</v>
      </c>
    </row>
    <row r="158" customFormat="false" ht="23.85" hidden="false" customHeight="false" outlineLevel="0" collapsed="false">
      <c r="A158" s="12" t="s">
        <v>792</v>
      </c>
      <c r="B158" s="12" t="s">
        <v>351</v>
      </c>
      <c r="C158" s="12" t="s">
        <v>777</v>
      </c>
      <c r="D158" s="12" t="s">
        <v>793</v>
      </c>
      <c r="E158" s="12" t="s">
        <v>551</v>
      </c>
      <c r="F158" s="12" t="n">
        <v>161</v>
      </c>
      <c r="G158" s="28" t="n">
        <v>46.31</v>
      </c>
      <c r="H158" s="12" t="s">
        <v>552</v>
      </c>
      <c r="I158" s="28" t="n">
        <f aca="false">ROUND(G158/1,2)</f>
        <v>46.31</v>
      </c>
      <c r="J158" s="12" t="n">
        <v>267</v>
      </c>
      <c r="K158" s="12" t="s">
        <v>512</v>
      </c>
      <c r="L158" s="28" t="n">
        <f aca="false">G158</f>
        <v>46.31</v>
      </c>
      <c r="M158" s="13" t="n">
        <v>5.11</v>
      </c>
      <c r="N158" s="12" t="n">
        <v>302</v>
      </c>
      <c r="O158" s="12" t="s">
        <v>515</v>
      </c>
      <c r="P158" s="12" t="s">
        <v>458</v>
      </c>
      <c r="Q158" s="13" t="n">
        <v>4.91375951872361</v>
      </c>
      <c r="R158" s="13" t="n">
        <f aca="false">IF(N158="","",SUMIFS($I$5:$I$210,$N$5:$N$210,N158))</f>
        <v>188.15</v>
      </c>
      <c r="S158" s="29" t="s">
        <v>564</v>
      </c>
      <c r="T158" s="5" t="s">
        <v>794</v>
      </c>
    </row>
    <row r="159" customFormat="false" ht="15" hidden="false" customHeight="false" outlineLevel="0" collapsed="false">
      <c r="A159" s="12" t="s">
        <v>795</v>
      </c>
      <c r="B159" s="12" t="s">
        <v>351</v>
      </c>
      <c r="C159" s="12" t="s">
        <v>777</v>
      </c>
      <c r="D159" s="12" t="s">
        <v>793</v>
      </c>
      <c r="E159" s="12" t="s">
        <v>561</v>
      </c>
      <c r="F159" s="12" t="n">
        <v>158</v>
      </c>
      <c r="G159" s="28" t="n">
        <v>45.34</v>
      </c>
      <c r="H159" s="12" t="s">
        <v>552</v>
      </c>
      <c r="I159" s="28" t="n">
        <f aca="false">ROUND(G159/1,2)</f>
        <v>45.34</v>
      </c>
      <c r="J159" s="12" t="n">
        <v>267</v>
      </c>
      <c r="K159" s="12" t="s">
        <v>512</v>
      </c>
      <c r="L159" s="28" t="n">
        <f aca="false">G159</f>
        <v>45.34</v>
      </c>
      <c r="M159" s="13" t="n">
        <v>4.22</v>
      </c>
      <c r="N159" s="12" t="n">
        <v>267</v>
      </c>
      <c r="O159" s="12" t="s">
        <v>512</v>
      </c>
      <c r="P159" s="12" t="s">
        <v>458</v>
      </c>
      <c r="Q159" s="13" t="n">
        <v>4.21899633949875</v>
      </c>
      <c r="R159" s="13" t="n">
        <f aca="false">IF(N159="","",SUMIFS($I$5:$I$210,$N$5:$N$210,N159))</f>
        <v>208.2</v>
      </c>
      <c r="S159" s="26" t="s">
        <v>553</v>
      </c>
      <c r="T159" s="5"/>
    </row>
    <row r="160" customFormat="false" ht="15" hidden="false" customHeight="false" outlineLevel="0" collapsed="false">
      <c r="A160" s="12" t="s">
        <v>796</v>
      </c>
      <c r="B160" s="12" t="s">
        <v>797</v>
      </c>
      <c r="C160" s="12" t="s">
        <v>798</v>
      </c>
      <c r="D160" s="12" t="s">
        <v>799</v>
      </c>
      <c r="E160" s="12" t="s">
        <v>558</v>
      </c>
      <c r="F160" s="12" t="n">
        <v>208</v>
      </c>
      <c r="G160" s="28" t="n">
        <v>31.43</v>
      </c>
      <c r="H160" s="12" t="s">
        <v>552</v>
      </c>
      <c r="I160" s="28" t="n">
        <f aca="false">ROUND(G160/1,2)</f>
        <v>31.43</v>
      </c>
      <c r="J160" s="12" t="n">
        <v>342</v>
      </c>
      <c r="K160" s="12" t="s">
        <v>511</v>
      </c>
      <c r="L160" s="28" t="n">
        <f aca="false">G160</f>
        <v>31.43</v>
      </c>
      <c r="M160" s="13" t="n">
        <v>2.88</v>
      </c>
      <c r="N160" s="12" t="n">
        <v>342</v>
      </c>
      <c r="O160" s="12" t="s">
        <v>511</v>
      </c>
      <c r="P160" s="12" t="s">
        <v>458</v>
      </c>
      <c r="Q160" s="13" t="n">
        <v>2.88019483302203</v>
      </c>
      <c r="R160" s="13" t="n">
        <f aca="false">IF(N160="","",SUMIFS($I$5:$I$210,$N$5:$N$210,N160))</f>
        <v>52.92</v>
      </c>
      <c r="S160" s="26" t="s">
        <v>553</v>
      </c>
      <c r="T160" s="5"/>
    </row>
    <row r="161" customFormat="false" ht="15" hidden="false" customHeight="false" outlineLevel="0" collapsed="false">
      <c r="A161" s="12" t="s">
        <v>800</v>
      </c>
      <c r="B161" s="12" t="s">
        <v>797</v>
      </c>
      <c r="C161" s="12" t="s">
        <v>798</v>
      </c>
      <c r="D161" s="12" t="s">
        <v>801</v>
      </c>
      <c r="E161" s="12" t="s">
        <v>558</v>
      </c>
      <c r="F161" s="12" t="n">
        <v>148</v>
      </c>
      <c r="G161" s="28" t="n">
        <v>21.49</v>
      </c>
      <c r="H161" s="12" t="s">
        <v>552</v>
      </c>
      <c r="I161" s="28" t="n">
        <f aca="false">ROUND(G161/1,2)</f>
        <v>21.49</v>
      </c>
      <c r="J161" s="12" t="n">
        <v>342</v>
      </c>
      <c r="K161" s="12" t="s">
        <v>511</v>
      </c>
      <c r="L161" s="28" t="n">
        <f aca="false">G161</f>
        <v>21.49</v>
      </c>
      <c r="M161" s="13" t="n">
        <v>0.91</v>
      </c>
      <c r="N161" s="12" t="n">
        <v>342</v>
      </c>
      <c r="O161" s="12" t="s">
        <v>511</v>
      </c>
      <c r="P161" s="12" t="s">
        <v>458</v>
      </c>
      <c r="Q161" s="13" t="n">
        <v>0.911852183831551</v>
      </c>
      <c r="R161" s="13" t="n">
        <f aca="false">IF(N161="","",SUMIFS($I$5:$I$210,$N$5:$N$210,N161))</f>
        <v>52.92</v>
      </c>
      <c r="S161" s="26" t="s">
        <v>553</v>
      </c>
      <c r="T161" s="5"/>
    </row>
    <row r="162" customFormat="false" ht="15" hidden="false" customHeight="false" outlineLevel="0" collapsed="false">
      <c r="A162" s="12" t="s">
        <v>802</v>
      </c>
      <c r="B162" s="12" t="s">
        <v>22</v>
      </c>
      <c r="C162" s="12" t="s">
        <v>803</v>
      </c>
      <c r="D162" s="12" t="s">
        <v>804</v>
      </c>
      <c r="E162" s="12" t="s">
        <v>551</v>
      </c>
      <c r="F162" s="12" t="n">
        <v>147</v>
      </c>
      <c r="G162" s="28" t="n">
        <v>56.34</v>
      </c>
      <c r="H162" s="12" t="s">
        <v>552</v>
      </c>
      <c r="I162" s="28" t="n">
        <f aca="false">ROUND(G162/1,2)</f>
        <v>56.34</v>
      </c>
      <c r="J162" s="12" t="n">
        <v>442</v>
      </c>
      <c r="K162" s="12" t="s">
        <v>484</v>
      </c>
      <c r="L162" s="28" t="n">
        <f aca="false">G162</f>
        <v>56.34</v>
      </c>
      <c r="M162" s="13" t="n">
        <v>0.79</v>
      </c>
      <c r="N162" s="12" t="n">
        <v>442</v>
      </c>
      <c r="O162" s="12" t="s">
        <v>484</v>
      </c>
      <c r="P162" s="12" t="s">
        <v>458</v>
      </c>
      <c r="Q162" s="13" t="n">
        <v>0.786442412965705</v>
      </c>
      <c r="R162" s="13" t="n">
        <f aca="false">IF(N162="","",SUMIFS($I$5:$I$210,$N$5:$N$210,N162))</f>
        <v>203.88</v>
      </c>
      <c r="S162" s="26" t="s">
        <v>553</v>
      </c>
      <c r="T162" s="5"/>
    </row>
    <row r="163" customFormat="false" ht="15" hidden="false" customHeight="false" outlineLevel="0" collapsed="false">
      <c r="A163" s="12" t="s">
        <v>805</v>
      </c>
      <c r="B163" s="12" t="s">
        <v>22</v>
      </c>
      <c r="C163" s="12" t="s">
        <v>803</v>
      </c>
      <c r="D163" s="12" t="s">
        <v>804</v>
      </c>
      <c r="E163" s="12" t="s">
        <v>561</v>
      </c>
      <c r="F163" s="12" t="n">
        <v>131</v>
      </c>
      <c r="G163" s="28" t="n">
        <v>54.12</v>
      </c>
      <c r="H163" s="12" t="s">
        <v>552</v>
      </c>
      <c r="I163" s="28" t="n">
        <f aca="false">ROUND(G163/1,2)</f>
        <v>54.12</v>
      </c>
      <c r="J163" s="12" t="n">
        <v>442</v>
      </c>
      <c r="K163" s="12" t="s">
        <v>484</v>
      </c>
      <c r="L163" s="28" t="n">
        <f aca="false">G163</f>
        <v>54.12</v>
      </c>
      <c r="M163" s="13" t="n">
        <v>0.87</v>
      </c>
      <c r="N163" s="12" t="n">
        <v>442</v>
      </c>
      <c r="O163" s="12" t="s">
        <v>484</v>
      </c>
      <c r="P163" s="12" t="s">
        <v>458</v>
      </c>
      <c r="Q163" s="13" t="n">
        <v>0.873594873739171</v>
      </c>
      <c r="R163" s="13" t="n">
        <f aca="false">IF(N163="","",SUMIFS($I$5:$I$210,$N$5:$N$210,N163))</f>
        <v>203.88</v>
      </c>
      <c r="S163" s="26" t="s">
        <v>553</v>
      </c>
      <c r="T163" s="5"/>
    </row>
    <row r="164" customFormat="false" ht="15" hidden="false" customHeight="false" outlineLevel="0" collapsed="false">
      <c r="A164" s="12" t="s">
        <v>806</v>
      </c>
      <c r="B164" s="12" t="s">
        <v>22</v>
      </c>
      <c r="C164" s="12" t="s">
        <v>803</v>
      </c>
      <c r="D164" s="12" t="s">
        <v>807</v>
      </c>
      <c r="E164" s="12" t="s">
        <v>551</v>
      </c>
      <c r="F164" s="12" t="n">
        <v>135</v>
      </c>
      <c r="G164" s="28" t="n">
        <v>54.76</v>
      </c>
      <c r="H164" s="12" t="s">
        <v>552</v>
      </c>
      <c r="I164" s="28" t="n">
        <f aca="false">ROUND(G164/1,2)</f>
        <v>54.76</v>
      </c>
      <c r="J164" s="12" t="n">
        <v>432</v>
      </c>
      <c r="K164" s="12" t="s">
        <v>483</v>
      </c>
      <c r="L164" s="28" t="n">
        <f aca="false">G164</f>
        <v>54.76</v>
      </c>
      <c r="M164" s="13" t="n">
        <v>0.96</v>
      </c>
      <c r="N164" s="12" t="n">
        <v>432</v>
      </c>
      <c r="O164" s="12" t="s">
        <v>483</v>
      </c>
      <c r="P164" s="12" t="s">
        <v>458</v>
      </c>
      <c r="Q164" s="13" t="n">
        <v>0.958788649957891</v>
      </c>
      <c r="R164" s="13" t="n">
        <f aca="false">IF(N164="","",SUMIFS($I$5:$I$210,$N$5:$N$210,N164))</f>
        <v>181.65</v>
      </c>
      <c r="S164" s="26" t="s">
        <v>553</v>
      </c>
      <c r="T164" s="5"/>
    </row>
    <row r="165" customFormat="false" ht="15" hidden="false" customHeight="false" outlineLevel="0" collapsed="false">
      <c r="A165" s="12" t="s">
        <v>808</v>
      </c>
      <c r="B165" s="12" t="s">
        <v>22</v>
      </c>
      <c r="C165" s="12" t="s">
        <v>803</v>
      </c>
      <c r="D165" s="12" t="s">
        <v>807</v>
      </c>
      <c r="E165" s="12" t="s">
        <v>561</v>
      </c>
      <c r="F165" s="12" t="n">
        <v>219</v>
      </c>
      <c r="G165" s="28" t="n">
        <v>55.72</v>
      </c>
      <c r="H165" s="12" t="s">
        <v>552</v>
      </c>
      <c r="I165" s="28" t="n">
        <f aca="false">ROUND(G165/1,2)</f>
        <v>55.72</v>
      </c>
      <c r="J165" s="12" t="n">
        <v>420</v>
      </c>
      <c r="K165" s="12" t="s">
        <v>482</v>
      </c>
      <c r="L165" s="28" t="n">
        <f aca="false">G165</f>
        <v>55.72</v>
      </c>
      <c r="M165" s="13" t="n">
        <v>1.62</v>
      </c>
      <c r="N165" s="12" t="n">
        <v>420</v>
      </c>
      <c r="O165" s="12" t="s">
        <v>482</v>
      </c>
      <c r="P165" s="12" t="s">
        <v>458</v>
      </c>
      <c r="Q165" s="13" t="n">
        <v>1.61550357759227</v>
      </c>
      <c r="R165" s="13" t="n">
        <f aca="false">IF(N165="","",SUMIFS($I$5:$I$210,$N$5:$N$210,N165))</f>
        <v>198.94</v>
      </c>
      <c r="S165" s="26" t="s">
        <v>553</v>
      </c>
      <c r="T165" s="5"/>
    </row>
    <row r="166" customFormat="false" ht="15" hidden="false" customHeight="false" outlineLevel="0" collapsed="false">
      <c r="A166" s="12" t="s">
        <v>809</v>
      </c>
      <c r="B166" s="12" t="s">
        <v>22</v>
      </c>
      <c r="C166" s="12" t="s">
        <v>810</v>
      </c>
      <c r="D166" s="12" t="s">
        <v>811</v>
      </c>
      <c r="E166" s="12" t="s">
        <v>573</v>
      </c>
      <c r="F166" s="12" t="n">
        <v>150</v>
      </c>
      <c r="G166" s="28" t="n">
        <v>21.55</v>
      </c>
      <c r="H166" s="12" t="s">
        <v>552</v>
      </c>
      <c r="I166" s="28" t="n">
        <f aca="false">ROUND(G166/1,2)</f>
        <v>21.55</v>
      </c>
      <c r="J166" s="12" t="n">
        <v>450</v>
      </c>
      <c r="K166" s="12" t="s">
        <v>519</v>
      </c>
      <c r="L166" s="28" t="n">
        <f aca="false">G166</f>
        <v>21.55</v>
      </c>
      <c r="M166" s="13" t="n">
        <v>0.33</v>
      </c>
      <c r="N166" s="12" t="n">
        <v>450</v>
      </c>
      <c r="O166" s="12" t="s">
        <v>519</v>
      </c>
      <c r="P166" s="12" t="s">
        <v>458</v>
      </c>
      <c r="Q166" s="13" t="n">
        <v>0.333946429342767</v>
      </c>
      <c r="R166" s="13" t="n">
        <f aca="false">IF(N166="","",SUMIFS($I$5:$I$210,$N$5:$N$210,N166))</f>
        <v>194.1</v>
      </c>
      <c r="S166" s="26" t="s">
        <v>553</v>
      </c>
      <c r="T166" s="5"/>
    </row>
    <row r="167" customFormat="false" ht="15" hidden="false" customHeight="false" outlineLevel="0" collapsed="false">
      <c r="A167" s="12" t="s">
        <v>812</v>
      </c>
      <c r="B167" s="12" t="s">
        <v>22</v>
      </c>
      <c r="C167" s="12" t="s">
        <v>810</v>
      </c>
      <c r="D167" s="12" t="s">
        <v>811</v>
      </c>
      <c r="E167" s="12" t="s">
        <v>651</v>
      </c>
      <c r="F167" s="12" t="n">
        <v>143</v>
      </c>
      <c r="G167" s="28" t="n">
        <v>20.93</v>
      </c>
      <c r="H167" s="12" t="s">
        <v>552</v>
      </c>
      <c r="I167" s="28" t="n">
        <f aca="false">ROUND(G167/1,2)</f>
        <v>20.93</v>
      </c>
      <c r="J167" s="12" t="n">
        <v>428</v>
      </c>
      <c r="K167" s="12" t="s">
        <v>517</v>
      </c>
      <c r="L167" s="28" t="n">
        <f aca="false">G167</f>
        <v>20.93</v>
      </c>
      <c r="M167" s="13" t="n">
        <v>1.27</v>
      </c>
      <c r="N167" s="12" t="n">
        <v>428</v>
      </c>
      <c r="O167" s="12" t="s">
        <v>517</v>
      </c>
      <c r="P167" s="12" t="s">
        <v>458</v>
      </c>
      <c r="Q167" s="13" t="n">
        <v>1.27412719177123</v>
      </c>
      <c r="R167" s="13" t="n">
        <f aca="false">IF(N167="","",SUMIFS($I$5:$I$210,$N$5:$N$210,N167))</f>
        <v>217.5</v>
      </c>
      <c r="S167" s="26" t="s">
        <v>553</v>
      </c>
      <c r="T167" s="5"/>
    </row>
    <row r="168" customFormat="false" ht="23.85" hidden="false" customHeight="false" outlineLevel="0" collapsed="false">
      <c r="A168" s="12" t="s">
        <v>813</v>
      </c>
      <c r="B168" s="12" t="s">
        <v>22</v>
      </c>
      <c r="C168" s="12" t="s">
        <v>810</v>
      </c>
      <c r="D168" s="12" t="s">
        <v>814</v>
      </c>
      <c r="E168" s="12" t="s">
        <v>551</v>
      </c>
      <c r="F168" s="12" t="n">
        <v>120</v>
      </c>
      <c r="G168" s="28" t="n">
        <v>54.73</v>
      </c>
      <c r="H168" s="12" t="s">
        <v>552</v>
      </c>
      <c r="I168" s="28" t="n">
        <f aca="false">ROUND(G168/1,2)</f>
        <v>54.73</v>
      </c>
      <c r="J168" s="12" t="n">
        <v>432</v>
      </c>
      <c r="K168" s="12" t="s">
        <v>483</v>
      </c>
      <c r="L168" s="28" t="n">
        <f aca="false">G168</f>
        <v>54.73</v>
      </c>
      <c r="M168" s="13" t="n">
        <v>11.22</v>
      </c>
      <c r="N168" s="12" t="n">
        <v>334</v>
      </c>
      <c r="O168" s="12" t="s">
        <v>250</v>
      </c>
      <c r="P168" s="12" t="s">
        <v>472</v>
      </c>
      <c r="Q168" s="13" t="n">
        <v>27.7785631382901</v>
      </c>
      <c r="R168" s="13" t="n">
        <f aca="false">IF(N168="","",SUMIFS($I$5:$I$210,$N$5:$N$210,N168))</f>
        <v>187.59</v>
      </c>
      <c r="S168" s="30" t="s">
        <v>628</v>
      </c>
      <c r="T168" s="5" t="s">
        <v>624</v>
      </c>
    </row>
    <row r="169" customFormat="false" ht="15" hidden="false" customHeight="false" outlineLevel="0" collapsed="false">
      <c r="A169" s="12" t="s">
        <v>815</v>
      </c>
      <c r="B169" s="12" t="s">
        <v>22</v>
      </c>
      <c r="C169" s="12" t="s">
        <v>810</v>
      </c>
      <c r="D169" s="12" t="s">
        <v>814</v>
      </c>
      <c r="E169" s="12" t="s">
        <v>561</v>
      </c>
      <c r="F169" s="12" t="n">
        <v>138</v>
      </c>
      <c r="G169" s="28" t="n">
        <v>50.86</v>
      </c>
      <c r="H169" s="12" t="s">
        <v>552</v>
      </c>
      <c r="I169" s="28" t="n">
        <f aca="false">ROUND(G169/1,2)</f>
        <v>50.86</v>
      </c>
      <c r="J169" s="12" t="n">
        <v>428</v>
      </c>
      <c r="K169" s="12" t="s">
        <v>517</v>
      </c>
      <c r="L169" s="28" t="n">
        <f aca="false">G169</f>
        <v>50.86</v>
      </c>
      <c r="M169" s="13" t="n">
        <v>0.48</v>
      </c>
      <c r="N169" s="12" t="n">
        <v>428</v>
      </c>
      <c r="O169" s="12" t="s">
        <v>517</v>
      </c>
      <c r="P169" s="12" t="s">
        <v>458</v>
      </c>
      <c r="Q169" s="13" t="n">
        <v>0.481763761730484</v>
      </c>
      <c r="R169" s="13" t="n">
        <f aca="false">IF(N169="","",SUMIFS($I$5:$I$210,$N$5:$N$210,N169))</f>
        <v>217.5</v>
      </c>
      <c r="S169" s="26" t="s">
        <v>553</v>
      </c>
      <c r="T169" s="5"/>
    </row>
    <row r="170" customFormat="false" ht="15" hidden="false" customHeight="false" outlineLevel="0" collapsed="false">
      <c r="A170" s="12" t="s">
        <v>816</v>
      </c>
      <c r="B170" s="12" t="s">
        <v>22</v>
      </c>
      <c r="C170" s="12" t="s">
        <v>810</v>
      </c>
      <c r="D170" s="12" t="s">
        <v>814</v>
      </c>
      <c r="E170" s="12" t="s">
        <v>608</v>
      </c>
      <c r="F170" s="12" t="n">
        <v>152</v>
      </c>
      <c r="G170" s="28" t="n">
        <v>53.23</v>
      </c>
      <c r="H170" s="12" t="s">
        <v>552</v>
      </c>
      <c r="I170" s="28" t="n">
        <f aca="false">ROUND(G170/1,2)</f>
        <v>53.23</v>
      </c>
      <c r="J170" s="12" t="n">
        <v>428</v>
      </c>
      <c r="K170" s="12" t="s">
        <v>517</v>
      </c>
      <c r="L170" s="28" t="n">
        <f aca="false">G170</f>
        <v>53.23</v>
      </c>
      <c r="M170" s="13" t="n">
        <v>0.82</v>
      </c>
      <c r="N170" s="12" t="n">
        <v>428</v>
      </c>
      <c r="O170" s="12" t="s">
        <v>517</v>
      </c>
      <c r="P170" s="12" t="s">
        <v>458</v>
      </c>
      <c r="Q170" s="13" t="n">
        <v>0.815253472135916</v>
      </c>
      <c r="R170" s="13" t="n">
        <f aca="false">IF(N170="","",SUMIFS($I$5:$I$210,$N$5:$N$210,N170))</f>
        <v>217.5</v>
      </c>
      <c r="S170" s="26" t="s">
        <v>553</v>
      </c>
      <c r="T170" s="5"/>
    </row>
    <row r="171" customFormat="false" ht="15" hidden="false" customHeight="false" outlineLevel="0" collapsed="false">
      <c r="A171" s="12" t="s">
        <v>817</v>
      </c>
      <c r="B171" s="12" t="s">
        <v>22</v>
      </c>
      <c r="C171" s="12" t="s">
        <v>810</v>
      </c>
      <c r="D171" s="12" t="s">
        <v>818</v>
      </c>
      <c r="E171" s="12" t="s">
        <v>551</v>
      </c>
      <c r="F171" s="12" t="n">
        <v>136</v>
      </c>
      <c r="G171" s="28" t="n">
        <v>43.46</v>
      </c>
      <c r="H171" s="12" t="s">
        <v>552</v>
      </c>
      <c r="I171" s="28" t="n">
        <f aca="false">ROUND(G171/1,2)</f>
        <v>43.46</v>
      </c>
      <c r="J171" s="12" t="n">
        <v>167</v>
      </c>
      <c r="K171" s="12" t="s">
        <v>475</v>
      </c>
      <c r="L171" s="28" t="n">
        <f aca="false">G171</f>
        <v>43.46</v>
      </c>
      <c r="M171" s="13" t="n">
        <v>6.31</v>
      </c>
      <c r="N171" s="12" t="n">
        <v>394</v>
      </c>
      <c r="O171" s="12" t="s">
        <v>523</v>
      </c>
      <c r="P171" s="12" t="s">
        <v>458</v>
      </c>
      <c r="Q171" s="13" t="n">
        <v>9.41698928022614</v>
      </c>
      <c r="R171" s="13" t="n">
        <f aca="false">IF(N171="","",SUMIFS($I$5:$I$210,$N$5:$N$210,N171))</f>
        <v>199.46</v>
      </c>
      <c r="S171" s="30" t="s">
        <v>677</v>
      </c>
      <c r="T171" s="5" t="s">
        <v>819</v>
      </c>
    </row>
    <row r="172" customFormat="false" ht="15" hidden="false" customHeight="false" outlineLevel="0" collapsed="false">
      <c r="A172" s="12" t="s">
        <v>820</v>
      </c>
      <c r="B172" s="12" t="s">
        <v>22</v>
      </c>
      <c r="C172" s="12" t="s">
        <v>810</v>
      </c>
      <c r="D172" s="12" t="s">
        <v>818</v>
      </c>
      <c r="E172" s="12" t="s">
        <v>561</v>
      </c>
      <c r="F172" s="12" t="n">
        <v>137</v>
      </c>
      <c r="G172" s="28" t="n">
        <v>42.52</v>
      </c>
      <c r="H172" s="12" t="s">
        <v>552</v>
      </c>
      <c r="I172" s="28" t="n">
        <f aca="false">ROUND(G172/1,2)</f>
        <v>42.52</v>
      </c>
      <c r="J172" s="12" t="n">
        <v>450</v>
      </c>
      <c r="K172" s="12" t="s">
        <v>519</v>
      </c>
      <c r="L172" s="28" t="n">
        <f aca="false">G172</f>
        <v>42.52</v>
      </c>
      <c r="M172" s="13" t="n">
        <v>4.52</v>
      </c>
      <c r="N172" s="12" t="n">
        <v>450</v>
      </c>
      <c r="O172" s="12" t="s">
        <v>519</v>
      </c>
      <c r="P172" s="12" t="s">
        <v>458</v>
      </c>
      <c r="Q172" s="13" t="n">
        <v>4.51830332605732</v>
      </c>
      <c r="R172" s="13" t="n">
        <f aca="false">IF(N172="","",SUMIFS($I$5:$I$210,$N$5:$N$210,N172))</f>
        <v>194.1</v>
      </c>
      <c r="S172" s="26" t="s">
        <v>553</v>
      </c>
      <c r="T172" s="5"/>
    </row>
    <row r="173" customFormat="false" ht="15" hidden="false" customHeight="false" outlineLevel="0" collapsed="false">
      <c r="A173" s="12" t="s">
        <v>821</v>
      </c>
      <c r="B173" s="12" t="s">
        <v>22</v>
      </c>
      <c r="C173" s="12" t="s">
        <v>810</v>
      </c>
      <c r="D173" s="12" t="s">
        <v>818</v>
      </c>
      <c r="E173" s="12" t="s">
        <v>608</v>
      </c>
      <c r="F173" s="12" t="n">
        <v>260</v>
      </c>
      <c r="G173" s="28" t="n">
        <v>61.17</v>
      </c>
      <c r="H173" s="12" t="s">
        <v>552</v>
      </c>
      <c r="I173" s="28" t="n">
        <f aca="false">ROUND(G173/1,2)</f>
        <v>61.17</v>
      </c>
      <c r="J173" s="12" t="n">
        <v>450</v>
      </c>
      <c r="K173" s="12" t="s">
        <v>519</v>
      </c>
      <c r="L173" s="28" t="n">
        <f aca="false">G173</f>
        <v>61.17</v>
      </c>
      <c r="M173" s="13" t="n">
        <v>4.74</v>
      </c>
      <c r="N173" s="12" t="n">
        <v>409</v>
      </c>
      <c r="O173" s="12" t="s">
        <v>520</v>
      </c>
      <c r="P173" s="12" t="s">
        <v>458</v>
      </c>
      <c r="Q173" s="13" t="n">
        <v>3.50676243817529</v>
      </c>
      <c r="R173" s="13" t="n">
        <f aca="false">IF(N173="","",SUMIFS($I$5:$I$210,$N$5:$N$210,N173))</f>
        <v>197</v>
      </c>
      <c r="S173" s="30" t="s">
        <v>677</v>
      </c>
      <c r="T173" s="5" t="s">
        <v>822</v>
      </c>
    </row>
    <row r="174" customFormat="false" ht="15" hidden="false" customHeight="false" outlineLevel="0" collapsed="false">
      <c r="A174" s="12" t="s">
        <v>823</v>
      </c>
      <c r="B174" s="12" t="s">
        <v>22</v>
      </c>
      <c r="C174" s="12" t="s">
        <v>810</v>
      </c>
      <c r="D174" s="12" t="s">
        <v>818</v>
      </c>
      <c r="E174" s="12" t="s">
        <v>573</v>
      </c>
      <c r="F174" s="12" t="n">
        <v>179</v>
      </c>
      <c r="G174" s="28" t="n">
        <v>46.88</v>
      </c>
      <c r="H174" s="12" t="s">
        <v>552</v>
      </c>
      <c r="I174" s="28" t="n">
        <f aca="false">ROUND(G174/1,2)</f>
        <v>46.88</v>
      </c>
      <c r="J174" s="12" t="n">
        <v>428</v>
      </c>
      <c r="K174" s="12" t="s">
        <v>517</v>
      </c>
      <c r="L174" s="28" t="n">
        <f aca="false">G174</f>
        <v>46.88</v>
      </c>
      <c r="M174" s="13" t="n">
        <v>1.78</v>
      </c>
      <c r="N174" s="12" t="n">
        <v>428</v>
      </c>
      <c r="O174" s="12" t="s">
        <v>517</v>
      </c>
      <c r="P174" s="12" t="s">
        <v>458</v>
      </c>
      <c r="Q174" s="13" t="n">
        <v>1.78229309613644</v>
      </c>
      <c r="R174" s="13" t="n">
        <f aca="false">IF(N174="","",SUMIFS($I$5:$I$210,$N$5:$N$210,N174))</f>
        <v>217.5</v>
      </c>
      <c r="S174" s="26" t="s">
        <v>553</v>
      </c>
      <c r="T174" s="5"/>
    </row>
    <row r="175" customFormat="false" ht="15" hidden="false" customHeight="false" outlineLevel="0" collapsed="false">
      <c r="A175" s="12" t="s">
        <v>824</v>
      </c>
      <c r="B175" s="12" t="s">
        <v>22</v>
      </c>
      <c r="C175" s="12" t="s">
        <v>195</v>
      </c>
      <c r="D175" s="12" t="s">
        <v>825</v>
      </c>
      <c r="E175" s="12" t="s">
        <v>573</v>
      </c>
      <c r="F175" s="12" t="n">
        <v>123</v>
      </c>
      <c r="G175" s="28" t="n">
        <v>57.57</v>
      </c>
      <c r="H175" s="12" t="s">
        <v>552</v>
      </c>
      <c r="I175" s="28" t="n">
        <f aca="false">ROUND(G175/1,2)</f>
        <v>57.57</v>
      </c>
      <c r="J175" s="12" t="n">
        <v>432</v>
      </c>
      <c r="K175" s="12" t="s">
        <v>483</v>
      </c>
      <c r="L175" s="28" t="n">
        <f aca="false">G175</f>
        <v>57.57</v>
      </c>
      <c r="M175" s="13" t="n">
        <v>8.82</v>
      </c>
      <c r="N175" s="12" t="n">
        <v>432</v>
      </c>
      <c r="O175" s="12" t="s">
        <v>483</v>
      </c>
      <c r="P175" s="12" t="s">
        <v>458</v>
      </c>
      <c r="Q175" s="13" t="n">
        <v>8.82275427441849</v>
      </c>
      <c r="R175" s="13" t="n">
        <f aca="false">IF(N175="","",SUMIFS($I$5:$I$210,$N$5:$N$210,N175))</f>
        <v>181.65</v>
      </c>
      <c r="S175" s="26" t="s">
        <v>553</v>
      </c>
      <c r="T175" s="5" t="s">
        <v>621</v>
      </c>
    </row>
    <row r="176" customFormat="false" ht="23.85" hidden="false" customHeight="false" outlineLevel="0" collapsed="false">
      <c r="A176" s="12" t="s">
        <v>826</v>
      </c>
      <c r="B176" s="12" t="s">
        <v>22</v>
      </c>
      <c r="C176" s="12" t="s">
        <v>195</v>
      </c>
      <c r="D176" s="12" t="s">
        <v>827</v>
      </c>
      <c r="E176" s="12" t="s">
        <v>551</v>
      </c>
      <c r="F176" s="12" t="n">
        <v>167</v>
      </c>
      <c r="G176" s="28" t="n">
        <v>139.57</v>
      </c>
      <c r="H176" s="12" t="s">
        <v>552</v>
      </c>
      <c r="I176" s="28" t="n">
        <f aca="false">ROUND(G176/1,2)</f>
        <v>139.57</v>
      </c>
      <c r="J176" s="12"/>
      <c r="K176" s="12"/>
      <c r="L176" s="28"/>
      <c r="M176" s="13"/>
      <c r="N176" s="12" t="n">
        <v>340</v>
      </c>
      <c r="O176" s="12" t="s">
        <v>235</v>
      </c>
      <c r="P176" s="12" t="s">
        <v>472</v>
      </c>
      <c r="Q176" s="13" t="n">
        <v>70.0692179304549</v>
      </c>
      <c r="R176" s="13" t="n">
        <f aca="false">IF(N176="","",SUMIFS($I$5:$I$210,$N$5:$N$210,N176))</f>
        <v>139.57</v>
      </c>
      <c r="S176" s="27" t="s">
        <v>648</v>
      </c>
      <c r="T176" s="5" t="s">
        <v>624</v>
      </c>
    </row>
    <row r="177" customFormat="false" ht="23.85" hidden="false" customHeight="false" outlineLevel="0" collapsed="false">
      <c r="A177" s="12" t="s">
        <v>828</v>
      </c>
      <c r="B177" s="12" t="s">
        <v>22</v>
      </c>
      <c r="C177" s="12" t="s">
        <v>195</v>
      </c>
      <c r="D177" s="12" t="s">
        <v>827</v>
      </c>
      <c r="E177" s="12" t="s">
        <v>561</v>
      </c>
      <c r="F177" s="12" t="n">
        <v>120</v>
      </c>
      <c r="G177" s="28" t="n">
        <v>132.86</v>
      </c>
      <c r="H177" s="12" t="s">
        <v>552</v>
      </c>
      <c r="I177" s="28" t="n">
        <f aca="false">ROUND(G177/1,2)</f>
        <v>132.86</v>
      </c>
      <c r="J177" s="12"/>
      <c r="K177" s="12"/>
      <c r="L177" s="28"/>
      <c r="M177" s="13"/>
      <c r="N177" s="12" t="n">
        <v>334</v>
      </c>
      <c r="O177" s="12" t="s">
        <v>250</v>
      </c>
      <c r="P177" s="12" t="s">
        <v>472</v>
      </c>
      <c r="Q177" s="13" t="n">
        <v>30.400825502848</v>
      </c>
      <c r="R177" s="13" t="n">
        <f aca="false">IF(N177="","",SUMIFS($I$5:$I$210,$N$5:$N$210,N177))</f>
        <v>187.59</v>
      </c>
      <c r="S177" s="27" t="s">
        <v>648</v>
      </c>
      <c r="T177" s="5" t="s">
        <v>624</v>
      </c>
    </row>
    <row r="178" customFormat="false" ht="15" hidden="false" customHeight="false" outlineLevel="0" collapsed="false">
      <c r="A178" s="12" t="s">
        <v>829</v>
      </c>
      <c r="B178" s="12" t="s">
        <v>22</v>
      </c>
      <c r="C178" s="12" t="s">
        <v>195</v>
      </c>
      <c r="D178" s="12" t="s">
        <v>827</v>
      </c>
      <c r="E178" s="12" t="s">
        <v>608</v>
      </c>
      <c r="F178" s="12" t="n">
        <v>168</v>
      </c>
      <c r="G178" s="28" t="n">
        <v>139.71</v>
      </c>
      <c r="H178" s="12" t="s">
        <v>552</v>
      </c>
      <c r="I178" s="28" t="n">
        <f aca="false">ROUND(G178/1,2)</f>
        <v>139.71</v>
      </c>
      <c r="J178" s="12"/>
      <c r="K178" s="12"/>
      <c r="L178" s="28"/>
      <c r="M178" s="13"/>
      <c r="N178" s="12" t="n">
        <v>416</v>
      </c>
      <c r="O178" s="12" t="s">
        <v>526</v>
      </c>
      <c r="P178" s="12" t="s">
        <v>458</v>
      </c>
      <c r="Q178" s="13" t="n">
        <v>3.3094249383012</v>
      </c>
      <c r="R178" s="13" t="n">
        <f aca="false">IF(N178="","",SUMIFS($I$5:$I$210,$N$5:$N$210,N178))</f>
        <v>218.39</v>
      </c>
      <c r="S178" s="27" t="s">
        <v>648</v>
      </c>
      <c r="T178" s="5" t="s">
        <v>830</v>
      </c>
    </row>
    <row r="179" customFormat="false" ht="23.85" hidden="false" customHeight="false" outlineLevel="0" collapsed="false">
      <c r="A179" s="12" t="s">
        <v>831</v>
      </c>
      <c r="B179" s="12" t="s">
        <v>22</v>
      </c>
      <c r="C179" s="12" t="s">
        <v>195</v>
      </c>
      <c r="D179" s="12" t="s">
        <v>832</v>
      </c>
      <c r="E179" s="12" t="s">
        <v>551</v>
      </c>
      <c r="F179" s="12" t="n">
        <v>159</v>
      </c>
      <c r="G179" s="28" t="n">
        <v>138.43</v>
      </c>
      <c r="H179" s="12" t="s">
        <v>552</v>
      </c>
      <c r="I179" s="28" t="n">
        <f aca="false">ROUND(G179/1,2)</f>
        <v>138.43</v>
      </c>
      <c r="J179" s="12"/>
      <c r="K179" s="12"/>
      <c r="L179" s="28"/>
      <c r="M179" s="13"/>
      <c r="N179" s="12" t="n">
        <v>308</v>
      </c>
      <c r="O179" s="12" t="s">
        <v>241</v>
      </c>
      <c r="P179" s="12" t="s">
        <v>472</v>
      </c>
      <c r="Q179" s="13" t="n">
        <v>29.5180814590176</v>
      </c>
      <c r="R179" s="13" t="n">
        <f aca="false">IF(N179="","",SUMIFS($I$5:$I$210,$N$5:$N$210,N179))</f>
        <v>138.43</v>
      </c>
      <c r="S179" s="27" t="s">
        <v>648</v>
      </c>
      <c r="T179" s="5" t="s">
        <v>624</v>
      </c>
    </row>
    <row r="180" customFormat="false" ht="23.85" hidden="false" customHeight="false" outlineLevel="0" collapsed="false">
      <c r="A180" s="12" t="s">
        <v>833</v>
      </c>
      <c r="B180" s="12" t="s">
        <v>22</v>
      </c>
      <c r="C180" s="12" t="s">
        <v>195</v>
      </c>
      <c r="D180" s="12" t="s">
        <v>832</v>
      </c>
      <c r="E180" s="12" t="s">
        <v>561</v>
      </c>
      <c r="F180" s="12" t="n">
        <v>152</v>
      </c>
      <c r="G180" s="28" t="n">
        <v>137.43</v>
      </c>
      <c r="H180" s="12" t="s">
        <v>552</v>
      </c>
      <c r="I180" s="28" t="n">
        <f aca="false">ROUND(G180/1,2)</f>
        <v>137.43</v>
      </c>
      <c r="J180" s="12"/>
      <c r="K180" s="12"/>
      <c r="L180" s="28"/>
      <c r="M180" s="13"/>
      <c r="N180" s="12" t="n">
        <v>363</v>
      </c>
      <c r="O180" s="12" t="s">
        <v>245</v>
      </c>
      <c r="P180" s="12" t="s">
        <v>472</v>
      </c>
      <c r="Q180" s="13" t="n">
        <v>28.7987876012</v>
      </c>
      <c r="R180" s="13" t="n">
        <f aca="false">IF(N180="","",SUMIFS($I$5:$I$210,$N$5:$N$210,N180))</f>
        <v>137.43</v>
      </c>
      <c r="S180" s="27" t="s">
        <v>648</v>
      </c>
      <c r="T180" s="5" t="s">
        <v>624</v>
      </c>
    </row>
    <row r="181" customFormat="false" ht="23.85" hidden="false" customHeight="false" outlineLevel="0" collapsed="false">
      <c r="A181" s="12" t="s">
        <v>834</v>
      </c>
      <c r="B181" s="12" t="s">
        <v>22</v>
      </c>
      <c r="C181" s="12" t="s">
        <v>195</v>
      </c>
      <c r="D181" s="12" t="s">
        <v>835</v>
      </c>
      <c r="E181" s="12" t="s">
        <v>551</v>
      </c>
      <c r="F181" s="12" t="n">
        <v>131</v>
      </c>
      <c r="G181" s="28" t="n">
        <v>216.67</v>
      </c>
      <c r="H181" s="12" t="s">
        <v>552</v>
      </c>
      <c r="I181" s="28" t="n">
        <f aca="false">ROUND(G181/1,2)</f>
        <v>216.67</v>
      </c>
      <c r="J181" s="12"/>
      <c r="K181" s="12"/>
      <c r="L181" s="28"/>
      <c r="M181" s="13"/>
      <c r="N181" s="12" t="n">
        <v>310</v>
      </c>
      <c r="O181" s="12" t="s">
        <v>197</v>
      </c>
      <c r="P181" s="12" t="s">
        <v>472</v>
      </c>
      <c r="Q181" s="13" t="n">
        <v>28.498202620873</v>
      </c>
      <c r="R181" s="13" t="n">
        <f aca="false">IF(N181="","",SUMIFS($I$5:$I$210,$N$5:$N$210,N181))</f>
        <v>216.67</v>
      </c>
      <c r="S181" s="27" t="s">
        <v>648</v>
      </c>
      <c r="T181" s="5" t="s">
        <v>624</v>
      </c>
    </row>
    <row r="182" customFormat="false" ht="15" hidden="false" customHeight="false" outlineLevel="0" collapsed="false">
      <c r="A182" s="12" t="s">
        <v>836</v>
      </c>
      <c r="B182" s="12" t="s">
        <v>22</v>
      </c>
      <c r="C182" s="12" t="s">
        <v>195</v>
      </c>
      <c r="D182" s="12" t="s">
        <v>835</v>
      </c>
      <c r="E182" s="12" t="s">
        <v>561</v>
      </c>
      <c r="F182" s="12" t="n">
        <v>134</v>
      </c>
      <c r="G182" s="28" t="n">
        <v>216.67</v>
      </c>
      <c r="H182" s="12" t="s">
        <v>552</v>
      </c>
      <c r="I182" s="28" t="n">
        <f aca="false">ROUND(G182/1,2)</f>
        <v>216.67</v>
      </c>
      <c r="J182" s="12"/>
      <c r="K182" s="12"/>
      <c r="L182" s="28"/>
      <c r="M182" s="13"/>
      <c r="N182" s="12" t="n">
        <v>411</v>
      </c>
      <c r="O182" s="12" t="s">
        <v>525</v>
      </c>
      <c r="P182" s="12" t="s">
        <v>490</v>
      </c>
      <c r="Q182" s="13" t="n">
        <v>0.324685035793209</v>
      </c>
      <c r="R182" s="13" t="n">
        <f aca="false">IF(N182="","",SUMIFS($I$5:$I$210,$N$5:$N$210,N182))</f>
        <v>216.67</v>
      </c>
      <c r="S182" s="27" t="s">
        <v>648</v>
      </c>
      <c r="T182" s="5" t="s">
        <v>837</v>
      </c>
    </row>
    <row r="183" customFormat="false" ht="23.85" hidden="false" customHeight="false" outlineLevel="0" collapsed="false">
      <c r="A183" s="12" t="s">
        <v>838</v>
      </c>
      <c r="B183" s="12" t="s">
        <v>22</v>
      </c>
      <c r="C183" s="12" t="s">
        <v>195</v>
      </c>
      <c r="D183" s="12" t="s">
        <v>835</v>
      </c>
      <c r="E183" s="12" t="s">
        <v>608</v>
      </c>
      <c r="F183" s="12" t="n">
        <v>146</v>
      </c>
      <c r="G183" s="28" t="n">
        <v>216.67</v>
      </c>
      <c r="H183" s="12" t="s">
        <v>552</v>
      </c>
      <c r="I183" s="28" t="n">
        <f aca="false">ROUND(G183/1,2)</f>
        <v>216.67</v>
      </c>
      <c r="J183" s="12"/>
      <c r="K183" s="12"/>
      <c r="L183" s="28"/>
      <c r="M183" s="13"/>
      <c r="N183" s="12" t="n">
        <v>330</v>
      </c>
      <c r="O183" s="12" t="s">
        <v>204</v>
      </c>
      <c r="P183" s="12" t="s">
        <v>472</v>
      </c>
      <c r="Q183" s="13" t="n">
        <v>33.2972393123259</v>
      </c>
      <c r="R183" s="13" t="n">
        <f aca="false">IF(N183="","",SUMIFS($I$5:$I$210,$N$5:$N$210,N183))</f>
        <v>216.67</v>
      </c>
      <c r="S183" s="27" t="s">
        <v>648</v>
      </c>
      <c r="T183" s="5" t="s">
        <v>624</v>
      </c>
    </row>
    <row r="184" customFormat="false" ht="23.85" hidden="false" customHeight="false" outlineLevel="0" collapsed="false">
      <c r="A184" s="12" t="s">
        <v>839</v>
      </c>
      <c r="B184" s="12" t="s">
        <v>22</v>
      </c>
      <c r="C184" s="12" t="s">
        <v>195</v>
      </c>
      <c r="D184" s="12" t="s">
        <v>840</v>
      </c>
      <c r="E184" s="12" t="s">
        <v>558</v>
      </c>
      <c r="F184" s="12" t="n">
        <v>136</v>
      </c>
      <c r="G184" s="28" t="n">
        <v>98.11</v>
      </c>
      <c r="H184" s="12" t="s">
        <v>552</v>
      </c>
      <c r="I184" s="28" t="n">
        <f aca="false">ROUND(G184/1,2)</f>
        <v>98.11</v>
      </c>
      <c r="J184" s="12"/>
      <c r="K184" s="12"/>
      <c r="L184" s="28"/>
      <c r="M184" s="13"/>
      <c r="N184" s="12" t="n">
        <v>77</v>
      </c>
      <c r="O184" s="12" t="s">
        <v>256</v>
      </c>
      <c r="P184" s="12" t="s">
        <v>472</v>
      </c>
      <c r="Q184" s="13" t="n">
        <v>25.7972434677318</v>
      </c>
      <c r="R184" s="13" t="n">
        <f aca="false">IF(N184="","",SUMIFS($I$5:$I$210,$N$5:$N$210,N184))</f>
        <v>98.11</v>
      </c>
      <c r="S184" s="27" t="s">
        <v>648</v>
      </c>
      <c r="T184" s="5" t="s">
        <v>624</v>
      </c>
    </row>
    <row r="185" customFormat="false" ht="15" hidden="false" customHeight="false" outlineLevel="0" collapsed="false">
      <c r="A185" s="12" t="s">
        <v>841</v>
      </c>
      <c r="B185" s="12" t="s">
        <v>22</v>
      </c>
      <c r="C185" s="12" t="s">
        <v>209</v>
      </c>
      <c r="D185" s="12" t="s">
        <v>842</v>
      </c>
      <c r="E185" s="12" t="s">
        <v>551</v>
      </c>
      <c r="F185" s="12" t="n">
        <v>130</v>
      </c>
      <c r="G185" s="28" t="n">
        <v>85.28</v>
      </c>
      <c r="H185" s="12" t="s">
        <v>552</v>
      </c>
      <c r="I185" s="28" t="n">
        <f aca="false">ROUND(G185/1,2)</f>
        <v>85.28</v>
      </c>
      <c r="J185" s="12" t="n">
        <v>438</v>
      </c>
      <c r="K185" s="12" t="s">
        <v>518</v>
      </c>
      <c r="L185" s="28" t="n">
        <f aca="false">G185</f>
        <v>85.28</v>
      </c>
      <c r="M185" s="13" t="n">
        <v>1.14</v>
      </c>
      <c r="N185" s="12" t="n">
        <v>438</v>
      </c>
      <c r="O185" s="12" t="s">
        <v>518</v>
      </c>
      <c r="P185" s="12" t="s">
        <v>458</v>
      </c>
      <c r="Q185" s="13" t="n">
        <v>1.14254545554374</v>
      </c>
      <c r="R185" s="13" t="n">
        <f aca="false">IF(N185="","",SUMIFS($I$5:$I$210,$N$5:$N$210,N185))</f>
        <v>217.83</v>
      </c>
      <c r="S185" s="26" t="s">
        <v>553</v>
      </c>
      <c r="T185" s="5"/>
    </row>
    <row r="186" customFormat="false" ht="15" hidden="false" customHeight="false" outlineLevel="0" collapsed="false">
      <c r="A186" s="12" t="s">
        <v>843</v>
      </c>
      <c r="B186" s="12" t="s">
        <v>22</v>
      </c>
      <c r="C186" s="12" t="s">
        <v>209</v>
      </c>
      <c r="D186" s="12" t="s">
        <v>842</v>
      </c>
      <c r="E186" s="12" t="s">
        <v>561</v>
      </c>
      <c r="F186" s="12" t="n">
        <v>153</v>
      </c>
      <c r="G186" s="28" t="n">
        <v>87.99</v>
      </c>
      <c r="H186" s="12" t="s">
        <v>552</v>
      </c>
      <c r="I186" s="28" t="n">
        <f aca="false">ROUND(G186/1,2)</f>
        <v>87.99</v>
      </c>
      <c r="J186" s="12" t="n">
        <v>188</v>
      </c>
      <c r="K186" s="12" t="s">
        <v>516</v>
      </c>
      <c r="L186" s="28" t="n">
        <f aca="false">G186</f>
        <v>87.99</v>
      </c>
      <c r="M186" s="13" t="n">
        <v>0.56</v>
      </c>
      <c r="N186" s="12" t="n">
        <v>188</v>
      </c>
      <c r="O186" s="12" t="s">
        <v>516</v>
      </c>
      <c r="P186" s="12" t="s">
        <v>458</v>
      </c>
      <c r="Q186" s="13" t="n">
        <v>0.55809362004957</v>
      </c>
      <c r="R186" s="13" t="n">
        <f aca="false">IF(N186="","",SUMIFS($I$5:$I$210,$N$5:$N$210,N186))</f>
        <v>215.35</v>
      </c>
      <c r="S186" s="26" t="s">
        <v>553</v>
      </c>
      <c r="T186" s="5"/>
    </row>
    <row r="187" customFormat="false" ht="15" hidden="false" customHeight="false" outlineLevel="0" collapsed="false">
      <c r="A187" s="12" t="s">
        <v>844</v>
      </c>
      <c r="B187" s="12" t="s">
        <v>22</v>
      </c>
      <c r="C187" s="12" t="s">
        <v>209</v>
      </c>
      <c r="D187" s="12" t="s">
        <v>842</v>
      </c>
      <c r="E187" s="12" t="s">
        <v>608</v>
      </c>
      <c r="F187" s="12" t="n">
        <v>130</v>
      </c>
      <c r="G187" s="28" t="n">
        <v>86</v>
      </c>
      <c r="H187" s="12" t="s">
        <v>552</v>
      </c>
      <c r="I187" s="28" t="n">
        <f aca="false">ROUND(G187/1,2)</f>
        <v>86</v>
      </c>
      <c r="J187" s="12" t="n">
        <v>450</v>
      </c>
      <c r="K187" s="12" t="s">
        <v>519</v>
      </c>
      <c r="L187" s="28" t="n">
        <f aca="false">G187</f>
        <v>86</v>
      </c>
      <c r="M187" s="13" t="n">
        <v>1.86</v>
      </c>
      <c r="N187" s="12" t="n">
        <v>450</v>
      </c>
      <c r="O187" s="12" t="s">
        <v>519</v>
      </c>
      <c r="P187" s="12" t="s">
        <v>458</v>
      </c>
      <c r="Q187" s="13" t="n">
        <v>1.85740948388344</v>
      </c>
      <c r="R187" s="13" t="n">
        <f aca="false">IF(N187="","",SUMIFS($I$5:$I$210,$N$5:$N$210,N187))</f>
        <v>194.1</v>
      </c>
      <c r="S187" s="26" t="s">
        <v>553</v>
      </c>
      <c r="T187" s="5"/>
    </row>
    <row r="188" customFormat="false" ht="15" hidden="false" customHeight="false" outlineLevel="0" collapsed="false">
      <c r="A188" s="12" t="s">
        <v>845</v>
      </c>
      <c r="B188" s="12" t="s">
        <v>22</v>
      </c>
      <c r="C188" s="12" t="s">
        <v>209</v>
      </c>
      <c r="D188" s="12" t="s">
        <v>846</v>
      </c>
      <c r="E188" s="12" t="s">
        <v>558</v>
      </c>
      <c r="F188" s="12" t="n">
        <v>228</v>
      </c>
      <c r="G188" s="28" t="n">
        <v>127.36</v>
      </c>
      <c r="H188" s="12" t="s">
        <v>552</v>
      </c>
      <c r="I188" s="28" t="n">
        <f aca="false">ROUND(G188/1,2)</f>
        <v>127.36</v>
      </c>
      <c r="J188" s="12" t="n">
        <v>188</v>
      </c>
      <c r="K188" s="12" t="s">
        <v>516</v>
      </c>
      <c r="L188" s="28" t="n">
        <f aca="false">G188</f>
        <v>127.36</v>
      </c>
      <c r="M188" s="13" t="n">
        <v>1.59</v>
      </c>
      <c r="N188" s="12" t="n">
        <v>188</v>
      </c>
      <c r="O188" s="12" t="s">
        <v>516</v>
      </c>
      <c r="P188" s="12" t="s">
        <v>458</v>
      </c>
      <c r="Q188" s="13" t="n">
        <v>1.59264715507259</v>
      </c>
      <c r="R188" s="13" t="n">
        <f aca="false">IF(N188="","",SUMIFS($I$5:$I$210,$N$5:$N$210,N188))</f>
        <v>215.35</v>
      </c>
      <c r="S188" s="26" t="s">
        <v>553</v>
      </c>
      <c r="T188" s="5"/>
    </row>
    <row r="189" customFormat="false" ht="15" hidden="false" customHeight="false" outlineLevel="0" collapsed="false">
      <c r="A189" s="12" t="s">
        <v>847</v>
      </c>
      <c r="B189" s="12" t="s">
        <v>22</v>
      </c>
      <c r="C189" s="12" t="s">
        <v>209</v>
      </c>
      <c r="D189" s="12" t="s">
        <v>848</v>
      </c>
      <c r="E189" s="12" t="s">
        <v>558</v>
      </c>
      <c r="F189" s="12" t="n">
        <v>179</v>
      </c>
      <c r="G189" s="28" t="n">
        <v>80.01</v>
      </c>
      <c r="H189" s="12" t="s">
        <v>552</v>
      </c>
      <c r="I189" s="28" t="n">
        <f aca="false">ROUND(G189/1,2)</f>
        <v>80.01</v>
      </c>
      <c r="J189" s="12" t="n">
        <v>438</v>
      </c>
      <c r="K189" s="12" t="s">
        <v>518</v>
      </c>
      <c r="L189" s="28" t="n">
        <f aca="false">G189</f>
        <v>80.01</v>
      </c>
      <c r="M189" s="13" t="n">
        <v>2.37</v>
      </c>
      <c r="N189" s="12" t="n">
        <v>438</v>
      </c>
      <c r="O189" s="12" t="s">
        <v>518</v>
      </c>
      <c r="P189" s="12" t="s">
        <v>458</v>
      </c>
      <c r="Q189" s="13" t="n">
        <v>2.3741446462953</v>
      </c>
      <c r="R189" s="13" t="n">
        <f aca="false">IF(N189="","",SUMIFS($I$5:$I$210,$N$5:$N$210,N189))</f>
        <v>217.83</v>
      </c>
      <c r="S189" s="26" t="s">
        <v>553</v>
      </c>
      <c r="T189" s="5"/>
    </row>
    <row r="190" customFormat="false" ht="15" hidden="false" customHeight="false" outlineLevel="0" collapsed="false">
      <c r="A190" s="12" t="s">
        <v>849</v>
      </c>
      <c r="B190" s="12" t="s">
        <v>22</v>
      </c>
      <c r="C190" s="12" t="s">
        <v>209</v>
      </c>
      <c r="D190" s="12" t="s">
        <v>850</v>
      </c>
      <c r="E190" s="12" t="s">
        <v>558</v>
      </c>
      <c r="F190" s="12" t="n">
        <v>105</v>
      </c>
      <c r="G190" s="28" t="n">
        <v>78.68</v>
      </c>
      <c r="H190" s="12" t="s">
        <v>552</v>
      </c>
      <c r="I190" s="28" t="n">
        <f aca="false">ROUND(G190/1,2)</f>
        <v>78.68</v>
      </c>
      <c r="J190" s="12" t="n">
        <v>416</v>
      </c>
      <c r="K190" s="12" t="s">
        <v>526</v>
      </c>
      <c r="L190" s="28" t="n">
        <f aca="false">G190</f>
        <v>78.68</v>
      </c>
      <c r="M190" s="13" t="n">
        <v>0.04</v>
      </c>
      <c r="N190" s="12" t="n">
        <v>416</v>
      </c>
      <c r="O190" s="12" t="s">
        <v>526</v>
      </c>
      <c r="P190" s="12" t="s">
        <v>458</v>
      </c>
      <c r="Q190" s="13" t="n">
        <v>0.0373799971660399</v>
      </c>
      <c r="R190" s="13" t="n">
        <f aca="false">IF(N190="","",SUMIFS($I$5:$I$210,$N$5:$N$210,N190))</f>
        <v>218.39</v>
      </c>
      <c r="S190" s="26" t="s">
        <v>553</v>
      </c>
      <c r="T190" s="5"/>
    </row>
    <row r="191" customFormat="false" ht="23.85" hidden="false" customHeight="false" outlineLevel="0" collapsed="false">
      <c r="A191" s="12" t="s">
        <v>851</v>
      </c>
      <c r="B191" s="12" t="s">
        <v>22</v>
      </c>
      <c r="C191" s="12" t="s">
        <v>209</v>
      </c>
      <c r="D191" s="12" t="s">
        <v>852</v>
      </c>
      <c r="E191" s="12" t="s">
        <v>551</v>
      </c>
      <c r="F191" s="12" t="n">
        <v>124</v>
      </c>
      <c r="G191" s="28" t="n">
        <v>182</v>
      </c>
      <c r="H191" s="12" t="s">
        <v>552</v>
      </c>
      <c r="I191" s="28" t="n">
        <f aca="false">ROUND(G191/1,2)</f>
        <v>182</v>
      </c>
      <c r="J191" s="12"/>
      <c r="K191" s="12"/>
      <c r="L191" s="28"/>
      <c r="M191" s="13"/>
      <c r="N191" s="12" t="n">
        <v>364</v>
      </c>
      <c r="O191" s="12" t="s">
        <v>218</v>
      </c>
      <c r="P191" s="12" t="s">
        <v>472</v>
      </c>
      <c r="Q191" s="13"/>
      <c r="R191" s="13" t="n">
        <f aca="false">IF(N191="","",SUMIFS($I$5:$I$210,$N$5:$N$210,N191))</f>
        <v>182</v>
      </c>
      <c r="S191" s="27" t="s">
        <v>648</v>
      </c>
      <c r="T191" s="5" t="s">
        <v>624</v>
      </c>
    </row>
    <row r="192" customFormat="false" ht="23.85" hidden="false" customHeight="false" outlineLevel="0" collapsed="false">
      <c r="A192" s="12" t="s">
        <v>853</v>
      </c>
      <c r="B192" s="12" t="s">
        <v>22</v>
      </c>
      <c r="C192" s="12" t="s">
        <v>209</v>
      </c>
      <c r="D192" s="12" t="s">
        <v>852</v>
      </c>
      <c r="E192" s="12" t="s">
        <v>561</v>
      </c>
      <c r="F192" s="12" t="n">
        <v>124</v>
      </c>
      <c r="G192" s="28" t="n">
        <v>182</v>
      </c>
      <c r="H192" s="12" t="s">
        <v>552</v>
      </c>
      <c r="I192" s="28" t="n">
        <f aca="false">ROUND(G192/1,2)</f>
        <v>182</v>
      </c>
      <c r="J192" s="12"/>
      <c r="K192" s="12"/>
      <c r="L192" s="28"/>
      <c r="M192" s="13"/>
      <c r="N192" s="12" t="n">
        <v>374</v>
      </c>
      <c r="O192" s="12" t="s">
        <v>224</v>
      </c>
      <c r="P192" s="12" t="s">
        <v>472</v>
      </c>
      <c r="Q192" s="13" t="n">
        <v>44.7608595708802</v>
      </c>
      <c r="R192" s="13" t="n">
        <f aca="false">IF(N192="","",SUMIFS($I$5:$I$210,$N$5:$N$210,N192))</f>
        <v>182</v>
      </c>
      <c r="S192" s="27" t="s">
        <v>648</v>
      </c>
      <c r="T192" s="5" t="s">
        <v>624</v>
      </c>
    </row>
    <row r="193" customFormat="false" ht="15" hidden="false" customHeight="false" outlineLevel="0" collapsed="false">
      <c r="A193" s="12" t="s">
        <v>854</v>
      </c>
      <c r="B193" s="12" t="s">
        <v>22</v>
      </c>
      <c r="C193" s="12" t="s">
        <v>209</v>
      </c>
      <c r="D193" s="12" t="s">
        <v>855</v>
      </c>
      <c r="E193" s="12" t="s">
        <v>558</v>
      </c>
      <c r="F193" s="12" t="n">
        <v>53</v>
      </c>
      <c r="G193" s="28" t="n">
        <v>156</v>
      </c>
      <c r="H193" s="12" t="s">
        <v>552</v>
      </c>
      <c r="I193" s="28" t="n">
        <f aca="false">ROUND(G193/1,2)</f>
        <v>156</v>
      </c>
      <c r="J193" s="12"/>
      <c r="K193" s="12"/>
      <c r="L193" s="28"/>
      <c r="M193" s="13"/>
      <c r="N193" s="12" t="n">
        <v>394</v>
      </c>
      <c r="O193" s="12" t="s">
        <v>523</v>
      </c>
      <c r="P193" s="12" t="s">
        <v>458</v>
      </c>
      <c r="Q193" s="13" t="n">
        <v>8.83788391217543</v>
      </c>
      <c r="R193" s="13" t="n">
        <f aca="false">IF(N193="","",SUMIFS($I$5:$I$210,$N$5:$N$210,N193))</f>
        <v>199.46</v>
      </c>
      <c r="S193" s="27" t="s">
        <v>648</v>
      </c>
      <c r="T193" s="5" t="s">
        <v>766</v>
      </c>
    </row>
    <row r="194" customFormat="false" ht="15" hidden="false" customHeight="false" outlineLevel="0" collapsed="false">
      <c r="A194" s="12" t="s">
        <v>856</v>
      </c>
      <c r="B194" s="12" t="s">
        <v>22</v>
      </c>
      <c r="C194" s="12" t="s">
        <v>209</v>
      </c>
      <c r="D194" s="12" t="s">
        <v>857</v>
      </c>
      <c r="E194" s="12" t="s">
        <v>551</v>
      </c>
      <c r="F194" s="12" t="n">
        <v>66</v>
      </c>
      <c r="G194" s="28" t="n">
        <v>31.03</v>
      </c>
      <c r="H194" s="12" t="s">
        <v>552</v>
      </c>
      <c r="I194" s="28" t="n">
        <f aca="false">ROUND(G194/1,2)</f>
        <v>31.03</v>
      </c>
      <c r="J194" s="12"/>
      <c r="K194" s="12"/>
      <c r="L194" s="28"/>
      <c r="M194" s="13"/>
      <c r="N194" s="12" t="n">
        <v>167</v>
      </c>
      <c r="O194" s="12" t="s">
        <v>475</v>
      </c>
      <c r="P194" s="12" t="s">
        <v>458</v>
      </c>
      <c r="Q194" s="13" t="n">
        <v>6.27882597996218</v>
      </c>
      <c r="R194" s="13" t="n">
        <f aca="false">IF(N194="","",SUMIFS($I$5:$I$210,$N$5:$N$210,N194))</f>
        <v>213.09</v>
      </c>
      <c r="S194" s="27" t="s">
        <v>648</v>
      </c>
      <c r="T194" s="5" t="s">
        <v>858</v>
      </c>
    </row>
    <row r="195" customFormat="false" ht="15" hidden="false" customHeight="false" outlineLevel="0" collapsed="false">
      <c r="A195" s="12" t="s">
        <v>859</v>
      </c>
      <c r="B195" s="12" t="s">
        <v>22</v>
      </c>
      <c r="C195" s="12" t="s">
        <v>209</v>
      </c>
      <c r="D195" s="12" t="s">
        <v>857</v>
      </c>
      <c r="E195" s="12" t="s">
        <v>561</v>
      </c>
      <c r="F195" s="12" t="n">
        <v>168</v>
      </c>
      <c r="G195" s="28" t="n">
        <v>45.6</v>
      </c>
      <c r="H195" s="12" t="s">
        <v>552</v>
      </c>
      <c r="I195" s="28" t="n">
        <f aca="false">ROUND(G195/1,2)</f>
        <v>45.6</v>
      </c>
      <c r="J195" s="12"/>
      <c r="K195" s="12"/>
      <c r="L195" s="28"/>
      <c r="M195" s="13"/>
      <c r="N195" s="12" t="n">
        <v>428</v>
      </c>
      <c r="O195" s="12" t="s">
        <v>517</v>
      </c>
      <c r="P195" s="12" t="s">
        <v>458</v>
      </c>
      <c r="Q195" s="13" t="n">
        <v>2.02370089403685</v>
      </c>
      <c r="R195" s="13" t="n">
        <f aca="false">IF(N195="","",SUMIFS($I$5:$I$210,$N$5:$N$210,N195))</f>
        <v>217.5</v>
      </c>
      <c r="S195" s="27" t="s">
        <v>648</v>
      </c>
      <c r="T195" s="5" t="s">
        <v>860</v>
      </c>
    </row>
    <row r="196" customFormat="false" ht="23.85" hidden="false" customHeight="false" outlineLevel="0" collapsed="false">
      <c r="A196" s="12" t="s">
        <v>861</v>
      </c>
      <c r="B196" s="12" t="s">
        <v>22</v>
      </c>
      <c r="C196" s="12" t="s">
        <v>209</v>
      </c>
      <c r="D196" s="12" t="s">
        <v>857</v>
      </c>
      <c r="E196" s="12" t="s">
        <v>608</v>
      </c>
      <c r="F196" s="12" t="n">
        <v>135</v>
      </c>
      <c r="G196" s="28" t="n">
        <v>40.88</v>
      </c>
      <c r="H196" s="12" t="s">
        <v>552</v>
      </c>
      <c r="I196" s="28" t="n">
        <f aca="false">ROUND(G196/1,2)</f>
        <v>40.88</v>
      </c>
      <c r="J196" s="12"/>
      <c r="K196" s="12"/>
      <c r="L196" s="28"/>
      <c r="M196" s="13"/>
      <c r="N196" s="12" t="n">
        <v>382</v>
      </c>
      <c r="O196" s="12" t="s">
        <v>229</v>
      </c>
      <c r="P196" s="12" t="s">
        <v>472</v>
      </c>
      <c r="Q196" s="13" t="n">
        <v>42.1121468220352</v>
      </c>
      <c r="R196" s="13" t="n">
        <f aca="false">IF(N196="","",SUMIFS($I$5:$I$210,$N$5:$N$210,N196))</f>
        <v>215.02</v>
      </c>
      <c r="S196" s="27" t="s">
        <v>648</v>
      </c>
      <c r="T196" s="5" t="s">
        <v>624</v>
      </c>
    </row>
    <row r="197" customFormat="false" ht="15" hidden="false" customHeight="false" outlineLevel="0" collapsed="false">
      <c r="A197" s="12" t="s">
        <v>862</v>
      </c>
      <c r="B197" s="12" t="s">
        <v>22</v>
      </c>
      <c r="C197" s="12" t="s">
        <v>209</v>
      </c>
      <c r="D197" s="12" t="s">
        <v>619</v>
      </c>
      <c r="E197" s="12" t="s">
        <v>551</v>
      </c>
      <c r="F197" s="12" t="n">
        <v>90</v>
      </c>
      <c r="G197" s="28" t="n">
        <v>34.55</v>
      </c>
      <c r="H197" s="12" t="s">
        <v>552</v>
      </c>
      <c r="I197" s="28" t="n">
        <f aca="false">ROUND(G197/1,2)</f>
        <v>34.55</v>
      </c>
      <c r="J197" s="12"/>
      <c r="K197" s="12"/>
      <c r="L197" s="28"/>
      <c r="M197" s="13"/>
      <c r="N197" s="12" t="n">
        <v>413</v>
      </c>
      <c r="O197" s="12" t="s">
        <v>522</v>
      </c>
      <c r="P197" s="12" t="s">
        <v>490</v>
      </c>
      <c r="Q197" s="13" t="n">
        <v>2.44593184862973</v>
      </c>
      <c r="R197" s="13" t="n">
        <f aca="false">IF(N197="","",SUMIFS($I$5:$I$210,$N$5:$N$210,N197))</f>
        <v>216.55</v>
      </c>
      <c r="S197" s="27" t="s">
        <v>648</v>
      </c>
      <c r="T197" s="5" t="s">
        <v>863</v>
      </c>
    </row>
    <row r="198" customFormat="false" ht="15" hidden="false" customHeight="false" outlineLevel="0" collapsed="false">
      <c r="A198" s="12" t="s">
        <v>864</v>
      </c>
      <c r="B198" s="12" t="s">
        <v>22</v>
      </c>
      <c r="C198" s="12" t="s">
        <v>209</v>
      </c>
      <c r="D198" s="12" t="s">
        <v>619</v>
      </c>
      <c r="E198" s="12" t="s">
        <v>561</v>
      </c>
      <c r="F198" s="12" t="n">
        <v>199</v>
      </c>
      <c r="G198" s="28" t="n">
        <v>50.11</v>
      </c>
      <c r="H198" s="12" t="s">
        <v>552</v>
      </c>
      <c r="I198" s="28" t="n">
        <f aca="false">ROUND(G198/1,2)</f>
        <v>50.11</v>
      </c>
      <c r="J198" s="12"/>
      <c r="K198" s="12"/>
      <c r="L198" s="28"/>
      <c r="M198" s="13"/>
      <c r="N198" s="12" t="n">
        <v>400</v>
      </c>
      <c r="O198" s="12" t="s">
        <v>521</v>
      </c>
      <c r="P198" s="12" t="s">
        <v>458</v>
      </c>
      <c r="Q198" s="13" t="n">
        <v>6.87591908725002</v>
      </c>
      <c r="R198" s="13" t="n">
        <f aca="false">IF(N198="","",SUMIFS($I$5:$I$210,$N$5:$N$210,N198))</f>
        <v>195.85</v>
      </c>
      <c r="S198" s="27" t="s">
        <v>648</v>
      </c>
      <c r="T198" s="5" t="s">
        <v>769</v>
      </c>
    </row>
    <row r="199" customFormat="false" ht="15" hidden="false" customHeight="false" outlineLevel="0" collapsed="false">
      <c r="A199" s="12" t="s">
        <v>865</v>
      </c>
      <c r="B199" s="12" t="s">
        <v>22</v>
      </c>
      <c r="C199" s="12" t="s">
        <v>209</v>
      </c>
      <c r="D199" s="12" t="s">
        <v>619</v>
      </c>
      <c r="E199" s="12" t="s">
        <v>608</v>
      </c>
      <c r="F199" s="12" t="n">
        <v>143</v>
      </c>
      <c r="G199" s="28" t="n">
        <v>44.03</v>
      </c>
      <c r="H199" s="12" t="s">
        <v>552</v>
      </c>
      <c r="I199" s="28" t="n">
        <f aca="false">ROUND(G199/1,2)</f>
        <v>44.03</v>
      </c>
      <c r="J199" s="12" t="n">
        <v>450</v>
      </c>
      <c r="K199" s="12" t="s">
        <v>519</v>
      </c>
      <c r="L199" s="28" t="n">
        <f aca="false">G199</f>
        <v>44.03</v>
      </c>
      <c r="M199" s="13" t="n">
        <v>3.19</v>
      </c>
      <c r="N199" s="12" t="n">
        <v>450</v>
      </c>
      <c r="O199" s="12" t="s">
        <v>519</v>
      </c>
      <c r="P199" s="12" t="s">
        <v>458</v>
      </c>
      <c r="Q199" s="13" t="n">
        <v>3.1867979487332</v>
      </c>
      <c r="R199" s="13" t="n">
        <f aca="false">IF(N199="","",SUMIFS($I$5:$I$210,$N$5:$N$210,N199))</f>
        <v>194.1</v>
      </c>
      <c r="S199" s="26" t="s">
        <v>553</v>
      </c>
      <c r="T199" s="5"/>
    </row>
    <row r="200" customFormat="false" ht="15" hidden="false" customHeight="false" outlineLevel="0" collapsed="false">
      <c r="A200" s="12" t="s">
        <v>866</v>
      </c>
      <c r="B200" s="12" t="s">
        <v>22</v>
      </c>
      <c r="C200" s="12" t="s">
        <v>209</v>
      </c>
      <c r="D200" s="12" t="s">
        <v>619</v>
      </c>
      <c r="E200" s="12" t="s">
        <v>573</v>
      </c>
      <c r="F200" s="12" t="n">
        <v>178</v>
      </c>
      <c r="G200" s="28" t="n">
        <v>52.54</v>
      </c>
      <c r="H200" s="12" t="s">
        <v>552</v>
      </c>
      <c r="I200" s="28" t="n">
        <f aca="false">ROUND(G200/1,2)</f>
        <v>52.54</v>
      </c>
      <c r="J200" s="12" t="n">
        <v>394</v>
      </c>
      <c r="K200" s="12" t="s">
        <v>523</v>
      </c>
      <c r="L200" s="28" t="n">
        <f aca="false">G200</f>
        <v>52.54</v>
      </c>
      <c r="M200" s="13" t="n">
        <v>9.03</v>
      </c>
      <c r="N200" s="12" t="n">
        <v>438</v>
      </c>
      <c r="O200" s="12" t="s">
        <v>518</v>
      </c>
      <c r="P200" s="12" t="s">
        <v>458</v>
      </c>
      <c r="Q200" s="13" t="n">
        <v>4.52800763103829</v>
      </c>
      <c r="R200" s="13" t="n">
        <f aca="false">IF(N200="","",SUMIFS($I$5:$I$210,$N$5:$N$210,N200))</f>
        <v>217.83</v>
      </c>
      <c r="S200" s="30" t="s">
        <v>628</v>
      </c>
      <c r="T200" s="5" t="s">
        <v>867</v>
      </c>
    </row>
    <row r="201" customFormat="false" ht="15" hidden="false" customHeight="false" outlineLevel="0" collapsed="false">
      <c r="A201" s="12" t="s">
        <v>868</v>
      </c>
      <c r="B201" s="12" t="s">
        <v>22</v>
      </c>
      <c r="C201" s="12" t="s">
        <v>209</v>
      </c>
      <c r="D201" s="12" t="s">
        <v>869</v>
      </c>
      <c r="E201" s="12" t="s">
        <v>558</v>
      </c>
      <c r="F201" s="12" t="n">
        <v>90</v>
      </c>
      <c r="G201" s="28" t="n">
        <v>98.7</v>
      </c>
      <c r="H201" s="12" t="s">
        <v>552</v>
      </c>
      <c r="I201" s="28" t="n">
        <f aca="false">ROUND(G201/1,2)</f>
        <v>98.7</v>
      </c>
      <c r="J201" s="12" t="n">
        <v>438</v>
      </c>
      <c r="K201" s="12" t="s">
        <v>518</v>
      </c>
      <c r="L201" s="28" t="n">
        <f aca="false">G201</f>
        <v>98.7</v>
      </c>
      <c r="M201" s="13" t="n">
        <v>4.84</v>
      </c>
      <c r="N201" s="12" t="n">
        <v>390</v>
      </c>
      <c r="O201" s="12" t="s">
        <v>527</v>
      </c>
      <c r="P201" s="12" t="s">
        <v>458</v>
      </c>
      <c r="Q201" s="13" t="n">
        <v>8.25529365979067</v>
      </c>
      <c r="R201" s="13" t="n">
        <f aca="false">IF(N201="","",SUMIFS($I$5:$I$210,$N$5:$N$210,N201))</f>
        <v>213.44</v>
      </c>
      <c r="S201" s="30" t="s">
        <v>677</v>
      </c>
      <c r="T201" s="5" t="s">
        <v>870</v>
      </c>
    </row>
    <row r="202" customFormat="false" ht="15" hidden="false" customHeight="false" outlineLevel="0" collapsed="false">
      <c r="A202" s="12" t="s">
        <v>871</v>
      </c>
      <c r="B202" s="12" t="s">
        <v>22</v>
      </c>
      <c r="C202" s="12" t="s">
        <v>209</v>
      </c>
      <c r="D202" s="12" t="s">
        <v>872</v>
      </c>
      <c r="E202" s="12" t="s">
        <v>551</v>
      </c>
      <c r="F202" s="12" t="n">
        <v>154</v>
      </c>
      <c r="G202" s="28" t="n">
        <v>193.51</v>
      </c>
      <c r="H202" s="12" t="s">
        <v>552</v>
      </c>
      <c r="I202" s="28" t="n">
        <f aca="false">ROUND(G202/1,2)</f>
        <v>193.51</v>
      </c>
      <c r="J202" s="12" t="n">
        <v>401</v>
      </c>
      <c r="K202" s="12" t="s">
        <v>524</v>
      </c>
      <c r="L202" s="28" t="n">
        <f aca="false">G202</f>
        <v>193.51</v>
      </c>
      <c r="M202" s="13" t="n">
        <v>11.71</v>
      </c>
      <c r="N202" s="12" t="n">
        <v>401</v>
      </c>
      <c r="O202" s="12" t="s">
        <v>524</v>
      </c>
      <c r="P202" s="12" t="s">
        <v>458</v>
      </c>
      <c r="Q202" s="13" t="n">
        <v>11.7089341314766</v>
      </c>
      <c r="R202" s="13" t="n">
        <f aca="false">IF(N202="","",SUMIFS($I$5:$I$210,$N$5:$N$210,N202))</f>
        <v>193.51</v>
      </c>
      <c r="S202" s="26" t="s">
        <v>553</v>
      </c>
      <c r="T202" s="5" t="s">
        <v>621</v>
      </c>
    </row>
    <row r="203" customFormat="false" ht="23.85" hidden="false" customHeight="false" outlineLevel="0" collapsed="false">
      <c r="A203" s="12" t="s">
        <v>873</v>
      </c>
      <c r="B203" s="12" t="s">
        <v>22</v>
      </c>
      <c r="C203" s="12" t="s">
        <v>209</v>
      </c>
      <c r="D203" s="12" t="s">
        <v>872</v>
      </c>
      <c r="E203" s="12" t="s">
        <v>561</v>
      </c>
      <c r="F203" s="12" t="n">
        <v>166</v>
      </c>
      <c r="G203" s="28" t="n">
        <v>174.14</v>
      </c>
      <c r="H203" s="12" t="s">
        <v>552</v>
      </c>
      <c r="I203" s="28" t="n">
        <f aca="false">ROUND(G203/1,2)</f>
        <v>174.14</v>
      </c>
      <c r="J203" s="12"/>
      <c r="K203" s="12"/>
      <c r="L203" s="28"/>
      <c r="M203" s="13"/>
      <c r="N203" s="12" t="n">
        <v>382</v>
      </c>
      <c r="O203" s="12" t="s">
        <v>229</v>
      </c>
      <c r="P203" s="12" t="s">
        <v>472</v>
      </c>
      <c r="Q203" s="13" t="n">
        <v>42.2314347274536</v>
      </c>
      <c r="R203" s="13" t="n">
        <f aca="false">IF(N203="","",SUMIFS($I$5:$I$210,$N$5:$N$210,N203))</f>
        <v>215.02</v>
      </c>
      <c r="S203" s="27" t="s">
        <v>648</v>
      </c>
      <c r="T203" s="5" t="s">
        <v>624</v>
      </c>
    </row>
    <row r="204" customFormat="false" ht="23.85" hidden="false" customHeight="false" outlineLevel="0" collapsed="false">
      <c r="A204" s="12" t="s">
        <v>874</v>
      </c>
      <c r="B204" s="12" t="s">
        <v>22</v>
      </c>
      <c r="C204" s="12" t="s">
        <v>209</v>
      </c>
      <c r="D204" s="12" t="s">
        <v>793</v>
      </c>
      <c r="E204" s="12" t="s">
        <v>551</v>
      </c>
      <c r="F204" s="12" t="n">
        <v>121</v>
      </c>
      <c r="G204" s="28" t="n">
        <v>182</v>
      </c>
      <c r="H204" s="12" t="s">
        <v>552</v>
      </c>
      <c r="I204" s="28" t="n">
        <f aca="false">ROUND(G204/1,2)</f>
        <v>182</v>
      </c>
      <c r="J204" s="12"/>
      <c r="K204" s="12"/>
      <c r="L204" s="28"/>
      <c r="M204" s="13"/>
      <c r="N204" s="12" t="n">
        <v>375</v>
      </c>
      <c r="O204" s="12" t="s">
        <v>211</v>
      </c>
      <c r="P204" s="12" t="s">
        <v>472</v>
      </c>
      <c r="Q204" s="13" t="n">
        <v>47.5746855383242</v>
      </c>
      <c r="R204" s="13" t="n">
        <f aca="false">IF(N204="","",SUMIFS($I$5:$I$210,$N$5:$N$210,N204))</f>
        <v>182</v>
      </c>
      <c r="S204" s="27" t="s">
        <v>648</v>
      </c>
      <c r="T204" s="5" t="s">
        <v>624</v>
      </c>
    </row>
    <row r="205" customFormat="false" ht="15" hidden="false" customHeight="false" outlineLevel="0" collapsed="false">
      <c r="A205" s="12" t="s">
        <v>875</v>
      </c>
      <c r="B205" s="12" t="s">
        <v>22</v>
      </c>
      <c r="C205" s="12" t="s">
        <v>209</v>
      </c>
      <c r="D205" s="12" t="s">
        <v>793</v>
      </c>
      <c r="E205" s="12" t="s">
        <v>561</v>
      </c>
      <c r="F205" s="12" t="n">
        <v>119</v>
      </c>
      <c r="G205" s="28" t="n">
        <v>182</v>
      </c>
      <c r="H205" s="12" t="s">
        <v>552</v>
      </c>
      <c r="I205" s="28" t="n">
        <f aca="false">ROUND(G205/1,2)</f>
        <v>182</v>
      </c>
      <c r="J205" s="12"/>
      <c r="K205" s="12"/>
      <c r="L205" s="28"/>
      <c r="M205" s="13"/>
      <c r="N205" s="12" t="n">
        <v>413</v>
      </c>
      <c r="O205" s="12" t="s">
        <v>522</v>
      </c>
      <c r="P205" s="12" t="s">
        <v>490</v>
      </c>
      <c r="Q205" s="13" t="n">
        <v>2.2989478808947</v>
      </c>
      <c r="R205" s="13" t="n">
        <f aca="false">IF(N205="","",SUMIFS($I$5:$I$210,$N$5:$N$210,N205))</f>
        <v>216.55</v>
      </c>
      <c r="S205" s="27" t="s">
        <v>648</v>
      </c>
      <c r="T205" s="5" t="s">
        <v>876</v>
      </c>
    </row>
    <row r="206" customFormat="false" ht="15" hidden="false" customHeight="false" outlineLevel="0" collapsed="false">
      <c r="A206" s="12" t="s">
        <v>877</v>
      </c>
      <c r="B206" s="12" t="s">
        <v>22</v>
      </c>
      <c r="C206" s="12" t="s">
        <v>209</v>
      </c>
      <c r="D206" s="12" t="s">
        <v>878</v>
      </c>
      <c r="E206" s="12" t="s">
        <v>551</v>
      </c>
      <c r="F206" s="12" t="n">
        <v>130</v>
      </c>
      <c r="G206" s="28" t="n">
        <v>135.83</v>
      </c>
      <c r="H206" s="12" t="s">
        <v>552</v>
      </c>
      <c r="I206" s="28" t="n">
        <f aca="false">ROUND(G206/1,2)</f>
        <v>135.83</v>
      </c>
      <c r="J206" s="12" t="n">
        <v>409</v>
      </c>
      <c r="K206" s="12" t="s">
        <v>520</v>
      </c>
      <c r="L206" s="28" t="n">
        <f aca="false">G206</f>
        <v>135.83</v>
      </c>
      <c r="M206" s="13" t="n">
        <v>1.11</v>
      </c>
      <c r="N206" s="12" t="n">
        <v>409</v>
      </c>
      <c r="O206" s="12" t="s">
        <v>520</v>
      </c>
      <c r="P206" s="12" t="s">
        <v>458</v>
      </c>
      <c r="Q206" s="13" t="n">
        <v>1.10889044231466</v>
      </c>
      <c r="R206" s="13" t="n">
        <f aca="false">IF(N206="","",SUMIFS($I$5:$I$210,$N$5:$N$210,N206))</f>
        <v>197</v>
      </c>
      <c r="S206" s="26" t="s">
        <v>553</v>
      </c>
      <c r="T206" s="5"/>
    </row>
    <row r="207" customFormat="false" ht="15" hidden="false" customHeight="false" outlineLevel="0" collapsed="false">
      <c r="A207" s="12" t="s">
        <v>879</v>
      </c>
      <c r="B207" s="12" t="s">
        <v>22</v>
      </c>
      <c r="C207" s="12" t="s">
        <v>209</v>
      </c>
      <c r="D207" s="12" t="s">
        <v>878</v>
      </c>
      <c r="E207" s="12" t="s">
        <v>561</v>
      </c>
      <c r="F207" s="12" t="n">
        <v>140</v>
      </c>
      <c r="G207" s="28" t="n">
        <v>145.74</v>
      </c>
      <c r="H207" s="12" t="s">
        <v>552</v>
      </c>
      <c r="I207" s="28" t="n">
        <f aca="false">ROUND(G207/1,2)</f>
        <v>145.74</v>
      </c>
      <c r="J207" s="12" t="n">
        <v>400</v>
      </c>
      <c r="K207" s="12" t="s">
        <v>521</v>
      </c>
      <c r="L207" s="28" t="n">
        <f aca="false">G207</f>
        <v>145.74</v>
      </c>
      <c r="M207" s="13" t="n">
        <v>6.27</v>
      </c>
      <c r="N207" s="12" t="n">
        <v>400</v>
      </c>
      <c r="O207" s="12" t="s">
        <v>521</v>
      </c>
      <c r="P207" s="12" t="s">
        <v>458</v>
      </c>
      <c r="Q207" s="13" t="n">
        <v>6.26806978091202</v>
      </c>
      <c r="R207" s="13" t="n">
        <f aca="false">IF(N207="","",SUMIFS($I$5:$I$210,$N$5:$N$210,N207))</f>
        <v>195.85</v>
      </c>
      <c r="S207" s="26" t="s">
        <v>553</v>
      </c>
      <c r="T207" s="5"/>
    </row>
    <row r="208" customFormat="false" ht="15" hidden="false" customHeight="false" outlineLevel="0" collapsed="false">
      <c r="A208" s="12" t="s">
        <v>880</v>
      </c>
      <c r="B208" s="12" t="s">
        <v>22</v>
      </c>
      <c r="C208" s="12" t="s">
        <v>881</v>
      </c>
      <c r="D208" s="12" t="s">
        <v>882</v>
      </c>
      <c r="E208" s="12" t="s">
        <v>551</v>
      </c>
      <c r="F208" s="12" t="n">
        <v>143</v>
      </c>
      <c r="G208" s="28" t="n">
        <v>20.71</v>
      </c>
      <c r="H208" s="12" t="s">
        <v>552</v>
      </c>
      <c r="I208" s="28" t="n">
        <f aca="false">ROUND(G208/1,2)</f>
        <v>20.71</v>
      </c>
      <c r="J208" s="12" t="n">
        <v>426</v>
      </c>
      <c r="K208" s="12" t="s">
        <v>474</v>
      </c>
      <c r="L208" s="28" t="n">
        <f aca="false">G208</f>
        <v>20.71</v>
      </c>
      <c r="M208" s="13" t="n">
        <v>0.73</v>
      </c>
      <c r="N208" s="12" t="n">
        <v>426</v>
      </c>
      <c r="O208" s="12" t="s">
        <v>474</v>
      </c>
      <c r="P208" s="12" t="s">
        <v>458</v>
      </c>
      <c r="Q208" s="13" t="n">
        <v>0.725097008302652</v>
      </c>
      <c r="R208" s="13" t="n">
        <f aca="false">IF(N208="","",SUMIFS($I$5:$I$210,$N$5:$N$210,N208))</f>
        <v>214.08</v>
      </c>
      <c r="S208" s="26" t="s">
        <v>553</v>
      </c>
      <c r="T208" s="5"/>
    </row>
    <row r="209" customFormat="false" ht="15" hidden="false" customHeight="false" outlineLevel="0" collapsed="false">
      <c r="A209" s="12" t="s">
        <v>883</v>
      </c>
      <c r="B209" s="12" t="s">
        <v>22</v>
      </c>
      <c r="C209" s="12" t="s">
        <v>881</v>
      </c>
      <c r="D209" s="12" t="s">
        <v>882</v>
      </c>
      <c r="E209" s="12" t="s">
        <v>561</v>
      </c>
      <c r="F209" s="12" t="n">
        <v>131</v>
      </c>
      <c r="G209" s="28" t="n">
        <v>19.23</v>
      </c>
      <c r="H209" s="12" t="s">
        <v>552</v>
      </c>
      <c r="I209" s="28" t="n">
        <f aca="false">ROUND(G209/1,2)</f>
        <v>19.23</v>
      </c>
      <c r="J209" s="12" t="n">
        <v>426</v>
      </c>
      <c r="K209" s="12" t="s">
        <v>474</v>
      </c>
      <c r="L209" s="28" t="n">
        <f aca="false">G209</f>
        <v>19.23</v>
      </c>
      <c r="M209" s="13" t="n">
        <v>1.3</v>
      </c>
      <c r="N209" s="12" t="n">
        <v>426</v>
      </c>
      <c r="O209" s="12" t="s">
        <v>474</v>
      </c>
      <c r="P209" s="12" t="s">
        <v>458</v>
      </c>
      <c r="Q209" s="13" t="n">
        <v>1.2967330156121</v>
      </c>
      <c r="R209" s="13" t="n">
        <f aca="false">IF(N209="","",SUMIFS($I$5:$I$210,$N$5:$N$210,N209))</f>
        <v>214.08</v>
      </c>
      <c r="S209" s="26" t="s">
        <v>553</v>
      </c>
      <c r="T209" s="5"/>
    </row>
    <row r="210" customFormat="false" ht="15" hidden="false" customHeight="false" outlineLevel="0" collapsed="false">
      <c r="A210" s="12" t="s">
        <v>884</v>
      </c>
      <c r="B210" s="12" t="s">
        <v>22</v>
      </c>
      <c r="C210" s="12" t="s">
        <v>881</v>
      </c>
      <c r="D210" s="12" t="s">
        <v>882</v>
      </c>
      <c r="E210" s="12" t="s">
        <v>608</v>
      </c>
      <c r="F210" s="12" t="n">
        <v>126</v>
      </c>
      <c r="G210" s="28" t="n">
        <v>18</v>
      </c>
      <c r="H210" s="12" t="s">
        <v>552</v>
      </c>
      <c r="I210" s="28" t="n">
        <f aca="false">ROUND(G210/1,2)</f>
        <v>18</v>
      </c>
      <c r="J210" s="12" t="n">
        <v>442</v>
      </c>
      <c r="K210" s="12" t="s">
        <v>484</v>
      </c>
      <c r="L210" s="28" t="n">
        <f aca="false">G210</f>
        <v>18</v>
      </c>
      <c r="M210" s="13" t="n">
        <v>0.03</v>
      </c>
      <c r="N210" s="12" t="n">
        <v>442</v>
      </c>
      <c r="O210" s="12" t="s">
        <v>484</v>
      </c>
      <c r="P210" s="12" t="s">
        <v>458</v>
      </c>
      <c r="Q210" s="13" t="n">
        <v>0.0284817086826595</v>
      </c>
      <c r="R210" s="13" t="n">
        <f aca="false">IF(N210="","",SUMIFS($I$5:$I$210,$N$5:$N$210,N210))</f>
        <v>203.88</v>
      </c>
      <c r="S210" s="26" t="s">
        <v>553</v>
      </c>
      <c r="T210" s="5"/>
    </row>
  </sheetData>
  <autoFilter ref="A4:T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885</v>
      </c>
    </row>
    <row r="2" customFormat="false" ht="15" hidden="false" customHeight="false" outlineLevel="0" collapsed="false">
      <c r="A2" s="2" t="s">
        <v>886</v>
      </c>
    </row>
    <row r="4" customFormat="false" ht="39.75" hidden="false" customHeight="true" outlineLevel="0" collapsed="false">
      <c r="A4" s="8" t="s">
        <v>71</v>
      </c>
      <c r="B4" s="8" t="s">
        <v>453</v>
      </c>
      <c r="C4" s="8" t="s">
        <v>887</v>
      </c>
      <c r="D4" s="8" t="s">
        <v>888</v>
      </c>
      <c r="E4" s="8" t="s">
        <v>889</v>
      </c>
      <c r="F4" s="8" t="s">
        <v>890</v>
      </c>
      <c r="G4" s="8" t="s">
        <v>891</v>
      </c>
      <c r="H4" s="8" t="s">
        <v>892</v>
      </c>
      <c r="I4" s="8" t="s">
        <v>455</v>
      </c>
      <c r="J4" s="8" t="s">
        <v>893</v>
      </c>
      <c r="K4" s="8" t="s">
        <v>894</v>
      </c>
      <c r="L4" s="8" t="s">
        <v>349</v>
      </c>
    </row>
    <row r="5" customFormat="false" ht="15" hidden="false" customHeight="false" outlineLevel="0" collapsed="false">
      <c r="A5" s="12" t="n">
        <v>22</v>
      </c>
      <c r="B5" s="12" t="s">
        <v>496</v>
      </c>
      <c r="C5" s="12" t="s">
        <v>458</v>
      </c>
      <c r="D5" s="12" t="n">
        <v>5</v>
      </c>
      <c r="E5" s="12" t="s">
        <v>354</v>
      </c>
      <c r="F5" s="12" t="n">
        <f aca="false">COUNTIFS('Existing vs Saran'!$J$5:$J$210,A5)</f>
        <v>2</v>
      </c>
      <c r="G5" s="32" t="n">
        <f aca="false">SUMIFS('Existing vs Saran'!$L$5:$L$210,'Existing vs Saran'!$J$5:$J$210,A5)</f>
        <v>346.44</v>
      </c>
      <c r="H5" s="12" t="n">
        <f aca="false">COUNTIFS('Existing vs Saran'!$N$5:$N$210,A5)</f>
        <v>1</v>
      </c>
      <c r="I5" s="32" t="n">
        <f aca="false">SUMIFS('Existing vs Saran'!$I$5:$I$210,'Existing vs Saran'!$N$5:$N$210,A5)</f>
        <v>105.26</v>
      </c>
      <c r="J5" s="32" t="n">
        <f aca="false">I5-G5</f>
        <v>-241.18</v>
      </c>
      <c r="K5" s="12" t="str">
        <f aca="false">IF(I5=0,"Tidak dipakai",IF(I5&gt;'Parameter &amp; Asumsi'!$B$8,"Berlebih",IF(I5&lt;100,"Ringan","Wajar")))</f>
        <v>Wajar</v>
      </c>
      <c r="L5" s="5"/>
    </row>
    <row r="6" customFormat="false" ht="15" hidden="false" customHeight="false" outlineLevel="0" collapsed="false">
      <c r="A6" s="12" t="n">
        <v>27</v>
      </c>
      <c r="B6" s="12" t="s">
        <v>471</v>
      </c>
      <c r="C6" s="12" t="s">
        <v>458</v>
      </c>
      <c r="D6" s="12" t="n">
        <v>5</v>
      </c>
      <c r="E6" s="12" t="s">
        <v>354</v>
      </c>
      <c r="F6" s="12" t="n">
        <f aca="false">COUNTIFS('Existing vs Saran'!$J$5:$J$210,A6)</f>
        <v>2</v>
      </c>
      <c r="G6" s="32" t="n">
        <f aca="false">SUMIFS('Existing vs Saran'!$L$5:$L$210,'Existing vs Saran'!$J$5:$J$210,A6)</f>
        <v>240.11</v>
      </c>
      <c r="H6" s="12" t="n">
        <f aca="false">COUNTIFS('Existing vs Saran'!$N$5:$N$210,A6)</f>
        <v>2</v>
      </c>
      <c r="I6" s="32" t="n">
        <f aca="false">SUMIFS('Existing vs Saran'!$I$5:$I$210,'Existing vs Saran'!$N$5:$N$210,A6)</f>
        <v>213.61</v>
      </c>
      <c r="J6" s="32" t="n">
        <f aca="false">I6-G6</f>
        <v>-26.5</v>
      </c>
      <c r="K6" s="12" t="str">
        <f aca="false">IF(I6=0,"Tidak dipakai",IF(I6&gt;'Parameter &amp; Asumsi'!$B$8,"Berlebih",IF(I6&lt;100,"Ringan","Wajar")))</f>
        <v>Wajar</v>
      </c>
      <c r="L6" s="5"/>
    </row>
    <row r="7" customFormat="false" ht="15" hidden="false" customHeight="false" outlineLevel="0" collapsed="false">
      <c r="A7" s="12" t="n">
        <v>31</v>
      </c>
      <c r="B7" s="12" t="s">
        <v>498</v>
      </c>
      <c r="C7" s="12" t="s">
        <v>458</v>
      </c>
      <c r="D7" s="12" t="n">
        <v>5</v>
      </c>
      <c r="E7" s="12" t="s">
        <v>354</v>
      </c>
      <c r="F7" s="12" t="n">
        <f aca="false">COUNTIFS('Existing vs Saran'!$J$5:$J$210,A7)</f>
        <v>3</v>
      </c>
      <c r="G7" s="32" t="n">
        <f aca="false">SUMIFS('Existing vs Saran'!$L$5:$L$210,'Existing vs Saran'!$J$5:$J$210,A7)</f>
        <v>226.43</v>
      </c>
      <c r="H7" s="12" t="n">
        <f aca="false">COUNTIFS('Existing vs Saran'!$N$5:$N$210,A7)</f>
        <v>2</v>
      </c>
      <c r="I7" s="32" t="n">
        <f aca="false">SUMIFS('Existing vs Saran'!$I$5:$I$210,'Existing vs Saran'!$N$5:$N$210,A7)</f>
        <v>124.26</v>
      </c>
      <c r="J7" s="32" t="n">
        <f aca="false">I7-G7</f>
        <v>-102.17</v>
      </c>
      <c r="K7" s="12" t="str">
        <f aca="false">IF(I7=0,"Tidak dipakai",IF(I7&gt;'Parameter &amp; Asumsi'!$B$8,"Berlebih",IF(I7&lt;100,"Ringan","Wajar")))</f>
        <v>Wajar</v>
      </c>
      <c r="L7" s="5"/>
    </row>
    <row r="8" customFormat="false" ht="23.85" hidden="false" customHeight="false" outlineLevel="0" collapsed="false">
      <c r="A8" s="12" t="n">
        <v>44</v>
      </c>
      <c r="B8" s="12" t="s">
        <v>84</v>
      </c>
      <c r="C8" s="12" t="s">
        <v>472</v>
      </c>
      <c r="D8" s="12" t="n">
        <v>5</v>
      </c>
      <c r="E8" s="12" t="s">
        <v>548</v>
      </c>
      <c r="F8" s="12" t="n">
        <f aca="false">COUNTIFS('Existing vs Saran'!$J$5:$J$210,A8)</f>
        <v>0</v>
      </c>
      <c r="G8" s="32" t="n">
        <f aca="false">SUMIFS('Existing vs Saran'!$L$5:$L$210,'Existing vs Saran'!$J$5:$J$210,A8)</f>
        <v>0</v>
      </c>
      <c r="H8" s="12" t="n">
        <f aca="false">COUNTIFS('Existing vs Saran'!$N$5:$N$210,A8)</f>
        <v>1</v>
      </c>
      <c r="I8" s="32" t="n">
        <f aca="false">SUMIFS('Existing vs Saran'!$I$5:$I$210,'Existing vs Saran'!$N$5:$N$210,A8)</f>
        <v>155.97</v>
      </c>
      <c r="J8" s="32" t="n">
        <f aca="false">I8-G8</f>
        <v>155.97</v>
      </c>
      <c r="K8" s="12" t="str">
        <f aca="false">IF(I8=0,"Tidak dipakai",IF(I8&gt;'Parameter &amp; Asumsi'!$B$8,"Berlebih",IF(I8&lt;100,"Ringan","Wajar")))</f>
        <v>Wajar</v>
      </c>
      <c r="L8" s="5" t="s">
        <v>895</v>
      </c>
    </row>
    <row r="9" customFormat="false" ht="15" hidden="false" customHeight="false" outlineLevel="0" collapsed="false">
      <c r="A9" s="12" t="n">
        <v>49</v>
      </c>
      <c r="B9" s="12" t="s">
        <v>459</v>
      </c>
      <c r="C9" s="12" t="s">
        <v>458</v>
      </c>
      <c r="D9" s="12" t="n">
        <v>4</v>
      </c>
      <c r="E9" s="12" t="s">
        <v>548</v>
      </c>
      <c r="F9" s="12" t="n">
        <f aca="false">COUNTIFS('Existing vs Saran'!$J$5:$J$210,A9)</f>
        <v>4</v>
      </c>
      <c r="G9" s="32" t="n">
        <f aca="false">SUMIFS('Existing vs Saran'!$L$5:$L$210,'Existing vs Saran'!$J$5:$J$210,A9)</f>
        <v>121.7</v>
      </c>
      <c r="H9" s="12" t="n">
        <f aca="false">COUNTIFS('Existing vs Saran'!$N$5:$N$210,A9)</f>
        <v>5</v>
      </c>
      <c r="I9" s="32" t="n">
        <f aca="false">SUMIFS('Existing vs Saran'!$I$5:$I$210,'Existing vs Saran'!$N$5:$N$210,A9)</f>
        <v>145.52</v>
      </c>
      <c r="J9" s="32" t="n">
        <f aca="false">I9-G9</f>
        <v>23.82</v>
      </c>
      <c r="K9" s="12" t="str">
        <f aca="false">IF(I9=0,"Tidak dipakai",IF(I9&gt;'Parameter &amp; Asumsi'!$B$8,"Berlebih",IF(I9&lt;100,"Ringan","Wajar")))</f>
        <v>Wajar</v>
      </c>
      <c r="L9" s="5" t="s">
        <v>896</v>
      </c>
    </row>
    <row r="10" customFormat="false" ht="23.85" hidden="false" customHeight="false" outlineLevel="0" collapsed="false">
      <c r="A10" s="12" t="n">
        <v>60</v>
      </c>
      <c r="B10" s="12" t="s">
        <v>154</v>
      </c>
      <c r="C10" s="12" t="s">
        <v>472</v>
      </c>
      <c r="D10" s="12" t="n">
        <v>5</v>
      </c>
      <c r="E10" s="12" t="s">
        <v>548</v>
      </c>
      <c r="F10" s="12" t="n">
        <f aca="false">COUNTIFS('Existing vs Saran'!$J$5:$J$210,A10)</f>
        <v>0</v>
      </c>
      <c r="G10" s="32" t="n">
        <f aca="false">SUMIFS('Existing vs Saran'!$L$5:$L$210,'Existing vs Saran'!$J$5:$J$210,A10)</f>
        <v>0</v>
      </c>
      <c r="H10" s="12" t="n">
        <f aca="false">COUNTIFS('Existing vs Saran'!$N$5:$N$210,A10)</f>
        <v>1</v>
      </c>
      <c r="I10" s="32" t="n">
        <f aca="false">SUMIFS('Existing vs Saran'!$I$5:$I$210,'Existing vs Saran'!$N$5:$N$210,A10)</f>
        <v>119.67</v>
      </c>
      <c r="J10" s="32" t="n">
        <f aca="false">I10-G10</f>
        <v>119.67</v>
      </c>
      <c r="K10" s="12" t="str">
        <f aca="false">IF(I10=0,"Tidak dipakai",IF(I10&gt;'Parameter &amp; Asumsi'!$B$8,"Berlebih",IF(I10&lt;100,"Ringan","Wajar")))</f>
        <v>Wajar</v>
      </c>
      <c r="L10" s="5" t="s">
        <v>897</v>
      </c>
    </row>
    <row r="11" customFormat="false" ht="35.05" hidden="false" customHeight="false" outlineLevel="0" collapsed="false">
      <c r="A11" s="12" t="n">
        <v>65</v>
      </c>
      <c r="B11" s="12" t="s">
        <v>99</v>
      </c>
      <c r="C11" s="12" t="s">
        <v>472</v>
      </c>
      <c r="D11" s="12" t="n">
        <v>4</v>
      </c>
      <c r="E11" s="12" t="s">
        <v>548</v>
      </c>
      <c r="F11" s="12" t="n">
        <f aca="false">COUNTIFS('Existing vs Saran'!$J$5:$J$210,A11)</f>
        <v>1</v>
      </c>
      <c r="G11" s="32" t="n">
        <f aca="false">SUMIFS('Existing vs Saran'!$L$5:$L$210,'Existing vs Saran'!$J$5:$J$210,A11)</f>
        <v>23.82</v>
      </c>
      <c r="H11" s="12" t="n">
        <f aca="false">COUNTIFS('Existing vs Saran'!$N$5:$N$210,A11)</f>
        <v>2</v>
      </c>
      <c r="I11" s="32" t="n">
        <f aca="false">SUMIFS('Existing vs Saran'!$I$5:$I$210,'Existing vs Saran'!$N$5:$N$210,A11)</f>
        <v>218.55</v>
      </c>
      <c r="J11" s="32" t="n">
        <f aca="false">I11-G11</f>
        <v>194.73</v>
      </c>
      <c r="K11" s="12" t="str">
        <f aca="false">IF(I11=0,"Tidak dipakai",IF(I11&gt;'Parameter &amp; Asumsi'!$B$8,"Berlebih",IF(I11&lt;100,"Ringan","Wajar")))</f>
        <v>Wajar</v>
      </c>
      <c r="L11" s="5" t="s">
        <v>898</v>
      </c>
    </row>
    <row r="12" customFormat="false" ht="15" hidden="false" customHeight="false" outlineLevel="0" collapsed="false">
      <c r="A12" s="12" t="n">
        <v>74</v>
      </c>
      <c r="B12" s="12" t="s">
        <v>468</v>
      </c>
      <c r="C12" s="12" t="s">
        <v>458</v>
      </c>
      <c r="D12" s="12" t="n">
        <v>5</v>
      </c>
      <c r="E12" s="12" t="s">
        <v>379</v>
      </c>
      <c r="F12" s="12" t="n">
        <f aca="false">COUNTIFS('Existing vs Saran'!$J$5:$J$210,A12)</f>
        <v>2</v>
      </c>
      <c r="G12" s="32" t="n">
        <f aca="false">SUMIFS('Existing vs Saran'!$L$5:$L$210,'Existing vs Saran'!$J$5:$J$210,A12)</f>
        <v>273.63</v>
      </c>
      <c r="H12" s="12" t="n">
        <f aca="false">COUNTIFS('Existing vs Saran'!$N$5:$N$210,A12)</f>
        <v>2</v>
      </c>
      <c r="I12" s="32" t="n">
        <f aca="false">SUMIFS('Existing vs Saran'!$I$5:$I$210,'Existing vs Saran'!$N$5:$N$210,A12)</f>
        <v>146.14</v>
      </c>
      <c r="J12" s="32" t="n">
        <f aca="false">I12-G12</f>
        <v>-127.49</v>
      </c>
      <c r="K12" s="12" t="str">
        <f aca="false">IF(I12=0,"Tidak dipakai",IF(I12&gt;'Parameter &amp; Asumsi'!$B$8,"Berlebih",IF(I12&lt;100,"Ringan","Wajar")))</f>
        <v>Wajar</v>
      </c>
      <c r="L12" s="5"/>
    </row>
    <row r="13" customFormat="false" ht="35.05" hidden="false" customHeight="false" outlineLevel="0" collapsed="false">
      <c r="A13" s="12" t="n">
        <v>77</v>
      </c>
      <c r="B13" s="12" t="s">
        <v>256</v>
      </c>
      <c r="C13" s="12" t="s">
        <v>472</v>
      </c>
      <c r="D13" s="12" t="n">
        <v>5</v>
      </c>
      <c r="E13" s="12" t="s">
        <v>379</v>
      </c>
      <c r="F13" s="12" t="n">
        <f aca="false">COUNTIFS('Existing vs Saran'!$J$5:$J$210,A13)</f>
        <v>1</v>
      </c>
      <c r="G13" s="32" t="n">
        <f aca="false">SUMIFS('Existing vs Saran'!$L$5:$L$210,'Existing vs Saran'!$J$5:$J$210,A13)</f>
        <v>23.33</v>
      </c>
      <c r="H13" s="12" t="n">
        <f aca="false">COUNTIFS('Existing vs Saran'!$N$5:$N$210,A13)</f>
        <v>1</v>
      </c>
      <c r="I13" s="32" t="n">
        <f aca="false">SUMIFS('Existing vs Saran'!$I$5:$I$210,'Existing vs Saran'!$N$5:$N$210,A13)</f>
        <v>98.11</v>
      </c>
      <c r="J13" s="32" t="n">
        <f aca="false">I13-G13</f>
        <v>74.78</v>
      </c>
      <c r="K13" s="12" t="str">
        <f aca="false">IF(I13=0,"Tidak dipakai",IF(I13&gt;'Parameter &amp; Asumsi'!$B$8,"Berlebih",IF(I13&lt;100,"Ringan","Wajar")))</f>
        <v>Ringan</v>
      </c>
      <c r="L13" s="5" t="s">
        <v>899</v>
      </c>
    </row>
    <row r="14" customFormat="false" ht="15" hidden="false" customHeight="false" outlineLevel="0" collapsed="false">
      <c r="A14" s="12" t="n">
        <v>78</v>
      </c>
      <c r="B14" s="12" t="s">
        <v>486</v>
      </c>
      <c r="C14" s="12" t="s">
        <v>458</v>
      </c>
      <c r="D14" s="12" t="n">
        <v>5</v>
      </c>
      <c r="E14" s="12" t="s">
        <v>379</v>
      </c>
      <c r="F14" s="12" t="n">
        <f aca="false">COUNTIFS('Existing vs Saran'!$J$5:$J$210,A14)</f>
        <v>3</v>
      </c>
      <c r="G14" s="32" t="n">
        <f aca="false">SUMIFS('Existing vs Saran'!$L$5:$L$210,'Existing vs Saran'!$J$5:$J$210,A14)</f>
        <v>515.77</v>
      </c>
      <c r="H14" s="12" t="n">
        <f aca="false">COUNTIFS('Existing vs Saran'!$N$5:$N$210,A14)</f>
        <v>3</v>
      </c>
      <c r="I14" s="32" t="n">
        <f aca="false">SUMIFS('Existing vs Saran'!$I$5:$I$210,'Existing vs Saran'!$N$5:$N$210,A14)</f>
        <v>204.54</v>
      </c>
      <c r="J14" s="32" t="n">
        <f aca="false">I14-G14</f>
        <v>-311.23</v>
      </c>
      <c r="K14" s="12" t="str">
        <f aca="false">IF(I14=0,"Tidak dipakai",IF(I14&gt;'Parameter &amp; Asumsi'!$B$8,"Berlebih",IF(I14&lt;100,"Ringan","Wajar")))</f>
        <v>Wajar</v>
      </c>
      <c r="L14" s="5"/>
    </row>
    <row r="15" customFormat="false" ht="15" hidden="false" customHeight="false" outlineLevel="0" collapsed="false">
      <c r="A15" s="12" t="n">
        <v>82</v>
      </c>
      <c r="B15" s="12" t="s">
        <v>492</v>
      </c>
      <c r="C15" s="12" t="s">
        <v>458</v>
      </c>
      <c r="D15" s="12" t="n">
        <v>4</v>
      </c>
      <c r="E15" s="12" t="s">
        <v>379</v>
      </c>
      <c r="F15" s="12" t="n">
        <f aca="false">COUNTIFS('Existing vs Saran'!$J$5:$J$210,A15)</f>
        <v>5</v>
      </c>
      <c r="G15" s="32" t="n">
        <f aca="false">SUMIFS('Existing vs Saran'!$L$5:$L$210,'Existing vs Saran'!$J$5:$J$210,A15)</f>
        <v>185.32</v>
      </c>
      <c r="H15" s="12" t="n">
        <f aca="false">COUNTIFS('Existing vs Saran'!$N$5:$N$210,A15)</f>
        <v>5</v>
      </c>
      <c r="I15" s="32" t="n">
        <f aca="false">SUMIFS('Existing vs Saran'!$I$5:$I$210,'Existing vs Saran'!$N$5:$N$210,A15)</f>
        <v>185.32</v>
      </c>
      <c r="J15" s="32" t="n">
        <f aca="false">I15-G15</f>
        <v>0</v>
      </c>
      <c r="K15" s="12" t="str">
        <f aca="false">IF(I15=0,"Tidak dipakai",IF(I15&gt;'Parameter &amp; Asumsi'!$B$8,"Berlebih",IF(I15&lt;100,"Ringan","Wajar")))</f>
        <v>Wajar</v>
      </c>
      <c r="L15" s="5"/>
    </row>
    <row r="16" customFormat="false" ht="15" hidden="false" customHeight="false" outlineLevel="0" collapsed="false">
      <c r="A16" s="12" t="n">
        <v>83</v>
      </c>
      <c r="B16" s="12" t="s">
        <v>457</v>
      </c>
      <c r="C16" s="12" t="s">
        <v>458</v>
      </c>
      <c r="D16" s="12" t="n">
        <v>4</v>
      </c>
      <c r="E16" s="12" t="s">
        <v>379</v>
      </c>
      <c r="F16" s="12" t="n">
        <f aca="false">COUNTIFS('Existing vs Saran'!$J$5:$J$210,A16)</f>
        <v>1</v>
      </c>
      <c r="G16" s="32" t="n">
        <f aca="false">SUMIFS('Existing vs Saran'!$L$5:$L$210,'Existing vs Saran'!$J$5:$J$210,A16)</f>
        <v>86.03</v>
      </c>
      <c r="H16" s="12" t="n">
        <f aca="false">COUNTIFS('Existing vs Saran'!$N$5:$N$210,A16)</f>
        <v>1</v>
      </c>
      <c r="I16" s="32" t="n">
        <f aca="false">SUMIFS('Existing vs Saran'!$I$5:$I$210,'Existing vs Saran'!$N$5:$N$210,A16)</f>
        <v>86.03</v>
      </c>
      <c r="J16" s="32" t="n">
        <f aca="false">I16-G16</f>
        <v>0</v>
      </c>
      <c r="K16" s="12" t="str">
        <f aca="false">IF(I16=0,"Tidak dipakai",IF(I16&gt;'Parameter &amp; Asumsi'!$B$8,"Berlebih",IF(I16&lt;100,"Ringan","Wajar")))</f>
        <v>Ringan</v>
      </c>
      <c r="L16" s="5"/>
    </row>
    <row r="17" customFormat="false" ht="15" hidden="false" customHeight="false" outlineLevel="0" collapsed="false">
      <c r="A17" s="12" t="n">
        <v>94</v>
      </c>
      <c r="B17" s="12" t="s">
        <v>469</v>
      </c>
      <c r="C17" s="12" t="s">
        <v>458</v>
      </c>
      <c r="D17" s="12" t="n">
        <v>5</v>
      </c>
      <c r="E17" s="12" t="s">
        <v>379</v>
      </c>
      <c r="F17" s="12" t="n">
        <f aca="false">COUNTIFS('Existing vs Saran'!$J$5:$J$210,A17)</f>
        <v>2</v>
      </c>
      <c r="G17" s="32" t="n">
        <f aca="false">SUMIFS('Existing vs Saran'!$L$5:$L$210,'Existing vs Saran'!$J$5:$J$210,A17)</f>
        <v>278.05</v>
      </c>
      <c r="H17" s="12" t="n">
        <f aca="false">COUNTIFS('Existing vs Saran'!$N$5:$N$210,A17)</f>
        <v>2</v>
      </c>
      <c r="I17" s="32" t="n">
        <f aca="false">SUMIFS('Existing vs Saran'!$I$5:$I$210,'Existing vs Saran'!$N$5:$N$210,A17)</f>
        <v>150.28</v>
      </c>
      <c r="J17" s="32" t="n">
        <f aca="false">I17-G17</f>
        <v>-127.77</v>
      </c>
      <c r="K17" s="12" t="str">
        <f aca="false">IF(I17=0,"Tidak dipakai",IF(I17&gt;'Parameter &amp; Asumsi'!$B$8,"Berlebih",IF(I17&lt;100,"Ringan","Wajar")))</f>
        <v>Wajar</v>
      </c>
      <c r="L17" s="5"/>
    </row>
    <row r="18" customFormat="false" ht="35.05" hidden="false" customHeight="false" outlineLevel="0" collapsed="false">
      <c r="A18" s="12" t="n">
        <v>99</v>
      </c>
      <c r="B18" s="12" t="s">
        <v>93</v>
      </c>
      <c r="C18" s="12" t="s">
        <v>472</v>
      </c>
      <c r="D18" s="12" t="n">
        <v>5</v>
      </c>
      <c r="E18" s="12" t="s">
        <v>379</v>
      </c>
      <c r="F18" s="12" t="n">
        <f aca="false">COUNTIFS('Existing vs Saran'!$J$5:$J$210,A18)</f>
        <v>1</v>
      </c>
      <c r="G18" s="32" t="n">
        <f aca="false">SUMIFS('Existing vs Saran'!$L$5:$L$210,'Existing vs Saran'!$J$5:$J$210,A18)</f>
        <v>27.47</v>
      </c>
      <c r="H18" s="12" t="n">
        <f aca="false">COUNTIFS('Existing vs Saran'!$N$5:$N$210,A18)</f>
        <v>1</v>
      </c>
      <c r="I18" s="32" t="n">
        <f aca="false">SUMIFS('Existing vs Saran'!$I$5:$I$210,'Existing vs Saran'!$N$5:$N$210,A18)</f>
        <v>155.29</v>
      </c>
      <c r="J18" s="32" t="n">
        <f aca="false">I18-G18</f>
        <v>127.82</v>
      </c>
      <c r="K18" s="12" t="str">
        <f aca="false">IF(I18=0,"Tidak dipakai",IF(I18&gt;'Parameter &amp; Asumsi'!$B$8,"Berlebih",IF(I18&lt;100,"Ringan","Wajar")))</f>
        <v>Wajar</v>
      </c>
      <c r="L18" s="5" t="s">
        <v>900</v>
      </c>
    </row>
    <row r="19" customFormat="false" ht="15" hidden="false" customHeight="false" outlineLevel="0" collapsed="false">
      <c r="A19" s="12" t="n">
        <v>101</v>
      </c>
      <c r="B19" s="12" t="s">
        <v>460</v>
      </c>
      <c r="C19" s="12" t="s">
        <v>458</v>
      </c>
      <c r="D19" s="12" t="n">
        <v>5</v>
      </c>
      <c r="E19" s="12" t="s">
        <v>379</v>
      </c>
      <c r="F19" s="12" t="n">
        <f aca="false">COUNTIFS('Existing vs Saran'!$J$5:$J$210,A19)</f>
        <v>3</v>
      </c>
      <c r="G19" s="32" t="n">
        <f aca="false">SUMIFS('Existing vs Saran'!$L$5:$L$210,'Existing vs Saran'!$J$5:$J$210,A19)</f>
        <v>134.8</v>
      </c>
      <c r="H19" s="12" t="n">
        <f aca="false">COUNTIFS('Existing vs Saran'!$N$5:$N$210,A19)</f>
        <v>3</v>
      </c>
      <c r="I19" s="32" t="n">
        <f aca="false">SUMIFS('Existing vs Saran'!$I$5:$I$210,'Existing vs Saran'!$N$5:$N$210,A19)</f>
        <v>134.8</v>
      </c>
      <c r="J19" s="32" t="n">
        <f aca="false">I19-G19</f>
        <v>0</v>
      </c>
      <c r="K19" s="12" t="str">
        <f aca="false">IF(I19=0,"Tidak dipakai",IF(I19&gt;'Parameter &amp; Asumsi'!$B$8,"Berlebih",IF(I19&lt;100,"Ringan","Wajar")))</f>
        <v>Wajar</v>
      </c>
      <c r="L19" s="5"/>
    </row>
    <row r="20" customFormat="false" ht="15" hidden="false" customHeight="false" outlineLevel="0" collapsed="false">
      <c r="A20" s="12" t="n">
        <v>102</v>
      </c>
      <c r="B20" s="12" t="s">
        <v>470</v>
      </c>
      <c r="C20" s="12" t="s">
        <v>458</v>
      </c>
      <c r="D20" s="12" t="n">
        <v>5</v>
      </c>
      <c r="E20" s="12" t="s">
        <v>379</v>
      </c>
      <c r="F20" s="12" t="n">
        <f aca="false">COUNTIFS('Existing vs Saran'!$J$5:$J$210,A20)</f>
        <v>2</v>
      </c>
      <c r="G20" s="32" t="n">
        <f aca="false">SUMIFS('Existing vs Saran'!$L$5:$L$210,'Existing vs Saran'!$J$5:$J$210,A20)</f>
        <v>274.11</v>
      </c>
      <c r="H20" s="12" t="n">
        <f aca="false">COUNTIFS('Existing vs Saran'!$N$5:$N$210,A20)</f>
        <v>2</v>
      </c>
      <c r="I20" s="32" t="n">
        <f aca="false">SUMIFS('Existing vs Saran'!$I$5:$I$210,'Existing vs Saran'!$N$5:$N$210,A20)</f>
        <v>146.55</v>
      </c>
      <c r="J20" s="32" t="n">
        <f aca="false">I20-G20</f>
        <v>-127.56</v>
      </c>
      <c r="K20" s="12" t="str">
        <f aca="false">IF(I20=0,"Tidak dipakai",IF(I20&gt;'Parameter &amp; Asumsi'!$B$8,"Berlebih",IF(I20&lt;100,"Ringan","Wajar")))</f>
        <v>Wajar</v>
      </c>
      <c r="L20" s="5"/>
    </row>
    <row r="21" customFormat="false" ht="15" hidden="false" customHeight="false" outlineLevel="0" collapsed="false">
      <c r="A21" s="12" t="n">
        <v>106</v>
      </c>
      <c r="B21" s="12" t="s">
        <v>463</v>
      </c>
      <c r="C21" s="12" t="s">
        <v>458</v>
      </c>
      <c r="D21" s="12" t="n">
        <v>5</v>
      </c>
      <c r="E21" s="12" t="s">
        <v>379</v>
      </c>
      <c r="F21" s="12" t="n">
        <f aca="false">COUNTIFS('Existing vs Saran'!$J$5:$J$210,A21)</f>
        <v>1</v>
      </c>
      <c r="G21" s="32" t="n">
        <f aca="false">SUMIFS('Existing vs Saran'!$L$5:$L$210,'Existing vs Saran'!$J$5:$J$210,A21)</f>
        <v>69.68</v>
      </c>
      <c r="H21" s="12" t="n">
        <f aca="false">COUNTIFS('Existing vs Saran'!$N$5:$N$210,A21)</f>
        <v>1</v>
      </c>
      <c r="I21" s="32" t="n">
        <f aca="false">SUMIFS('Existing vs Saran'!$I$5:$I$210,'Existing vs Saran'!$N$5:$N$210,A21)</f>
        <v>69.68</v>
      </c>
      <c r="J21" s="32" t="n">
        <f aca="false">I21-G21</f>
        <v>0</v>
      </c>
      <c r="K21" s="12" t="str">
        <f aca="false">IF(I21=0,"Tidak dipakai",IF(I21&gt;'Parameter &amp; Asumsi'!$B$8,"Berlebih",IF(I21&lt;100,"Ringan","Wajar")))</f>
        <v>Ringan</v>
      </c>
      <c r="L21" s="5"/>
    </row>
    <row r="22" customFormat="false" ht="15" hidden="false" customHeight="false" outlineLevel="0" collapsed="false">
      <c r="A22" s="12" t="n">
        <v>107</v>
      </c>
      <c r="B22" s="12" t="s">
        <v>493</v>
      </c>
      <c r="C22" s="12" t="s">
        <v>458</v>
      </c>
      <c r="D22" s="12" t="n">
        <v>5</v>
      </c>
      <c r="E22" s="12" t="s">
        <v>379</v>
      </c>
      <c r="F22" s="12" t="n">
        <f aca="false">COUNTIFS('Existing vs Saran'!$J$5:$J$210,A22)</f>
        <v>4</v>
      </c>
      <c r="G22" s="32" t="n">
        <f aca="false">SUMIFS('Existing vs Saran'!$L$5:$L$210,'Existing vs Saran'!$J$5:$J$210,A22)</f>
        <v>95.15</v>
      </c>
      <c r="H22" s="12" t="n">
        <f aca="false">COUNTIFS('Existing vs Saran'!$N$5:$N$210,A22)</f>
        <v>5</v>
      </c>
      <c r="I22" s="32" t="n">
        <f aca="false">SUMIFS('Existing vs Saran'!$I$5:$I$210,'Existing vs Saran'!$N$5:$N$210,A22)</f>
        <v>214.82</v>
      </c>
      <c r="J22" s="32" t="n">
        <f aca="false">I22-G22</f>
        <v>119.67</v>
      </c>
      <c r="K22" s="12" t="str">
        <f aca="false">IF(I22=0,"Tidak dipakai",IF(I22&gt;'Parameter &amp; Asumsi'!$B$8,"Berlebih",IF(I22&lt;100,"Ringan","Wajar")))</f>
        <v>Wajar</v>
      </c>
      <c r="L22" s="5"/>
    </row>
    <row r="23" customFormat="false" ht="15" hidden="false" customHeight="false" outlineLevel="0" collapsed="false">
      <c r="A23" s="12" t="n">
        <v>108</v>
      </c>
      <c r="B23" s="12" t="s">
        <v>464</v>
      </c>
      <c r="C23" s="12" t="s">
        <v>458</v>
      </c>
      <c r="D23" s="12" t="n">
        <v>5</v>
      </c>
      <c r="E23" s="12" t="s">
        <v>379</v>
      </c>
      <c r="F23" s="12" t="n">
        <f aca="false">COUNTIFS('Existing vs Saran'!$J$5:$J$210,A23)</f>
        <v>1</v>
      </c>
      <c r="G23" s="32" t="n">
        <f aca="false">SUMIFS('Existing vs Saran'!$L$5:$L$210,'Existing vs Saran'!$J$5:$J$210,A23)</f>
        <v>85.5</v>
      </c>
      <c r="H23" s="12" t="n">
        <f aca="false">COUNTIFS('Existing vs Saran'!$N$5:$N$210,A23)</f>
        <v>1</v>
      </c>
      <c r="I23" s="32" t="n">
        <f aca="false">SUMIFS('Existing vs Saran'!$I$5:$I$210,'Existing vs Saran'!$N$5:$N$210,A23)</f>
        <v>85.5</v>
      </c>
      <c r="J23" s="32" t="n">
        <f aca="false">I23-G23</f>
        <v>0</v>
      </c>
      <c r="K23" s="12" t="str">
        <f aca="false">IF(I23=0,"Tidak dipakai",IF(I23&gt;'Parameter &amp; Asumsi'!$B$8,"Berlebih",IF(I23&lt;100,"Ringan","Wajar")))</f>
        <v>Ringan</v>
      </c>
      <c r="L23" s="5"/>
    </row>
    <row r="24" customFormat="false" ht="15" hidden="false" customHeight="false" outlineLevel="0" collapsed="false">
      <c r="A24" s="12" t="n">
        <v>111</v>
      </c>
      <c r="B24" s="12" t="s">
        <v>494</v>
      </c>
      <c r="C24" s="12" t="s">
        <v>458</v>
      </c>
      <c r="D24" s="12" t="n">
        <v>5</v>
      </c>
      <c r="E24" s="12" t="s">
        <v>379</v>
      </c>
      <c r="F24" s="12" t="n">
        <f aca="false">COUNTIFS('Existing vs Saran'!$J$5:$J$210,A24)</f>
        <v>2</v>
      </c>
      <c r="G24" s="32" t="n">
        <f aca="false">SUMIFS('Existing vs Saran'!$L$5:$L$210,'Existing vs Saran'!$J$5:$J$210,A24)</f>
        <v>274.23</v>
      </c>
      <c r="H24" s="12" t="n">
        <f aca="false">COUNTIFS('Existing vs Saran'!$N$5:$N$210,A24)</f>
        <v>2</v>
      </c>
      <c r="I24" s="32" t="n">
        <f aca="false">SUMIFS('Existing vs Saran'!$I$5:$I$210,'Existing vs Saran'!$N$5:$N$210,A24)</f>
        <v>145.99</v>
      </c>
      <c r="J24" s="32" t="n">
        <f aca="false">I24-G24</f>
        <v>-128.24</v>
      </c>
      <c r="K24" s="12" t="str">
        <f aca="false">IF(I24=0,"Tidak dipakai",IF(I24&gt;'Parameter &amp; Asumsi'!$B$8,"Berlebih",IF(I24&lt;100,"Ringan","Wajar")))</f>
        <v>Wajar</v>
      </c>
      <c r="L24" s="5"/>
    </row>
    <row r="25" customFormat="false" ht="15" hidden="false" customHeight="false" outlineLevel="0" collapsed="false">
      <c r="A25" s="12" t="n">
        <v>112</v>
      </c>
      <c r="B25" s="12" t="s">
        <v>755</v>
      </c>
      <c r="C25" s="12" t="s">
        <v>458</v>
      </c>
      <c r="D25" s="12" t="n">
        <v>5</v>
      </c>
      <c r="E25" s="12" t="s">
        <v>379</v>
      </c>
      <c r="F25" s="12" t="n">
        <f aca="false">COUNTIFS('Existing vs Saran'!$J$5:$J$210,A25)</f>
        <v>3</v>
      </c>
      <c r="G25" s="32" t="n">
        <f aca="false">SUMIFS('Existing vs Saran'!$L$5:$L$210,'Existing vs Saran'!$J$5:$J$210,A25)</f>
        <v>136.8</v>
      </c>
      <c r="H25" s="12" t="n">
        <f aca="false">COUNTIFS('Existing vs Saran'!$N$5:$N$210,A25)</f>
        <v>0</v>
      </c>
      <c r="I25" s="32" t="n">
        <f aca="false">SUMIFS('Existing vs Saran'!$I$5:$I$210,'Existing vs Saran'!$N$5:$N$210,A25)</f>
        <v>0</v>
      </c>
      <c r="J25" s="32" t="n">
        <f aca="false">I25-G25</f>
        <v>-136.8</v>
      </c>
      <c r="K25" s="12" t="str">
        <f aca="false">IF(I25=0,"Tidak dipakai",IF(I25&gt;'Parameter &amp; Asumsi'!$B$8,"Berlebih",IF(I25&lt;100,"Ringan","Wajar")))</f>
        <v>Tidak dipakai</v>
      </c>
      <c r="L25" s="5" t="s">
        <v>901</v>
      </c>
    </row>
    <row r="26" customFormat="false" ht="15" hidden="false" customHeight="false" outlineLevel="0" collapsed="false">
      <c r="A26" s="12" t="n">
        <v>116</v>
      </c>
      <c r="B26" s="12" t="s">
        <v>487</v>
      </c>
      <c r="C26" s="12" t="s">
        <v>478</v>
      </c>
      <c r="D26" s="12" t="n">
        <v>4</v>
      </c>
      <c r="E26" s="12" t="s">
        <v>379</v>
      </c>
      <c r="F26" s="12" t="n">
        <f aca="false">COUNTIFS('Existing vs Saran'!$J$5:$J$210,A26)</f>
        <v>0</v>
      </c>
      <c r="G26" s="32" t="n">
        <f aca="false">SUMIFS('Existing vs Saran'!$L$5:$L$210,'Existing vs Saran'!$J$5:$J$210,A26)</f>
        <v>0</v>
      </c>
      <c r="H26" s="12" t="n">
        <f aca="false">COUNTIFS('Existing vs Saran'!$N$5:$N$210,A26)</f>
        <v>1</v>
      </c>
      <c r="I26" s="32" t="n">
        <f aca="false">SUMIFS('Existing vs Saran'!$I$5:$I$210,'Existing vs Saran'!$N$5:$N$210,A26)</f>
        <v>155.61</v>
      </c>
      <c r="J26" s="32" t="n">
        <f aca="false">I26-G26</f>
        <v>155.61</v>
      </c>
      <c r="K26" s="12" t="str">
        <f aca="false">IF(I26=0,"Tidak dipakai",IF(I26&gt;'Parameter &amp; Asumsi'!$B$8,"Berlebih",IF(I26&lt;100,"Ringan","Wajar")))</f>
        <v>Wajar</v>
      </c>
      <c r="L26" s="5"/>
    </row>
    <row r="27" customFormat="false" ht="15" hidden="false" customHeight="false" outlineLevel="0" collapsed="false">
      <c r="A27" s="12" t="n">
        <v>117</v>
      </c>
      <c r="B27" s="12" t="s">
        <v>465</v>
      </c>
      <c r="C27" s="12" t="s">
        <v>458</v>
      </c>
      <c r="D27" s="12" t="n">
        <v>5</v>
      </c>
      <c r="E27" s="12" t="s">
        <v>379</v>
      </c>
      <c r="F27" s="12" t="n">
        <f aca="false">COUNTIFS('Existing vs Saran'!$J$5:$J$210,A27)</f>
        <v>1</v>
      </c>
      <c r="G27" s="32" t="n">
        <f aca="false">SUMIFS('Existing vs Saran'!$L$5:$L$210,'Existing vs Saran'!$J$5:$J$210,A27)</f>
        <v>78.82</v>
      </c>
      <c r="H27" s="12" t="n">
        <f aca="false">COUNTIFS('Existing vs Saran'!$N$5:$N$210,A27)</f>
        <v>1</v>
      </c>
      <c r="I27" s="32" t="n">
        <f aca="false">SUMIFS('Existing vs Saran'!$I$5:$I$210,'Existing vs Saran'!$N$5:$N$210,A27)</f>
        <v>78.82</v>
      </c>
      <c r="J27" s="32" t="n">
        <f aca="false">I27-G27</f>
        <v>0</v>
      </c>
      <c r="K27" s="12" t="str">
        <f aca="false">IF(I27=0,"Tidak dipakai",IF(I27&gt;'Parameter &amp; Asumsi'!$B$8,"Berlebih",IF(I27&lt;100,"Ringan","Wajar")))</f>
        <v>Ringan</v>
      </c>
      <c r="L27" s="5"/>
    </row>
    <row r="28" customFormat="false" ht="15" hidden="false" customHeight="false" outlineLevel="0" collapsed="false">
      <c r="A28" s="12" t="n">
        <v>122</v>
      </c>
      <c r="B28" s="12" t="s">
        <v>461</v>
      </c>
      <c r="C28" s="12" t="s">
        <v>458</v>
      </c>
      <c r="D28" s="12" t="n">
        <v>4</v>
      </c>
      <c r="E28" s="12" t="s">
        <v>379</v>
      </c>
      <c r="F28" s="12" t="n">
        <f aca="false">COUNTIFS('Existing vs Saran'!$J$5:$J$210,A28)</f>
        <v>3</v>
      </c>
      <c r="G28" s="32" t="n">
        <f aca="false">SUMIFS('Existing vs Saran'!$L$5:$L$210,'Existing vs Saran'!$J$5:$J$210,A28)</f>
        <v>99.68</v>
      </c>
      <c r="H28" s="12" t="n">
        <f aca="false">COUNTIFS('Existing vs Saran'!$N$5:$N$210,A28)</f>
        <v>4</v>
      </c>
      <c r="I28" s="32" t="n">
        <f aca="false">SUMIFS('Existing vs Saran'!$I$5:$I$210,'Existing vs Saran'!$N$5:$N$210,A28)</f>
        <v>127.15</v>
      </c>
      <c r="J28" s="32" t="n">
        <f aca="false">I28-G28</f>
        <v>27.47</v>
      </c>
      <c r="K28" s="12" t="str">
        <f aca="false">IF(I28=0,"Tidak dipakai",IF(I28&gt;'Parameter &amp; Asumsi'!$B$8,"Berlebih",IF(I28&lt;100,"Ringan","Wajar")))</f>
        <v>Wajar</v>
      </c>
      <c r="L28" s="5" t="s">
        <v>902</v>
      </c>
    </row>
    <row r="29" customFormat="false" ht="15" hidden="false" customHeight="false" outlineLevel="0" collapsed="false">
      <c r="A29" s="12" t="n">
        <v>125</v>
      </c>
      <c r="B29" s="12" t="s">
        <v>462</v>
      </c>
      <c r="C29" s="12" t="s">
        <v>458</v>
      </c>
      <c r="D29" s="12" t="n">
        <v>5</v>
      </c>
      <c r="E29" s="12" t="s">
        <v>379</v>
      </c>
      <c r="F29" s="12" t="n">
        <f aca="false">COUNTIFS('Existing vs Saran'!$J$5:$J$210,A29)</f>
        <v>1</v>
      </c>
      <c r="G29" s="32" t="n">
        <f aca="false">SUMIFS('Existing vs Saran'!$L$5:$L$210,'Existing vs Saran'!$J$5:$J$210,A29)</f>
        <v>81.8</v>
      </c>
      <c r="H29" s="12" t="n">
        <f aca="false">COUNTIFS('Existing vs Saran'!$N$5:$N$210,A29)</f>
        <v>1</v>
      </c>
      <c r="I29" s="32" t="n">
        <f aca="false">SUMIFS('Existing vs Saran'!$I$5:$I$210,'Existing vs Saran'!$N$5:$N$210,A29)</f>
        <v>81.8</v>
      </c>
      <c r="J29" s="32" t="n">
        <f aca="false">I29-G29</f>
        <v>0</v>
      </c>
      <c r="K29" s="12" t="str">
        <f aca="false">IF(I29=0,"Tidak dipakai",IF(I29&gt;'Parameter &amp; Asumsi'!$B$8,"Berlebih",IF(I29&lt;100,"Ringan","Wajar")))</f>
        <v>Ringan</v>
      </c>
      <c r="L29" s="5"/>
    </row>
    <row r="30" customFormat="false" ht="15" hidden="false" customHeight="false" outlineLevel="0" collapsed="false">
      <c r="A30" s="12" t="n">
        <v>127</v>
      </c>
      <c r="B30" s="12" t="s">
        <v>466</v>
      </c>
      <c r="C30" s="12" t="s">
        <v>458</v>
      </c>
      <c r="D30" s="12" t="n">
        <v>5</v>
      </c>
      <c r="E30" s="12" t="s">
        <v>379</v>
      </c>
      <c r="F30" s="12" t="n">
        <f aca="false">COUNTIFS('Existing vs Saran'!$J$5:$J$210,A30)</f>
        <v>2</v>
      </c>
      <c r="G30" s="32" t="n">
        <f aca="false">SUMIFS('Existing vs Saran'!$L$5:$L$210,'Existing vs Saran'!$J$5:$J$210,A30)</f>
        <v>136.37</v>
      </c>
      <c r="H30" s="12" t="n">
        <f aca="false">COUNTIFS('Existing vs Saran'!$N$5:$N$210,A30)</f>
        <v>3</v>
      </c>
      <c r="I30" s="32" t="n">
        <f aca="false">SUMIFS('Existing vs Saran'!$I$5:$I$210,'Existing vs Saran'!$N$5:$N$210,A30)</f>
        <v>159.7</v>
      </c>
      <c r="J30" s="32" t="n">
        <f aca="false">I30-G30</f>
        <v>23.33</v>
      </c>
      <c r="K30" s="12" t="str">
        <f aca="false">IF(I30=0,"Tidak dipakai",IF(I30&gt;'Parameter &amp; Asumsi'!$B$8,"Berlebih",IF(I30&lt;100,"Ringan","Wajar")))</f>
        <v>Wajar</v>
      </c>
      <c r="L30" s="5" t="s">
        <v>903</v>
      </c>
    </row>
    <row r="31" customFormat="false" ht="15" hidden="false" customHeight="false" outlineLevel="0" collapsed="false">
      <c r="A31" s="12" t="n">
        <v>129</v>
      </c>
      <c r="B31" s="12" t="s">
        <v>467</v>
      </c>
      <c r="C31" s="12" t="s">
        <v>458</v>
      </c>
      <c r="D31" s="12" t="n">
        <v>5</v>
      </c>
      <c r="E31" s="12" t="s">
        <v>379</v>
      </c>
      <c r="F31" s="12" t="n">
        <f aca="false">COUNTIFS('Existing vs Saran'!$J$5:$J$210,A31)</f>
        <v>1</v>
      </c>
      <c r="G31" s="32" t="n">
        <f aca="false">SUMIFS('Existing vs Saran'!$L$5:$L$210,'Existing vs Saran'!$J$5:$J$210,A31)</f>
        <v>83.39</v>
      </c>
      <c r="H31" s="12" t="n">
        <f aca="false">COUNTIFS('Existing vs Saran'!$N$5:$N$210,A31)</f>
        <v>1</v>
      </c>
      <c r="I31" s="32" t="n">
        <f aca="false">SUMIFS('Existing vs Saran'!$I$5:$I$210,'Existing vs Saran'!$N$5:$N$210,A31)</f>
        <v>83.39</v>
      </c>
      <c r="J31" s="32" t="n">
        <f aca="false">I31-G31</f>
        <v>0</v>
      </c>
      <c r="K31" s="12" t="str">
        <f aca="false">IF(I31=0,"Tidak dipakai",IF(I31&gt;'Parameter &amp; Asumsi'!$B$8,"Berlebih",IF(I31&lt;100,"Ringan","Wajar")))</f>
        <v>Ringan</v>
      </c>
      <c r="L31" s="5"/>
    </row>
    <row r="32" customFormat="false" ht="15" hidden="false" customHeight="false" outlineLevel="0" collapsed="false">
      <c r="A32" s="12" t="n">
        <v>130</v>
      </c>
      <c r="B32" s="12" t="s">
        <v>488</v>
      </c>
      <c r="C32" s="12" t="s">
        <v>458</v>
      </c>
      <c r="D32" s="12" t="n">
        <v>3</v>
      </c>
      <c r="E32" s="12" t="s">
        <v>379</v>
      </c>
      <c r="F32" s="12" t="n">
        <f aca="false">COUNTIFS('Existing vs Saran'!$J$5:$J$210,A32)</f>
        <v>3</v>
      </c>
      <c r="G32" s="32" t="n">
        <f aca="false">SUMIFS('Existing vs Saran'!$L$5:$L$210,'Existing vs Saran'!$J$5:$J$210,A32)</f>
        <v>60.43</v>
      </c>
      <c r="H32" s="12" t="n">
        <f aca="false">COUNTIFS('Existing vs Saran'!$N$5:$N$210,A32)</f>
        <v>4</v>
      </c>
      <c r="I32" s="32" t="n">
        <f aca="false">SUMIFS('Existing vs Saran'!$I$5:$I$210,'Existing vs Saran'!$N$5:$N$210,A32)</f>
        <v>216.04</v>
      </c>
      <c r="J32" s="32" t="n">
        <f aca="false">I32-G32</f>
        <v>155.61</v>
      </c>
      <c r="K32" s="12" t="str">
        <f aca="false">IF(I32=0,"Tidak dipakai",IF(I32&gt;'Parameter &amp; Asumsi'!$B$8,"Berlebih",IF(I32&lt;100,"Ringan","Wajar")))</f>
        <v>Wajar</v>
      </c>
      <c r="L32" s="5"/>
    </row>
    <row r="33" customFormat="false" ht="23.85" hidden="false" customHeight="false" outlineLevel="0" collapsed="false">
      <c r="A33" s="12" t="n">
        <v>138</v>
      </c>
      <c r="B33" s="12" t="s">
        <v>160</v>
      </c>
      <c r="C33" s="12" t="s">
        <v>472</v>
      </c>
      <c r="D33" s="12" t="n">
        <v>5</v>
      </c>
      <c r="E33" s="12" t="s">
        <v>904</v>
      </c>
      <c r="F33" s="12" t="n">
        <f aca="false">COUNTIFS('Existing vs Saran'!$J$5:$J$210,A33)</f>
        <v>0</v>
      </c>
      <c r="G33" s="32" t="n">
        <f aca="false">SUMIFS('Existing vs Saran'!$L$5:$L$210,'Existing vs Saran'!$J$5:$J$210,A33)</f>
        <v>0</v>
      </c>
      <c r="H33" s="12" t="n">
        <f aca="false">COUNTIFS('Existing vs Saran'!$N$5:$N$210,A33)</f>
        <v>1</v>
      </c>
      <c r="I33" s="32" t="n">
        <f aca="false">SUMIFS('Existing vs Saran'!$I$5:$I$210,'Existing vs Saran'!$N$5:$N$210,A33)</f>
        <v>118.77</v>
      </c>
      <c r="J33" s="32" t="n">
        <f aca="false">I33-G33</f>
        <v>118.77</v>
      </c>
      <c r="K33" s="12" t="str">
        <f aca="false">IF(I33=0,"Tidak dipakai",IF(I33&gt;'Parameter &amp; Asumsi'!$B$8,"Berlebih",IF(I33&lt;100,"Ringan","Wajar")))</f>
        <v>Wajar</v>
      </c>
      <c r="L33" s="5" t="s">
        <v>897</v>
      </c>
    </row>
    <row r="34" customFormat="false" ht="15" hidden="false" customHeight="false" outlineLevel="0" collapsed="false">
      <c r="A34" s="12" t="n">
        <v>145</v>
      </c>
      <c r="B34" s="12" t="s">
        <v>506</v>
      </c>
      <c r="C34" s="12" t="s">
        <v>478</v>
      </c>
      <c r="D34" s="12" t="n">
        <v>5</v>
      </c>
      <c r="E34" s="12" t="s">
        <v>905</v>
      </c>
      <c r="F34" s="12" t="n">
        <f aca="false">COUNTIFS('Existing vs Saran'!$J$5:$J$210,A34)</f>
        <v>0</v>
      </c>
      <c r="G34" s="32" t="n">
        <f aca="false">SUMIFS('Existing vs Saran'!$L$5:$L$210,'Existing vs Saran'!$J$5:$J$210,A34)</f>
        <v>0</v>
      </c>
      <c r="H34" s="12" t="n">
        <f aca="false">COUNTIFS('Existing vs Saran'!$N$5:$N$210,A34)</f>
        <v>1</v>
      </c>
      <c r="I34" s="32" t="n">
        <f aca="false">SUMIFS('Existing vs Saran'!$I$5:$I$210,'Existing vs Saran'!$N$5:$N$210,A34)</f>
        <v>127.5</v>
      </c>
      <c r="J34" s="32" t="n">
        <f aca="false">I34-G34</f>
        <v>127.5</v>
      </c>
      <c r="K34" s="12" t="str">
        <f aca="false">IF(I34=0,"Tidak dipakai",IF(I34&gt;'Parameter &amp; Asumsi'!$B$8,"Berlebih",IF(I34&lt;100,"Ringan","Wajar")))</f>
        <v>Wajar</v>
      </c>
      <c r="L34" s="5"/>
    </row>
    <row r="35" customFormat="false" ht="15" hidden="false" customHeight="false" outlineLevel="0" collapsed="false">
      <c r="A35" s="12" t="n">
        <v>152</v>
      </c>
      <c r="B35" s="12" t="s">
        <v>509</v>
      </c>
      <c r="C35" s="12" t="s">
        <v>458</v>
      </c>
      <c r="D35" s="12" t="n">
        <v>5</v>
      </c>
      <c r="E35" s="12" t="s">
        <v>905</v>
      </c>
      <c r="F35" s="12" t="n">
        <f aca="false">COUNTIFS('Existing vs Saran'!$J$5:$J$210,A35)</f>
        <v>2</v>
      </c>
      <c r="G35" s="32" t="n">
        <f aca="false">SUMIFS('Existing vs Saran'!$L$5:$L$210,'Existing vs Saran'!$J$5:$J$210,A35)</f>
        <v>241.29</v>
      </c>
      <c r="H35" s="12" t="n">
        <f aca="false">COUNTIFS('Existing vs Saran'!$N$5:$N$210,A35)</f>
        <v>1</v>
      </c>
      <c r="I35" s="32" t="n">
        <f aca="false">SUMIFS('Existing vs Saran'!$I$5:$I$210,'Existing vs Saran'!$N$5:$N$210,A35)</f>
        <v>122.52</v>
      </c>
      <c r="J35" s="32" t="n">
        <f aca="false">I35-G35</f>
        <v>-118.77</v>
      </c>
      <c r="K35" s="12" t="str">
        <f aca="false">IF(I35=0,"Tidak dipakai",IF(I35&gt;'Parameter &amp; Asumsi'!$B$8,"Berlebih",IF(I35&lt;100,"Ringan","Wajar")))</f>
        <v>Wajar</v>
      </c>
      <c r="L35" s="5"/>
    </row>
    <row r="36" customFormat="false" ht="23.85" hidden="false" customHeight="false" outlineLevel="0" collapsed="false">
      <c r="A36" s="12" t="n">
        <v>153</v>
      </c>
      <c r="B36" s="12" t="s">
        <v>129</v>
      </c>
      <c r="C36" s="12" t="s">
        <v>472</v>
      </c>
      <c r="D36" s="12" t="n">
        <v>5</v>
      </c>
      <c r="E36" s="12" t="s">
        <v>905</v>
      </c>
      <c r="F36" s="12" t="n">
        <f aca="false">COUNTIFS('Existing vs Saran'!$J$5:$J$210,A36)</f>
        <v>0</v>
      </c>
      <c r="G36" s="32" t="n">
        <f aca="false">SUMIFS('Existing vs Saran'!$L$5:$L$210,'Existing vs Saran'!$J$5:$J$210,A36)</f>
        <v>0</v>
      </c>
      <c r="H36" s="12" t="n">
        <f aca="false">COUNTIFS('Existing vs Saran'!$N$5:$N$210,A36)</f>
        <v>2</v>
      </c>
      <c r="I36" s="32" t="n">
        <f aca="false">SUMIFS('Existing vs Saran'!$I$5:$I$210,'Existing vs Saran'!$N$5:$N$210,A36)</f>
        <v>205.52</v>
      </c>
      <c r="J36" s="32" t="n">
        <f aca="false">I36-G36</f>
        <v>205.52</v>
      </c>
      <c r="K36" s="12" t="str">
        <f aca="false">IF(I36=0,"Tidak dipakai",IF(I36&gt;'Parameter &amp; Asumsi'!$B$8,"Berlebih",IF(I36&lt;100,"Ringan","Wajar")))</f>
        <v>Wajar</v>
      </c>
      <c r="L36" s="5" t="s">
        <v>906</v>
      </c>
    </row>
    <row r="37" customFormat="false" ht="15" hidden="false" customHeight="false" outlineLevel="0" collapsed="false">
      <c r="A37" s="12" t="n">
        <v>156</v>
      </c>
      <c r="B37" s="12" t="s">
        <v>501</v>
      </c>
      <c r="C37" s="12" t="s">
        <v>478</v>
      </c>
      <c r="D37" s="12" t="n">
        <v>5</v>
      </c>
      <c r="E37" s="12" t="s">
        <v>905</v>
      </c>
      <c r="F37" s="12" t="n">
        <f aca="false">COUNTIFS('Existing vs Saran'!$J$5:$J$210,A37)</f>
        <v>0</v>
      </c>
      <c r="G37" s="32" t="n">
        <f aca="false">SUMIFS('Existing vs Saran'!$L$5:$L$210,'Existing vs Saran'!$J$5:$J$210,A37)</f>
        <v>0</v>
      </c>
      <c r="H37" s="12" t="n">
        <f aca="false">COUNTIFS('Existing vs Saran'!$N$5:$N$210,A37)</f>
        <v>1</v>
      </c>
      <c r="I37" s="32" t="n">
        <f aca="false">SUMIFS('Existing vs Saran'!$I$5:$I$210,'Existing vs Saran'!$N$5:$N$210,A37)</f>
        <v>127.57</v>
      </c>
      <c r="J37" s="32" t="n">
        <f aca="false">I37-G37</f>
        <v>127.57</v>
      </c>
      <c r="K37" s="12" t="str">
        <f aca="false">IF(I37=0,"Tidak dipakai",IF(I37&gt;'Parameter &amp; Asumsi'!$B$8,"Berlebih",IF(I37&lt;100,"Ringan","Wajar")))</f>
        <v>Wajar</v>
      </c>
      <c r="L37" s="5"/>
    </row>
    <row r="38" customFormat="false" ht="15" hidden="false" customHeight="false" outlineLevel="0" collapsed="false">
      <c r="A38" s="12" t="n">
        <v>158</v>
      </c>
      <c r="B38" s="12" t="s">
        <v>480</v>
      </c>
      <c r="C38" s="12" t="s">
        <v>458</v>
      </c>
      <c r="D38" s="12" t="n">
        <v>5</v>
      </c>
      <c r="E38" s="12" t="s">
        <v>18</v>
      </c>
      <c r="F38" s="12" t="n">
        <f aca="false">COUNTIFS('Existing vs Saran'!$J$5:$J$210,A38)</f>
        <v>1</v>
      </c>
      <c r="G38" s="32" t="n">
        <f aca="false">SUMIFS('Existing vs Saran'!$L$5:$L$210,'Existing vs Saran'!$J$5:$J$210,A38)</f>
        <v>260.2</v>
      </c>
      <c r="H38" s="12" t="n">
        <f aca="false">COUNTIFS('Existing vs Saran'!$N$5:$N$210,A38)</f>
        <v>2</v>
      </c>
      <c r="I38" s="32" t="n">
        <f aca="false">SUMIFS('Existing vs Saran'!$I$5:$I$210,'Existing vs Saran'!$N$5:$N$210,A38)</f>
        <v>209.81</v>
      </c>
      <c r="J38" s="32" t="n">
        <f aca="false">I38-G38</f>
        <v>-50.39</v>
      </c>
      <c r="K38" s="12" t="str">
        <f aca="false">IF(I38=0,"Tidak dipakai",IF(I38&gt;'Parameter &amp; Asumsi'!$B$8,"Berlebih",IF(I38&lt;100,"Ringan","Wajar")))</f>
        <v>Wajar</v>
      </c>
      <c r="L38" s="5"/>
    </row>
    <row r="39" customFormat="false" ht="15" hidden="false" customHeight="false" outlineLevel="0" collapsed="false">
      <c r="A39" s="12" t="n">
        <v>160</v>
      </c>
      <c r="B39" s="12" t="s">
        <v>643</v>
      </c>
      <c r="C39" s="12" t="s">
        <v>458</v>
      </c>
      <c r="D39" s="12" t="n">
        <v>5</v>
      </c>
      <c r="E39" s="12" t="s">
        <v>18</v>
      </c>
      <c r="F39" s="12" t="n">
        <f aca="false">COUNTIFS('Existing vs Saran'!$J$5:$J$210,A39)</f>
        <v>2</v>
      </c>
      <c r="G39" s="32" t="n">
        <f aca="false">SUMIFS('Existing vs Saran'!$L$5:$L$210,'Existing vs Saran'!$J$5:$J$210,A39)</f>
        <v>311.26</v>
      </c>
      <c r="H39" s="12" t="n">
        <f aca="false">COUNTIFS('Existing vs Saran'!$N$5:$N$210,A39)</f>
        <v>0</v>
      </c>
      <c r="I39" s="32" t="n">
        <f aca="false">SUMIFS('Existing vs Saran'!$I$5:$I$210,'Existing vs Saran'!$N$5:$N$210,A39)</f>
        <v>0</v>
      </c>
      <c r="J39" s="32" t="n">
        <f aca="false">I39-G39</f>
        <v>-311.26</v>
      </c>
      <c r="K39" s="12" t="str">
        <f aca="false">IF(I39=0,"Tidak dipakai",IF(I39&gt;'Parameter &amp; Asumsi'!$B$8,"Berlebih",IF(I39&lt;100,"Ringan","Wajar")))</f>
        <v>Tidak dipakai</v>
      </c>
      <c r="L39" s="5" t="s">
        <v>901</v>
      </c>
    </row>
    <row r="40" customFormat="false" ht="15" hidden="false" customHeight="false" outlineLevel="0" collapsed="false">
      <c r="A40" s="12" t="n">
        <v>164</v>
      </c>
      <c r="B40" s="12" t="s">
        <v>481</v>
      </c>
      <c r="C40" s="12" t="s">
        <v>458</v>
      </c>
      <c r="D40" s="12" t="n">
        <v>5</v>
      </c>
      <c r="E40" s="12" t="s">
        <v>18</v>
      </c>
      <c r="F40" s="12" t="n">
        <f aca="false">COUNTIFS('Existing vs Saran'!$J$5:$J$210,A40)</f>
        <v>10</v>
      </c>
      <c r="G40" s="32" t="n">
        <f aca="false">SUMIFS('Existing vs Saran'!$L$5:$L$210,'Existing vs Saran'!$J$5:$J$210,A40)</f>
        <v>196.76</v>
      </c>
      <c r="H40" s="12" t="n">
        <f aca="false">COUNTIFS('Existing vs Saran'!$N$5:$N$210,A40)</f>
        <v>10</v>
      </c>
      <c r="I40" s="32" t="n">
        <f aca="false">SUMIFS('Existing vs Saran'!$I$5:$I$210,'Existing vs Saran'!$N$5:$N$210,A40)</f>
        <v>196.76</v>
      </c>
      <c r="J40" s="32" t="n">
        <f aca="false">I40-G40</f>
        <v>0</v>
      </c>
      <c r="K40" s="12" t="str">
        <f aca="false">IF(I40=0,"Tidak dipakai",IF(I40&gt;'Parameter &amp; Asumsi'!$B$8,"Berlebih",IF(I40&lt;100,"Ringan","Wajar")))</f>
        <v>Wajar</v>
      </c>
      <c r="L40" s="5"/>
    </row>
    <row r="41" customFormat="false" ht="15" hidden="false" customHeight="false" outlineLevel="0" collapsed="false">
      <c r="A41" s="12" t="n">
        <v>166</v>
      </c>
      <c r="B41" s="12" t="s">
        <v>473</v>
      </c>
      <c r="C41" s="12" t="s">
        <v>458</v>
      </c>
      <c r="D41" s="12" t="n">
        <v>5</v>
      </c>
      <c r="E41" s="12" t="s">
        <v>18</v>
      </c>
      <c r="F41" s="12" t="n">
        <f aca="false">COUNTIFS('Existing vs Saran'!$J$5:$J$210,A41)</f>
        <v>3</v>
      </c>
      <c r="G41" s="32" t="n">
        <f aca="false">SUMIFS('Existing vs Saran'!$L$5:$L$210,'Existing vs Saran'!$J$5:$J$210,A41)</f>
        <v>191.99</v>
      </c>
      <c r="H41" s="12" t="n">
        <f aca="false">COUNTIFS('Existing vs Saran'!$N$5:$N$210,A41)</f>
        <v>3</v>
      </c>
      <c r="I41" s="32" t="n">
        <f aca="false">SUMIFS('Existing vs Saran'!$I$5:$I$210,'Existing vs Saran'!$N$5:$N$210,A41)</f>
        <v>191.99</v>
      </c>
      <c r="J41" s="32" t="n">
        <f aca="false">I41-G41</f>
        <v>0</v>
      </c>
      <c r="K41" s="12" t="str">
        <f aca="false">IF(I41=0,"Tidak dipakai",IF(I41&gt;'Parameter &amp; Asumsi'!$B$8,"Berlebih",IF(I41&lt;100,"Ringan","Wajar")))</f>
        <v>Wajar</v>
      </c>
      <c r="L41" s="5"/>
    </row>
    <row r="42" customFormat="false" ht="15" hidden="false" customHeight="false" outlineLevel="0" collapsed="false">
      <c r="A42" s="12" t="n">
        <v>466</v>
      </c>
      <c r="B42" s="12" t="s">
        <v>479</v>
      </c>
      <c r="C42" s="12" t="s">
        <v>458</v>
      </c>
      <c r="D42" s="12"/>
      <c r="E42" s="12" t="s">
        <v>18</v>
      </c>
      <c r="F42" s="12" t="n">
        <f aca="false">COUNTIFS('Existing vs Saran'!$J$5:$J$210,A42)</f>
        <v>1</v>
      </c>
      <c r="G42" s="32" t="n">
        <f aca="false">SUMIFS('Existing vs Saran'!$L$5:$L$210,'Existing vs Saran'!$J$5:$J$210,A42)</f>
        <v>154.84</v>
      </c>
      <c r="H42" s="12" t="n">
        <f aca="false">COUNTIFS('Existing vs Saran'!$N$5:$N$210,A42)</f>
        <v>2</v>
      </c>
      <c r="I42" s="32" t="n">
        <f aca="false">SUMIFS('Existing vs Saran'!$I$5:$I$210,'Existing vs Saran'!$N$5:$N$210,A42)</f>
        <v>219.12</v>
      </c>
      <c r="J42" s="32" t="n">
        <f aca="false">I42-G42</f>
        <v>64.28</v>
      </c>
      <c r="K42" s="12" t="str">
        <f aca="false">IF(I42=0,"Tidak dipakai",IF(I42&gt;'Parameter &amp; Asumsi'!$B$8,"Berlebih",IF(I42&lt;100,"Ringan","Wajar")))</f>
        <v>Wajar</v>
      </c>
      <c r="L42" s="5"/>
    </row>
    <row r="43" customFormat="false" ht="15" hidden="false" customHeight="false" outlineLevel="0" collapsed="false">
      <c r="A43" s="12" t="n">
        <v>167</v>
      </c>
      <c r="B43" s="12" t="s">
        <v>475</v>
      </c>
      <c r="C43" s="12" t="s">
        <v>458</v>
      </c>
      <c r="D43" s="12" t="n">
        <v>5</v>
      </c>
      <c r="E43" s="12" t="s">
        <v>18</v>
      </c>
      <c r="F43" s="12" t="n">
        <f aca="false">COUNTIFS('Existing vs Saran'!$J$5:$J$210,A43)</f>
        <v>2</v>
      </c>
      <c r="G43" s="32" t="n">
        <f aca="false">SUMIFS('Existing vs Saran'!$L$5:$L$210,'Existing vs Saran'!$J$5:$J$210,A43)</f>
        <v>225.52</v>
      </c>
      <c r="H43" s="12" t="n">
        <f aca="false">COUNTIFS('Existing vs Saran'!$N$5:$N$210,A43)</f>
        <v>2</v>
      </c>
      <c r="I43" s="32" t="n">
        <f aca="false">SUMIFS('Existing vs Saran'!$I$5:$I$210,'Existing vs Saran'!$N$5:$N$210,A43)</f>
        <v>213.09</v>
      </c>
      <c r="J43" s="32" t="n">
        <f aca="false">I43-G43</f>
        <v>-12.43</v>
      </c>
      <c r="K43" s="12" t="str">
        <f aca="false">IF(I43=0,"Tidak dipakai",IF(I43&gt;'Parameter &amp; Asumsi'!$B$8,"Berlebih",IF(I43&lt;100,"Ringan","Wajar")))</f>
        <v>Wajar</v>
      </c>
      <c r="L43" s="5"/>
    </row>
    <row r="44" customFormat="false" ht="15" hidden="false" customHeight="false" outlineLevel="0" collapsed="false">
      <c r="A44" s="12" t="n">
        <v>174</v>
      </c>
      <c r="B44" s="12" t="s">
        <v>495</v>
      </c>
      <c r="C44" s="12" t="s">
        <v>458</v>
      </c>
      <c r="D44" s="12" t="n">
        <v>4</v>
      </c>
      <c r="E44" s="12" t="s">
        <v>20</v>
      </c>
      <c r="F44" s="12" t="n">
        <f aca="false">COUNTIFS('Existing vs Saran'!$J$5:$J$210,A44)</f>
        <v>4</v>
      </c>
      <c r="G44" s="32" t="n">
        <f aca="false">SUMIFS('Existing vs Saran'!$L$5:$L$210,'Existing vs Saran'!$J$5:$J$210,A44)</f>
        <v>405.6</v>
      </c>
      <c r="H44" s="12" t="n">
        <f aca="false">COUNTIFS('Existing vs Saran'!$N$5:$N$210,A44)</f>
        <v>3</v>
      </c>
      <c r="I44" s="32" t="n">
        <f aca="false">SUMIFS('Existing vs Saran'!$I$5:$I$210,'Existing vs Saran'!$N$5:$N$210,A44)</f>
        <v>166.26</v>
      </c>
      <c r="J44" s="32" t="n">
        <f aca="false">I44-G44</f>
        <v>-239.34</v>
      </c>
      <c r="K44" s="12" t="str">
        <f aca="false">IF(I44=0,"Tidak dipakai",IF(I44&gt;'Parameter &amp; Asumsi'!$B$8,"Berlebih",IF(I44&lt;100,"Ringan","Wajar")))</f>
        <v>Wajar</v>
      </c>
      <c r="L44" s="5"/>
    </row>
    <row r="45" customFormat="false" ht="15" hidden="false" customHeight="false" outlineLevel="0" collapsed="false">
      <c r="A45" s="12" t="n">
        <v>175</v>
      </c>
      <c r="B45" s="12" t="s">
        <v>489</v>
      </c>
      <c r="C45" s="12" t="s">
        <v>490</v>
      </c>
      <c r="D45" s="12" t="n">
        <v>5</v>
      </c>
      <c r="E45" s="12" t="s">
        <v>20</v>
      </c>
      <c r="F45" s="12" t="n">
        <f aca="false">COUNTIFS('Existing vs Saran'!$J$5:$J$210,A45)</f>
        <v>0</v>
      </c>
      <c r="G45" s="32" t="n">
        <f aca="false">SUMIFS('Existing vs Saran'!$L$5:$L$210,'Existing vs Saran'!$J$5:$J$210,A45)</f>
        <v>0</v>
      </c>
      <c r="H45" s="12" t="n">
        <f aca="false">COUNTIFS('Existing vs Saran'!$N$5:$N$210,A45)</f>
        <v>3</v>
      </c>
      <c r="I45" s="32" t="n">
        <f aca="false">SUMIFS('Existing vs Saran'!$I$5:$I$210,'Existing vs Saran'!$N$5:$N$210,A45)</f>
        <v>136.8</v>
      </c>
      <c r="J45" s="32" t="n">
        <f aca="false">I45-G45</f>
        <v>136.8</v>
      </c>
      <c r="K45" s="12" t="str">
        <f aca="false">IF(I45=0,"Tidak dipakai",IF(I45&gt;'Parameter &amp; Asumsi'!$B$8,"Berlebih",IF(I45&lt;100,"Ringan","Wajar")))</f>
        <v>Wajar</v>
      </c>
      <c r="L45" s="5" t="s">
        <v>907</v>
      </c>
    </row>
    <row r="46" customFormat="false" ht="15" hidden="false" customHeight="false" outlineLevel="0" collapsed="false">
      <c r="A46" s="12" t="n">
        <v>179</v>
      </c>
      <c r="B46" s="12" t="s">
        <v>485</v>
      </c>
      <c r="C46" s="12" t="s">
        <v>458</v>
      </c>
      <c r="D46" s="12" t="n">
        <v>3</v>
      </c>
      <c r="E46" s="12" t="s">
        <v>20</v>
      </c>
      <c r="F46" s="12" t="n">
        <f aca="false">COUNTIFS('Existing vs Saran'!$J$5:$J$210,A46)</f>
        <v>7</v>
      </c>
      <c r="G46" s="32" t="n">
        <f aca="false">SUMIFS('Existing vs Saran'!$L$5:$L$210,'Existing vs Saran'!$J$5:$J$210,A46)</f>
        <v>151.94</v>
      </c>
      <c r="H46" s="12" t="n">
        <f aca="false">COUNTIFS('Existing vs Saran'!$N$5:$N$210,A46)</f>
        <v>7</v>
      </c>
      <c r="I46" s="32" t="n">
        <f aca="false">SUMIFS('Existing vs Saran'!$I$5:$I$210,'Existing vs Saran'!$N$5:$N$210,A46)</f>
        <v>151.94</v>
      </c>
      <c r="J46" s="32" t="n">
        <f aca="false">I46-G46</f>
        <v>0</v>
      </c>
      <c r="K46" s="12" t="str">
        <f aca="false">IF(I46=0,"Tidak dipakai",IF(I46&gt;'Parameter &amp; Asumsi'!$B$8,"Berlebih",IF(I46&lt;100,"Ringan","Wajar")))</f>
        <v>Wajar</v>
      </c>
      <c r="L46" s="5"/>
    </row>
    <row r="47" customFormat="false" ht="15" hidden="false" customHeight="false" outlineLevel="0" collapsed="false">
      <c r="A47" s="12" t="n">
        <v>181</v>
      </c>
      <c r="B47" s="12" t="s">
        <v>491</v>
      </c>
      <c r="C47" s="12" t="s">
        <v>458</v>
      </c>
      <c r="D47" s="12" t="n">
        <v>4</v>
      </c>
      <c r="E47" s="12" t="s">
        <v>20</v>
      </c>
      <c r="F47" s="12" t="n">
        <f aca="false">COUNTIFS('Existing vs Saran'!$J$5:$J$210,A47)</f>
        <v>5</v>
      </c>
      <c r="G47" s="32" t="n">
        <f aca="false">SUMIFS('Existing vs Saran'!$L$5:$L$210,'Existing vs Saran'!$J$5:$J$210,A47)</f>
        <v>144.3</v>
      </c>
      <c r="H47" s="12" t="n">
        <f aca="false">COUNTIFS('Existing vs Saran'!$N$5:$N$210,A47)</f>
        <v>5</v>
      </c>
      <c r="I47" s="32" t="n">
        <f aca="false">SUMIFS('Existing vs Saran'!$I$5:$I$210,'Existing vs Saran'!$N$5:$N$210,A47)</f>
        <v>144.3</v>
      </c>
      <c r="J47" s="32" t="n">
        <f aca="false">I47-G47</f>
        <v>0</v>
      </c>
      <c r="K47" s="12" t="str">
        <f aca="false">IF(I47=0,"Tidak dipakai",IF(I47&gt;'Parameter &amp; Asumsi'!$B$8,"Berlebih",IF(I47&lt;100,"Ringan","Wajar")))</f>
        <v>Wajar</v>
      </c>
      <c r="L47" s="5"/>
    </row>
    <row r="48" customFormat="false" ht="15" hidden="false" customHeight="false" outlineLevel="0" collapsed="false">
      <c r="A48" s="12" t="n">
        <v>184</v>
      </c>
      <c r="B48" s="12" t="s">
        <v>507</v>
      </c>
      <c r="C48" s="12" t="s">
        <v>458</v>
      </c>
      <c r="D48" s="12" t="n">
        <v>4</v>
      </c>
      <c r="E48" s="12" t="s">
        <v>20</v>
      </c>
      <c r="F48" s="12" t="n">
        <f aca="false">COUNTIFS('Existing vs Saran'!$J$5:$J$210,A48)</f>
        <v>2</v>
      </c>
      <c r="G48" s="32" t="n">
        <f aca="false">SUMIFS('Existing vs Saran'!$L$5:$L$210,'Existing vs Saran'!$J$5:$J$210,A48)</f>
        <v>350.27</v>
      </c>
      <c r="H48" s="12" t="n">
        <f aca="false">COUNTIFS('Existing vs Saran'!$N$5:$N$210,A48)</f>
        <v>1</v>
      </c>
      <c r="I48" s="32" t="n">
        <f aca="false">SUMIFS('Existing vs Saran'!$I$5:$I$210,'Existing vs Saran'!$N$5:$N$210,A48)</f>
        <v>116.27</v>
      </c>
      <c r="J48" s="32" t="n">
        <f aca="false">I48-G48</f>
        <v>-234</v>
      </c>
      <c r="K48" s="12" t="str">
        <f aca="false">IF(I48=0,"Tidak dipakai",IF(I48&gt;'Parameter &amp; Asumsi'!$B$8,"Berlebih",IF(I48&lt;100,"Ringan","Wajar")))</f>
        <v>Wajar</v>
      </c>
      <c r="L48" s="5"/>
    </row>
    <row r="49" customFormat="false" ht="15" hidden="false" customHeight="false" outlineLevel="0" collapsed="false">
      <c r="A49" s="12" t="n">
        <v>185</v>
      </c>
      <c r="B49" s="12" t="s">
        <v>502</v>
      </c>
      <c r="C49" s="12" t="s">
        <v>458</v>
      </c>
      <c r="D49" s="12" t="n">
        <v>3</v>
      </c>
      <c r="E49" s="12" t="s">
        <v>20</v>
      </c>
      <c r="F49" s="12" t="n">
        <f aca="false">COUNTIFS('Existing vs Saran'!$J$5:$J$210,A49)</f>
        <v>3</v>
      </c>
      <c r="G49" s="32" t="n">
        <f aca="false">SUMIFS('Existing vs Saran'!$L$5:$L$210,'Existing vs Saran'!$J$5:$J$210,A49)</f>
        <v>248.58</v>
      </c>
      <c r="H49" s="12" t="n">
        <f aca="false">COUNTIFS('Existing vs Saran'!$N$5:$N$210,A49)</f>
        <v>2</v>
      </c>
      <c r="I49" s="32" t="n">
        <f aca="false">SUMIFS('Existing vs Saran'!$I$5:$I$210,'Existing vs Saran'!$N$5:$N$210,A49)</f>
        <v>138.59</v>
      </c>
      <c r="J49" s="32" t="n">
        <f aca="false">I49-G49</f>
        <v>-109.99</v>
      </c>
      <c r="K49" s="12" t="str">
        <f aca="false">IF(I49=0,"Tidak dipakai",IF(I49&gt;'Parameter &amp; Asumsi'!$B$8,"Berlebih",IF(I49&lt;100,"Ringan","Wajar")))</f>
        <v>Wajar</v>
      </c>
      <c r="L49" s="5"/>
    </row>
    <row r="50" customFormat="false" ht="15" hidden="false" customHeight="false" outlineLevel="0" collapsed="false">
      <c r="A50" s="12" t="n">
        <v>188</v>
      </c>
      <c r="B50" s="12" t="s">
        <v>516</v>
      </c>
      <c r="C50" s="12" t="s">
        <v>458</v>
      </c>
      <c r="D50" s="12" t="n">
        <v>2</v>
      </c>
      <c r="E50" s="12" t="s">
        <v>20</v>
      </c>
      <c r="F50" s="12" t="n">
        <f aca="false">COUNTIFS('Existing vs Saran'!$J$5:$J$210,A50)</f>
        <v>2</v>
      </c>
      <c r="G50" s="32" t="n">
        <f aca="false">SUMIFS('Existing vs Saran'!$L$5:$L$210,'Existing vs Saran'!$J$5:$J$210,A50)</f>
        <v>215.35</v>
      </c>
      <c r="H50" s="12" t="n">
        <f aca="false">COUNTIFS('Existing vs Saran'!$N$5:$N$210,A50)</f>
        <v>2</v>
      </c>
      <c r="I50" s="32" t="n">
        <f aca="false">SUMIFS('Existing vs Saran'!$I$5:$I$210,'Existing vs Saran'!$N$5:$N$210,A50)</f>
        <v>215.35</v>
      </c>
      <c r="J50" s="32" t="n">
        <f aca="false">I50-G50</f>
        <v>0</v>
      </c>
      <c r="K50" s="12" t="str">
        <f aca="false">IF(I50=0,"Tidak dipakai",IF(I50&gt;'Parameter &amp; Asumsi'!$B$8,"Berlebih",IF(I50&lt;100,"Ringan","Wajar")))</f>
        <v>Wajar</v>
      </c>
      <c r="L50" s="5"/>
    </row>
    <row r="51" customFormat="false" ht="15" hidden="false" customHeight="false" outlineLevel="0" collapsed="false">
      <c r="A51" s="12" t="n">
        <v>190</v>
      </c>
      <c r="B51" s="12" t="s">
        <v>500</v>
      </c>
      <c r="C51" s="12" t="s">
        <v>458</v>
      </c>
      <c r="D51" s="12" t="n">
        <v>3</v>
      </c>
      <c r="E51" s="12" t="s">
        <v>20</v>
      </c>
      <c r="F51" s="12" t="n">
        <f aca="false">COUNTIFS('Existing vs Saran'!$J$5:$J$210,A51)</f>
        <v>3</v>
      </c>
      <c r="G51" s="32" t="n">
        <f aca="false">SUMIFS('Existing vs Saran'!$L$5:$L$210,'Existing vs Saran'!$J$5:$J$210,A51)</f>
        <v>177.84</v>
      </c>
      <c r="H51" s="12" t="n">
        <f aca="false">COUNTIFS('Existing vs Saran'!$N$5:$N$210,A51)</f>
        <v>2</v>
      </c>
      <c r="I51" s="32" t="n">
        <f aca="false">SUMIFS('Existing vs Saran'!$I$5:$I$210,'Existing vs Saran'!$N$5:$N$210,A51)</f>
        <v>143.15</v>
      </c>
      <c r="J51" s="32" t="n">
        <f aca="false">I51-G51</f>
        <v>-34.69</v>
      </c>
      <c r="K51" s="12" t="str">
        <f aca="false">IF(I51=0,"Tidak dipakai",IF(I51&gt;'Parameter &amp; Asumsi'!$B$8,"Berlebih",IF(I51&lt;100,"Ringan","Wajar")))</f>
        <v>Wajar</v>
      </c>
      <c r="L51" s="5"/>
    </row>
    <row r="52" customFormat="false" ht="15" hidden="false" customHeight="false" outlineLevel="0" collapsed="false">
      <c r="A52" s="12" t="n">
        <v>210</v>
      </c>
      <c r="B52" s="12" t="s">
        <v>508</v>
      </c>
      <c r="C52" s="12" t="s">
        <v>458</v>
      </c>
      <c r="D52" s="12" t="n">
        <v>4</v>
      </c>
      <c r="E52" s="12" t="s">
        <v>20</v>
      </c>
      <c r="F52" s="12" t="n">
        <f aca="false">COUNTIFS('Existing vs Saran'!$J$5:$J$210,A52)</f>
        <v>2</v>
      </c>
      <c r="G52" s="32" t="n">
        <f aca="false">SUMIFS('Existing vs Saran'!$L$5:$L$210,'Existing vs Saran'!$J$5:$J$210,A52)</f>
        <v>352.95</v>
      </c>
      <c r="H52" s="12" t="n">
        <f aca="false">COUNTIFS('Existing vs Saran'!$N$5:$N$210,A52)</f>
        <v>1</v>
      </c>
      <c r="I52" s="32" t="n">
        <f aca="false">SUMIFS('Existing vs Saran'!$I$5:$I$210,'Existing vs Saran'!$N$5:$N$210,A52)</f>
        <v>121.28</v>
      </c>
      <c r="J52" s="32" t="n">
        <f aca="false">I52-G52</f>
        <v>-231.67</v>
      </c>
      <c r="K52" s="12" t="str">
        <f aca="false">IF(I52=0,"Tidak dipakai",IF(I52&gt;'Parameter &amp; Asumsi'!$B$8,"Berlebih",IF(I52&lt;100,"Ringan","Wajar")))</f>
        <v>Wajar</v>
      </c>
      <c r="L52" s="5"/>
    </row>
    <row r="53" customFormat="false" ht="15" hidden="false" customHeight="false" outlineLevel="0" collapsed="false">
      <c r="A53" s="12" t="n">
        <v>219</v>
      </c>
      <c r="B53" s="12" t="s">
        <v>499</v>
      </c>
      <c r="C53" s="12" t="s">
        <v>458</v>
      </c>
      <c r="D53" s="12" t="n">
        <v>4</v>
      </c>
      <c r="E53" s="12" t="s">
        <v>20</v>
      </c>
      <c r="F53" s="12" t="n">
        <f aca="false">COUNTIFS('Existing vs Saran'!$J$5:$J$210,A53)</f>
        <v>5</v>
      </c>
      <c r="G53" s="32" t="n">
        <f aca="false">SUMIFS('Existing vs Saran'!$L$5:$L$210,'Existing vs Saran'!$J$5:$J$210,A53)</f>
        <v>129.58</v>
      </c>
      <c r="H53" s="12" t="n">
        <f aca="false">COUNTIFS('Existing vs Saran'!$N$5:$N$210,A53)</f>
        <v>5</v>
      </c>
      <c r="I53" s="32" t="n">
        <f aca="false">SUMIFS('Existing vs Saran'!$I$5:$I$210,'Existing vs Saran'!$N$5:$N$210,A53)</f>
        <v>129.58</v>
      </c>
      <c r="J53" s="32" t="n">
        <f aca="false">I53-G53</f>
        <v>0</v>
      </c>
      <c r="K53" s="12" t="str">
        <f aca="false">IF(I53=0,"Tidak dipakai",IF(I53&gt;'Parameter &amp; Asumsi'!$B$8,"Berlebih",IF(I53&lt;100,"Ringan","Wajar")))</f>
        <v>Wajar</v>
      </c>
      <c r="L53" s="5"/>
    </row>
    <row r="54" customFormat="false" ht="15" hidden="false" customHeight="false" outlineLevel="0" collapsed="false">
      <c r="A54" s="12" t="n">
        <v>229</v>
      </c>
      <c r="B54" s="12" t="s">
        <v>510</v>
      </c>
      <c r="C54" s="12" t="s">
        <v>458</v>
      </c>
      <c r="D54" s="12" t="n">
        <v>4</v>
      </c>
      <c r="E54" s="12" t="s">
        <v>20</v>
      </c>
      <c r="F54" s="12" t="n">
        <f aca="false">COUNTIFS('Existing vs Saran'!$J$5:$J$210,A54)</f>
        <v>2</v>
      </c>
      <c r="G54" s="32" t="n">
        <f aca="false">SUMIFS('Existing vs Saran'!$L$5:$L$210,'Existing vs Saran'!$J$5:$J$210,A54)</f>
        <v>230.12</v>
      </c>
      <c r="H54" s="12" t="n">
        <f aca="false">COUNTIFS('Existing vs Saran'!$N$5:$N$210,A54)</f>
        <v>1</v>
      </c>
      <c r="I54" s="32" t="n">
        <f aca="false">SUMIFS('Existing vs Saran'!$I$5:$I$210,'Existing vs Saran'!$N$5:$N$210,A54)</f>
        <v>113.07</v>
      </c>
      <c r="J54" s="32" t="n">
        <f aca="false">I54-G54</f>
        <v>-117.05</v>
      </c>
      <c r="K54" s="12" t="str">
        <f aca="false">IF(I54=0,"Tidak dipakai",IF(I54&gt;'Parameter &amp; Asumsi'!$B$8,"Berlebih",IF(I54&lt;100,"Ringan","Wajar")))</f>
        <v>Wajar</v>
      </c>
      <c r="L54" s="5"/>
    </row>
    <row r="55" customFormat="false" ht="15" hidden="false" customHeight="false" outlineLevel="0" collapsed="false">
      <c r="A55" s="12" t="n">
        <v>237</v>
      </c>
      <c r="B55" s="12" t="s">
        <v>503</v>
      </c>
      <c r="C55" s="12" t="s">
        <v>458</v>
      </c>
      <c r="D55" s="12" t="n">
        <v>5</v>
      </c>
      <c r="E55" s="12" t="s">
        <v>20</v>
      </c>
      <c r="F55" s="12" t="n">
        <f aca="false">COUNTIFS('Existing vs Saran'!$J$5:$J$210,A55)</f>
        <v>2</v>
      </c>
      <c r="G55" s="32" t="n">
        <f aca="false">SUMIFS('Existing vs Saran'!$L$5:$L$210,'Existing vs Saran'!$J$5:$J$210,A55)</f>
        <v>224.12</v>
      </c>
      <c r="H55" s="12" t="n">
        <f aca="false">COUNTIFS('Existing vs Saran'!$N$5:$N$210,A55)</f>
        <v>1</v>
      </c>
      <c r="I55" s="32" t="n">
        <f aca="false">SUMIFS('Existing vs Saran'!$I$5:$I$210,'Existing vs Saran'!$N$5:$N$210,A55)</f>
        <v>112.94</v>
      </c>
      <c r="J55" s="32" t="n">
        <f aca="false">I55-G55</f>
        <v>-111.18</v>
      </c>
      <c r="K55" s="12" t="str">
        <f aca="false">IF(I55=0,"Tidak dipakai",IF(I55&gt;'Parameter &amp; Asumsi'!$B$8,"Berlebih",IF(I55&lt;100,"Ringan","Wajar")))</f>
        <v>Wajar</v>
      </c>
      <c r="L55" s="5"/>
    </row>
    <row r="56" customFormat="false" ht="15" hidden="false" customHeight="false" outlineLevel="0" collapsed="false">
      <c r="A56" s="12" t="n">
        <v>238</v>
      </c>
      <c r="B56" s="12" t="s">
        <v>504</v>
      </c>
      <c r="C56" s="12" t="s">
        <v>458</v>
      </c>
      <c r="D56" s="12" t="n">
        <v>3</v>
      </c>
      <c r="E56" s="12" t="s">
        <v>20</v>
      </c>
      <c r="F56" s="12" t="n">
        <f aca="false">COUNTIFS('Existing vs Saran'!$J$5:$J$210,A56)</f>
        <v>2</v>
      </c>
      <c r="G56" s="32" t="n">
        <f aca="false">SUMIFS('Existing vs Saran'!$L$5:$L$210,'Existing vs Saran'!$J$5:$J$210,A56)</f>
        <v>209.45</v>
      </c>
      <c r="H56" s="12" t="n">
        <f aca="false">COUNTIFS('Existing vs Saran'!$N$5:$N$210,A56)</f>
        <v>2</v>
      </c>
      <c r="I56" s="32" t="n">
        <f aca="false">SUMIFS('Existing vs Saran'!$I$5:$I$210,'Existing vs Saran'!$N$5:$N$210,A56)</f>
        <v>209.45</v>
      </c>
      <c r="J56" s="32" t="n">
        <f aca="false">I56-G56</f>
        <v>0</v>
      </c>
      <c r="K56" s="12" t="str">
        <f aca="false">IF(I56=0,"Tidak dipakai",IF(I56&gt;'Parameter &amp; Asumsi'!$B$8,"Berlebih",IF(I56&lt;100,"Ringan","Wajar")))</f>
        <v>Wajar</v>
      </c>
      <c r="L56" s="5"/>
    </row>
    <row r="57" customFormat="false" ht="15" hidden="false" customHeight="false" outlineLevel="0" collapsed="false">
      <c r="A57" s="12" t="n">
        <v>240</v>
      </c>
      <c r="B57" s="12" t="s">
        <v>505</v>
      </c>
      <c r="C57" s="12" t="s">
        <v>458</v>
      </c>
      <c r="D57" s="12" t="n">
        <v>3</v>
      </c>
      <c r="E57" s="12" t="s">
        <v>20</v>
      </c>
      <c r="F57" s="12" t="n">
        <f aca="false">COUNTIFS('Existing vs Saran'!$J$5:$J$210,A57)</f>
        <v>1</v>
      </c>
      <c r="G57" s="32" t="n">
        <f aca="false">SUMIFS('Existing vs Saran'!$L$5:$L$210,'Existing vs Saran'!$J$5:$J$210,A57)</f>
        <v>115.39</v>
      </c>
      <c r="H57" s="12" t="n">
        <f aca="false">COUNTIFS('Existing vs Saran'!$N$5:$N$210,A57)</f>
        <v>2</v>
      </c>
      <c r="I57" s="32" t="n">
        <f aca="false">SUMIFS('Existing vs Saran'!$I$5:$I$210,'Existing vs Saran'!$N$5:$N$210,A57)</f>
        <v>217.56</v>
      </c>
      <c r="J57" s="32" t="n">
        <f aca="false">I57-G57</f>
        <v>102.17</v>
      </c>
      <c r="K57" s="12" t="str">
        <f aca="false">IF(I57=0,"Tidak dipakai",IF(I57&gt;'Parameter &amp; Asumsi'!$B$8,"Berlebih",IF(I57&lt;100,"Ringan","Wajar")))</f>
        <v>Wajar</v>
      </c>
      <c r="L57" s="5"/>
    </row>
    <row r="58" customFormat="false" ht="23.85" hidden="false" customHeight="false" outlineLevel="0" collapsed="false">
      <c r="A58" s="12" t="n">
        <v>255</v>
      </c>
      <c r="B58" s="12" t="s">
        <v>141</v>
      </c>
      <c r="C58" s="12" t="s">
        <v>472</v>
      </c>
      <c r="D58" s="12" t="n">
        <v>4</v>
      </c>
      <c r="E58" s="12" t="s">
        <v>351</v>
      </c>
      <c r="F58" s="12" t="n">
        <f aca="false">COUNTIFS('Existing vs Saran'!$J$5:$J$210,A58)</f>
        <v>0</v>
      </c>
      <c r="G58" s="32" t="n">
        <f aca="false">SUMIFS('Existing vs Saran'!$L$5:$L$210,'Existing vs Saran'!$J$5:$J$210,A58)</f>
        <v>0</v>
      </c>
      <c r="H58" s="12" t="n">
        <f aca="false">COUNTIFS('Existing vs Saran'!$N$5:$N$210,A58)</f>
        <v>1</v>
      </c>
      <c r="I58" s="32" t="n">
        <f aca="false">SUMIFS('Existing vs Saran'!$I$5:$I$210,'Existing vs Saran'!$N$5:$N$210,A58)</f>
        <v>128.24</v>
      </c>
      <c r="J58" s="32" t="n">
        <f aca="false">I58-G58</f>
        <v>128.24</v>
      </c>
      <c r="K58" s="12" t="str">
        <f aca="false">IF(I58=0,"Tidak dipakai",IF(I58&gt;'Parameter &amp; Asumsi'!$B$8,"Berlebih",IF(I58&lt;100,"Ringan","Wajar")))</f>
        <v>Wajar</v>
      </c>
      <c r="L58" s="5" t="s">
        <v>897</v>
      </c>
    </row>
    <row r="59" customFormat="false" ht="23.85" hidden="false" customHeight="false" outlineLevel="0" collapsed="false">
      <c r="A59" s="12" t="n">
        <v>262</v>
      </c>
      <c r="B59" s="12" t="s">
        <v>187</v>
      </c>
      <c r="C59" s="12" t="s">
        <v>472</v>
      </c>
      <c r="D59" s="12" t="n">
        <v>4</v>
      </c>
      <c r="E59" s="12" t="s">
        <v>351</v>
      </c>
      <c r="F59" s="12" t="n">
        <f aca="false">COUNTIFS('Existing vs Saran'!$J$5:$J$210,A59)</f>
        <v>0</v>
      </c>
      <c r="G59" s="32" t="n">
        <f aca="false">SUMIFS('Existing vs Saran'!$L$5:$L$210,'Existing vs Saran'!$J$5:$J$210,A59)</f>
        <v>0</v>
      </c>
      <c r="H59" s="12" t="n">
        <f aca="false">COUNTIFS('Existing vs Saran'!$N$5:$N$210,A59)</f>
        <v>1</v>
      </c>
      <c r="I59" s="32" t="n">
        <f aca="false">SUMIFS('Existing vs Saran'!$I$5:$I$210,'Existing vs Saran'!$N$5:$N$210,A59)</f>
        <v>111.18</v>
      </c>
      <c r="J59" s="32" t="n">
        <f aca="false">I59-G59</f>
        <v>111.18</v>
      </c>
      <c r="K59" s="12" t="str">
        <f aca="false">IF(I59=0,"Tidak dipakai",IF(I59&gt;'Parameter &amp; Asumsi'!$B$8,"Berlebih",IF(I59&lt;100,"Ringan","Wajar")))</f>
        <v>Wajar</v>
      </c>
      <c r="L59" s="5" t="s">
        <v>897</v>
      </c>
    </row>
    <row r="60" customFormat="false" ht="15" hidden="false" customHeight="false" outlineLevel="0" collapsed="false">
      <c r="A60" s="12" t="n">
        <v>267</v>
      </c>
      <c r="B60" s="12" t="s">
        <v>512</v>
      </c>
      <c r="C60" s="12" t="s">
        <v>458</v>
      </c>
      <c r="D60" s="12" t="n">
        <v>5</v>
      </c>
      <c r="E60" s="12" t="s">
        <v>351</v>
      </c>
      <c r="F60" s="12" t="n">
        <f aca="false">COUNTIFS('Existing vs Saran'!$J$5:$J$210,A60)</f>
        <v>5</v>
      </c>
      <c r="G60" s="32" t="n">
        <f aca="false">SUMIFS('Existing vs Saran'!$L$5:$L$210,'Existing vs Saran'!$J$5:$J$210,A60)</f>
        <v>223.13</v>
      </c>
      <c r="H60" s="12" t="n">
        <f aca="false">COUNTIFS('Existing vs Saran'!$N$5:$N$210,A60)</f>
        <v>5</v>
      </c>
      <c r="I60" s="32" t="n">
        <f aca="false">SUMIFS('Existing vs Saran'!$I$5:$I$210,'Existing vs Saran'!$N$5:$N$210,A60)</f>
        <v>208.2</v>
      </c>
      <c r="J60" s="32" t="n">
        <f aca="false">I60-G60</f>
        <v>-14.93</v>
      </c>
      <c r="K60" s="12" t="str">
        <f aca="false">IF(I60=0,"Tidak dipakai",IF(I60&gt;'Parameter &amp; Asumsi'!$B$8,"Berlebih",IF(I60&lt;100,"Ringan","Wajar")))</f>
        <v>Wajar</v>
      </c>
      <c r="L60" s="5"/>
    </row>
    <row r="61" customFormat="false" ht="15" hidden="false" customHeight="false" outlineLevel="0" collapsed="false">
      <c r="A61" s="12" t="n">
        <v>269</v>
      </c>
      <c r="B61" s="12" t="s">
        <v>513</v>
      </c>
      <c r="C61" s="12" t="s">
        <v>478</v>
      </c>
      <c r="D61" s="12" t="n">
        <v>5</v>
      </c>
      <c r="E61" s="12" t="s">
        <v>351</v>
      </c>
      <c r="F61" s="12" t="n">
        <f aca="false">COUNTIFS('Existing vs Saran'!$J$5:$J$210,A61)</f>
        <v>0</v>
      </c>
      <c r="G61" s="32" t="n">
        <f aca="false">SUMIFS('Existing vs Saran'!$L$5:$L$210,'Existing vs Saran'!$J$5:$J$210,A61)</f>
        <v>0</v>
      </c>
      <c r="H61" s="12" t="n">
        <f aca="false">COUNTIFS('Existing vs Saran'!$N$5:$N$210,A61)</f>
        <v>2</v>
      </c>
      <c r="I61" s="32" t="n">
        <f aca="false">SUMIFS('Existing vs Saran'!$I$5:$I$210,'Existing vs Saran'!$N$5:$N$210,A61)</f>
        <v>104.77</v>
      </c>
      <c r="J61" s="32" t="n">
        <f aca="false">I61-G61</f>
        <v>104.77</v>
      </c>
      <c r="K61" s="12" t="str">
        <f aca="false">IF(I61=0,"Tidak dipakai",IF(I61&gt;'Parameter &amp; Asumsi'!$B$8,"Berlebih",IF(I61&lt;100,"Ringan","Wajar")))</f>
        <v>Wajar</v>
      </c>
      <c r="L61" s="5"/>
    </row>
    <row r="62" customFormat="false" ht="35.05" hidden="false" customHeight="false" outlineLevel="0" collapsed="false">
      <c r="A62" s="12" t="n">
        <v>276</v>
      </c>
      <c r="B62" s="12" t="s">
        <v>134</v>
      </c>
      <c r="C62" s="12" t="s">
        <v>472</v>
      </c>
      <c r="D62" s="12" t="n">
        <v>3</v>
      </c>
      <c r="E62" s="12" t="s">
        <v>351</v>
      </c>
      <c r="F62" s="12" t="n">
        <f aca="false">COUNTIFS('Existing vs Saran'!$J$5:$J$210,A62)</f>
        <v>0</v>
      </c>
      <c r="G62" s="32" t="n">
        <f aca="false">SUMIFS('Existing vs Saran'!$L$5:$L$210,'Existing vs Saran'!$J$5:$J$210,A62)</f>
        <v>0</v>
      </c>
      <c r="H62" s="12" t="n">
        <f aca="false">COUNTIFS('Existing vs Saran'!$N$5:$N$210,A62)</f>
        <v>1</v>
      </c>
      <c r="I62" s="32" t="n">
        <f aca="false">SUMIFS('Existing vs Saran'!$I$5:$I$210,'Existing vs Saran'!$N$5:$N$210,A62)</f>
        <v>114.74</v>
      </c>
      <c r="J62" s="32" t="n">
        <f aca="false">I62-G62</f>
        <v>114.74</v>
      </c>
      <c r="K62" s="12" t="str">
        <f aca="false">IF(I62=0,"Tidak dipakai",IF(I62&gt;'Parameter &amp; Asumsi'!$B$8,"Berlebih",IF(I62&lt;100,"Ringan","Wajar")))</f>
        <v>Wajar</v>
      </c>
      <c r="L62" s="5" t="s">
        <v>908</v>
      </c>
    </row>
    <row r="63" customFormat="false" ht="15" hidden="false" customHeight="false" outlineLevel="0" collapsed="false">
      <c r="A63" s="12" t="n">
        <v>277</v>
      </c>
      <c r="B63" s="12" t="s">
        <v>514</v>
      </c>
      <c r="C63" s="12" t="s">
        <v>478</v>
      </c>
      <c r="D63" s="12" t="n">
        <v>5</v>
      </c>
      <c r="E63" s="12" t="s">
        <v>351</v>
      </c>
      <c r="F63" s="12" t="n">
        <f aca="false">COUNTIFS('Existing vs Saran'!$J$5:$J$210,A63)</f>
        <v>0</v>
      </c>
      <c r="G63" s="32" t="n">
        <f aca="false">SUMIFS('Existing vs Saran'!$L$5:$L$210,'Existing vs Saran'!$J$5:$J$210,A63)</f>
        <v>0</v>
      </c>
      <c r="H63" s="12" t="n">
        <f aca="false">COUNTIFS('Existing vs Saran'!$N$5:$N$210,A63)</f>
        <v>2</v>
      </c>
      <c r="I63" s="32" t="n">
        <f aca="false">SUMIFS('Existing vs Saran'!$I$5:$I$210,'Existing vs Saran'!$N$5:$N$210,A63)</f>
        <v>163.28</v>
      </c>
      <c r="J63" s="32" t="n">
        <f aca="false">I63-G63</f>
        <v>163.28</v>
      </c>
      <c r="K63" s="12" t="str">
        <f aca="false">IF(I63=0,"Tidak dipakai",IF(I63&gt;'Parameter &amp; Asumsi'!$B$8,"Berlebih",IF(I63&lt;100,"Ringan","Wajar")))</f>
        <v>Wajar</v>
      </c>
      <c r="L63" s="5"/>
    </row>
    <row r="64" customFormat="false" ht="23.85" hidden="false" customHeight="false" outlineLevel="0" collapsed="false">
      <c r="A64" s="12" t="n">
        <v>283</v>
      </c>
      <c r="B64" s="12" t="s">
        <v>105</v>
      </c>
      <c r="C64" s="12" t="s">
        <v>472</v>
      </c>
      <c r="D64" s="12" t="n">
        <v>4</v>
      </c>
      <c r="E64" s="12" t="s">
        <v>351</v>
      </c>
      <c r="F64" s="12" t="n">
        <f aca="false">COUNTIFS('Existing vs Saran'!$J$5:$J$210,A64)</f>
        <v>0</v>
      </c>
      <c r="G64" s="32" t="n">
        <f aca="false">SUMIFS('Existing vs Saran'!$L$5:$L$210,'Existing vs Saran'!$J$5:$J$210,A64)</f>
        <v>0</v>
      </c>
      <c r="H64" s="12" t="n">
        <f aca="false">COUNTIFS('Existing vs Saran'!$N$5:$N$210,A64)</f>
        <v>1</v>
      </c>
      <c r="I64" s="32" t="n">
        <f aca="false">SUMIFS('Existing vs Saran'!$I$5:$I$210,'Existing vs Saran'!$N$5:$N$210,A64)</f>
        <v>155.13</v>
      </c>
      <c r="J64" s="32" t="n">
        <f aca="false">I64-G64</f>
        <v>155.13</v>
      </c>
      <c r="K64" s="12" t="str">
        <f aca="false">IF(I64=0,"Tidak dipakai",IF(I64&gt;'Parameter &amp; Asumsi'!$B$8,"Berlebih",IF(I64&lt;100,"Ringan","Wajar")))</f>
        <v>Wajar</v>
      </c>
      <c r="L64" s="5" t="s">
        <v>895</v>
      </c>
    </row>
    <row r="65" customFormat="false" ht="23.85" hidden="false" customHeight="false" outlineLevel="0" collapsed="false">
      <c r="A65" s="12" t="n">
        <v>284</v>
      </c>
      <c r="B65" s="12" t="s">
        <v>148</v>
      </c>
      <c r="C65" s="12" t="s">
        <v>472</v>
      </c>
      <c r="D65" s="12" t="n">
        <v>4</v>
      </c>
      <c r="E65" s="12" t="s">
        <v>351</v>
      </c>
      <c r="F65" s="12" t="n">
        <f aca="false">COUNTIFS('Existing vs Saran'!$J$5:$J$210,A65)</f>
        <v>0</v>
      </c>
      <c r="G65" s="32" t="n">
        <f aca="false">SUMIFS('Existing vs Saran'!$L$5:$L$210,'Existing vs Saran'!$J$5:$J$210,A65)</f>
        <v>0</v>
      </c>
      <c r="H65" s="12" t="n">
        <f aca="false">COUNTIFS('Existing vs Saran'!$N$5:$N$210,A65)</f>
        <v>1</v>
      </c>
      <c r="I65" s="32" t="n">
        <f aca="false">SUMIFS('Existing vs Saran'!$I$5:$I$210,'Existing vs Saran'!$N$5:$N$210,A65)</f>
        <v>120.59</v>
      </c>
      <c r="J65" s="32" t="n">
        <f aca="false">I65-G65</f>
        <v>120.59</v>
      </c>
      <c r="K65" s="12" t="str">
        <f aca="false">IF(I65=0,"Tidak dipakai",IF(I65&gt;'Parameter &amp; Asumsi'!$B$8,"Berlebih",IF(I65&lt;100,"Ringan","Wajar")))</f>
        <v>Wajar</v>
      </c>
      <c r="L65" s="5" t="s">
        <v>897</v>
      </c>
    </row>
    <row r="66" customFormat="false" ht="23.85" hidden="false" customHeight="false" outlineLevel="0" collapsed="false">
      <c r="A66" s="12" t="n">
        <v>291</v>
      </c>
      <c r="B66" s="12" t="s">
        <v>166</v>
      </c>
      <c r="C66" s="12" t="s">
        <v>472</v>
      </c>
      <c r="D66" s="12" t="n">
        <v>4</v>
      </c>
      <c r="E66" s="12" t="s">
        <v>351</v>
      </c>
      <c r="F66" s="12" t="n">
        <f aca="false">COUNTIFS('Existing vs Saran'!$J$5:$J$210,A66)</f>
        <v>0</v>
      </c>
      <c r="G66" s="32" t="n">
        <f aca="false">SUMIFS('Existing vs Saran'!$L$5:$L$210,'Existing vs Saran'!$J$5:$J$210,A66)</f>
        <v>0</v>
      </c>
      <c r="H66" s="12" t="n">
        <f aca="false">COUNTIFS('Existing vs Saran'!$N$5:$N$210,A66)</f>
        <v>1</v>
      </c>
      <c r="I66" s="32" t="n">
        <f aca="false">SUMIFS('Existing vs Saran'!$I$5:$I$210,'Existing vs Saran'!$N$5:$N$210,A66)</f>
        <v>117.05</v>
      </c>
      <c r="J66" s="32" t="n">
        <f aca="false">I66-G66</f>
        <v>117.05</v>
      </c>
      <c r="K66" s="12" t="str">
        <f aca="false">IF(I66=0,"Tidak dipakai",IF(I66&gt;'Parameter &amp; Asumsi'!$B$8,"Berlebih",IF(I66&lt;100,"Ringan","Wajar")))</f>
        <v>Wajar</v>
      </c>
      <c r="L66" s="5" t="s">
        <v>897</v>
      </c>
    </row>
    <row r="67" customFormat="false" ht="15" hidden="false" customHeight="false" outlineLevel="0" collapsed="false">
      <c r="A67" s="12" t="n">
        <v>302</v>
      </c>
      <c r="B67" s="12" t="s">
        <v>515</v>
      </c>
      <c r="C67" s="12" t="s">
        <v>458</v>
      </c>
      <c r="D67" s="12" t="n">
        <v>4</v>
      </c>
      <c r="E67" s="12" t="s">
        <v>351</v>
      </c>
      <c r="F67" s="12" t="n">
        <f aca="false">COUNTIFS('Existing vs Saran'!$J$5:$J$210,A67)</f>
        <v>2</v>
      </c>
      <c r="G67" s="32" t="n">
        <f aca="false">SUMIFS('Existing vs Saran'!$L$5:$L$210,'Existing vs Saran'!$J$5:$J$210,A67)</f>
        <v>141.84</v>
      </c>
      <c r="H67" s="12" t="n">
        <f aca="false">COUNTIFS('Existing vs Saran'!$N$5:$N$210,A67)</f>
        <v>3</v>
      </c>
      <c r="I67" s="32" t="n">
        <f aca="false">SUMIFS('Existing vs Saran'!$I$5:$I$210,'Existing vs Saran'!$N$5:$N$210,A67)</f>
        <v>188.15</v>
      </c>
      <c r="J67" s="32" t="n">
        <f aca="false">I67-G67</f>
        <v>46.31</v>
      </c>
      <c r="K67" s="12" t="str">
        <f aca="false">IF(I67=0,"Tidak dipakai",IF(I67&gt;'Parameter &amp; Asumsi'!$B$8,"Berlebih",IF(I67&lt;100,"Ringan","Wajar")))</f>
        <v>Wajar</v>
      </c>
      <c r="L67" s="5" t="s">
        <v>909</v>
      </c>
    </row>
    <row r="68" customFormat="false" ht="23.85" hidden="false" customHeight="false" outlineLevel="0" collapsed="false">
      <c r="A68" s="12" t="n">
        <v>303</v>
      </c>
      <c r="B68" s="12" t="s">
        <v>172</v>
      </c>
      <c r="C68" s="12" t="s">
        <v>472</v>
      </c>
      <c r="D68" s="12" t="n">
        <v>4</v>
      </c>
      <c r="E68" s="12" t="s">
        <v>351</v>
      </c>
      <c r="F68" s="12" t="n">
        <f aca="false">COUNTIFS('Existing vs Saran'!$J$5:$J$210,A68)</f>
        <v>0</v>
      </c>
      <c r="G68" s="32" t="n">
        <f aca="false">SUMIFS('Existing vs Saran'!$L$5:$L$210,'Existing vs Saran'!$J$5:$J$210,A68)</f>
        <v>0</v>
      </c>
      <c r="H68" s="12" t="n">
        <f aca="false">COUNTIFS('Existing vs Saran'!$N$5:$N$210,A68)</f>
        <v>1</v>
      </c>
      <c r="I68" s="32" t="n">
        <f aca="false">SUMIFS('Existing vs Saran'!$I$5:$I$210,'Existing vs Saran'!$N$5:$N$210,A68)</f>
        <v>117</v>
      </c>
      <c r="J68" s="32" t="n">
        <f aca="false">I68-G68</f>
        <v>117</v>
      </c>
      <c r="K68" s="12" t="str">
        <f aca="false">IF(I68=0,"Tidak dipakai",IF(I68&gt;'Parameter &amp; Asumsi'!$B$8,"Berlebih",IF(I68&lt;100,"Ringan","Wajar")))</f>
        <v>Wajar</v>
      </c>
      <c r="L68" s="5" t="s">
        <v>897</v>
      </c>
    </row>
    <row r="69" customFormat="false" ht="23.85" hidden="false" customHeight="false" outlineLevel="0" collapsed="false">
      <c r="A69" s="12" t="n">
        <v>308</v>
      </c>
      <c r="B69" s="12" t="s">
        <v>241</v>
      </c>
      <c r="C69" s="12" t="s">
        <v>472</v>
      </c>
      <c r="D69" s="12" t="n">
        <v>3</v>
      </c>
      <c r="E69" s="12" t="s">
        <v>356</v>
      </c>
      <c r="F69" s="12" t="n">
        <f aca="false">COUNTIFS('Existing vs Saran'!$J$5:$J$210,A69)</f>
        <v>0</v>
      </c>
      <c r="G69" s="32" t="n">
        <f aca="false">SUMIFS('Existing vs Saran'!$L$5:$L$210,'Existing vs Saran'!$J$5:$J$210,A69)</f>
        <v>0</v>
      </c>
      <c r="H69" s="12" t="n">
        <f aca="false">COUNTIFS('Existing vs Saran'!$N$5:$N$210,A69)</f>
        <v>1</v>
      </c>
      <c r="I69" s="32" t="n">
        <f aca="false">SUMIFS('Existing vs Saran'!$I$5:$I$210,'Existing vs Saran'!$N$5:$N$210,A69)</f>
        <v>138.43</v>
      </c>
      <c r="J69" s="32" t="n">
        <f aca="false">I69-G69</f>
        <v>138.43</v>
      </c>
      <c r="K69" s="12" t="str">
        <f aca="false">IF(I69=0,"Tidak dipakai",IF(I69&gt;'Parameter &amp; Asumsi'!$B$8,"Berlebih",IF(I69&lt;100,"Ringan","Wajar")))</f>
        <v>Wajar</v>
      </c>
      <c r="L69" s="5" t="s">
        <v>910</v>
      </c>
    </row>
    <row r="70" customFormat="false" ht="23.85" hidden="false" customHeight="false" outlineLevel="0" collapsed="false">
      <c r="A70" s="12" t="n">
        <v>309</v>
      </c>
      <c r="B70" s="12" t="s">
        <v>181</v>
      </c>
      <c r="C70" s="12" t="s">
        <v>472</v>
      </c>
      <c r="D70" s="12" t="n">
        <v>4</v>
      </c>
      <c r="E70" s="12" t="s">
        <v>356</v>
      </c>
      <c r="F70" s="12" t="n">
        <f aca="false">COUNTIFS('Existing vs Saran'!$J$5:$J$210,A70)</f>
        <v>0</v>
      </c>
      <c r="G70" s="32" t="n">
        <f aca="false">SUMIFS('Existing vs Saran'!$L$5:$L$210,'Existing vs Saran'!$J$5:$J$210,A70)</f>
        <v>0</v>
      </c>
      <c r="H70" s="12" t="n">
        <f aca="false">COUNTIFS('Existing vs Saran'!$N$5:$N$210,A70)</f>
        <v>1</v>
      </c>
      <c r="I70" s="32" t="n">
        <f aca="false">SUMIFS('Existing vs Saran'!$I$5:$I$210,'Existing vs Saran'!$N$5:$N$210,A70)</f>
        <v>115.84</v>
      </c>
      <c r="J70" s="32" t="n">
        <f aca="false">I70-G70</f>
        <v>115.84</v>
      </c>
      <c r="K70" s="12" t="str">
        <f aca="false">IF(I70=0,"Tidak dipakai",IF(I70&gt;'Parameter &amp; Asumsi'!$B$8,"Berlebih",IF(I70&lt;100,"Ringan","Wajar")))</f>
        <v>Wajar</v>
      </c>
      <c r="L70" s="5" t="s">
        <v>897</v>
      </c>
    </row>
    <row r="71" customFormat="false" ht="23.85" hidden="false" customHeight="false" outlineLevel="0" collapsed="false">
      <c r="A71" s="12" t="n">
        <v>310</v>
      </c>
      <c r="B71" s="12" t="s">
        <v>197</v>
      </c>
      <c r="C71" s="12" t="s">
        <v>472</v>
      </c>
      <c r="D71" s="12" t="n">
        <v>4</v>
      </c>
      <c r="E71" s="12" t="s">
        <v>356</v>
      </c>
      <c r="F71" s="12" t="n">
        <f aca="false">COUNTIFS('Existing vs Saran'!$J$5:$J$210,A71)</f>
        <v>0</v>
      </c>
      <c r="G71" s="32" t="n">
        <f aca="false">SUMIFS('Existing vs Saran'!$L$5:$L$210,'Existing vs Saran'!$J$5:$J$210,A71)</f>
        <v>0</v>
      </c>
      <c r="H71" s="12" t="n">
        <f aca="false">COUNTIFS('Existing vs Saran'!$N$5:$N$210,A71)</f>
        <v>1</v>
      </c>
      <c r="I71" s="32" t="n">
        <f aca="false">SUMIFS('Existing vs Saran'!$I$5:$I$210,'Existing vs Saran'!$N$5:$N$210,A71)</f>
        <v>216.67</v>
      </c>
      <c r="J71" s="32" t="n">
        <f aca="false">I71-G71</f>
        <v>216.67</v>
      </c>
      <c r="K71" s="12" t="str">
        <f aca="false">IF(I71=0,"Tidak dipakai",IF(I71&gt;'Parameter &amp; Asumsi'!$B$8,"Berlebih",IF(I71&lt;100,"Ringan","Wajar")))</f>
        <v>Wajar</v>
      </c>
      <c r="L71" s="5" t="s">
        <v>910</v>
      </c>
    </row>
    <row r="72" customFormat="false" ht="15" hidden="false" customHeight="false" outlineLevel="0" collapsed="false">
      <c r="A72" s="12" t="n">
        <v>319</v>
      </c>
      <c r="B72" s="12" t="s">
        <v>497</v>
      </c>
      <c r="C72" s="12" t="s">
        <v>478</v>
      </c>
      <c r="D72" s="12" t="n">
        <v>4</v>
      </c>
      <c r="E72" s="12" t="s">
        <v>356</v>
      </c>
      <c r="F72" s="12" t="n">
        <f aca="false">COUNTIFS('Existing vs Saran'!$J$5:$J$210,A72)</f>
        <v>0</v>
      </c>
      <c r="G72" s="32" t="n">
        <f aca="false">SUMIFS('Existing vs Saran'!$L$5:$L$210,'Existing vs Saran'!$J$5:$J$210,A72)</f>
        <v>0</v>
      </c>
      <c r="H72" s="12" t="n">
        <f aca="false">COUNTIFS('Existing vs Saran'!$N$5:$N$210,A72)</f>
        <v>1</v>
      </c>
      <c r="I72" s="32" t="n">
        <f aca="false">SUMIFS('Existing vs Saran'!$I$5:$I$210,'Existing vs Saran'!$N$5:$N$210,A72)</f>
        <v>154.27</v>
      </c>
      <c r="J72" s="32" t="n">
        <f aca="false">I72-G72</f>
        <v>154.27</v>
      </c>
      <c r="K72" s="12" t="str">
        <f aca="false">IF(I72=0,"Tidak dipakai",IF(I72&gt;'Parameter &amp; Asumsi'!$B$8,"Berlebih",IF(I72&lt;100,"Ringan","Wajar")))</f>
        <v>Wajar</v>
      </c>
      <c r="L72" s="5"/>
    </row>
    <row r="73" customFormat="false" ht="23.85" hidden="false" customHeight="false" outlineLevel="0" collapsed="false">
      <c r="A73" s="12" t="n">
        <v>324</v>
      </c>
      <c r="B73" s="12" t="s">
        <v>190</v>
      </c>
      <c r="C73" s="12" t="s">
        <v>472</v>
      </c>
      <c r="D73" s="12" t="n">
        <v>4</v>
      </c>
      <c r="E73" s="12" t="s">
        <v>356</v>
      </c>
      <c r="F73" s="12" t="n">
        <f aca="false">COUNTIFS('Existing vs Saran'!$J$5:$J$210,A73)</f>
        <v>0</v>
      </c>
      <c r="G73" s="32" t="n">
        <f aca="false">SUMIFS('Existing vs Saran'!$L$5:$L$210,'Existing vs Saran'!$J$5:$J$210,A73)</f>
        <v>0</v>
      </c>
      <c r="H73" s="12" t="n">
        <f aca="false">COUNTIFS('Existing vs Saran'!$N$5:$N$210,A73)</f>
        <v>1</v>
      </c>
      <c r="I73" s="32" t="n">
        <f aca="false">SUMIFS('Existing vs Saran'!$I$5:$I$210,'Existing vs Saran'!$N$5:$N$210,A73)</f>
        <v>109.99</v>
      </c>
      <c r="J73" s="32" t="n">
        <f aca="false">I73-G73</f>
        <v>109.99</v>
      </c>
      <c r="K73" s="12" t="str">
        <f aca="false">IF(I73=0,"Tidak dipakai",IF(I73&gt;'Parameter &amp; Asumsi'!$B$8,"Berlebih",IF(I73&lt;100,"Ringan","Wajar")))</f>
        <v>Wajar</v>
      </c>
      <c r="L73" s="5" t="s">
        <v>897</v>
      </c>
    </row>
    <row r="74" customFormat="false" ht="23.85" hidden="false" customHeight="false" outlineLevel="0" collapsed="false">
      <c r="A74" s="12" t="n">
        <v>330</v>
      </c>
      <c r="B74" s="12" t="s">
        <v>204</v>
      </c>
      <c r="C74" s="12" t="s">
        <v>472</v>
      </c>
      <c r="D74" s="12" t="n">
        <v>3</v>
      </c>
      <c r="E74" s="12" t="s">
        <v>356</v>
      </c>
      <c r="F74" s="12" t="n">
        <f aca="false">COUNTIFS('Existing vs Saran'!$J$5:$J$210,A74)</f>
        <v>0</v>
      </c>
      <c r="G74" s="32" t="n">
        <f aca="false">SUMIFS('Existing vs Saran'!$L$5:$L$210,'Existing vs Saran'!$J$5:$J$210,A74)</f>
        <v>0</v>
      </c>
      <c r="H74" s="12" t="n">
        <f aca="false">COUNTIFS('Existing vs Saran'!$N$5:$N$210,A74)</f>
        <v>1</v>
      </c>
      <c r="I74" s="32" t="n">
        <f aca="false">SUMIFS('Existing vs Saran'!$I$5:$I$210,'Existing vs Saran'!$N$5:$N$210,A74)</f>
        <v>216.67</v>
      </c>
      <c r="J74" s="32" t="n">
        <f aca="false">I74-G74</f>
        <v>216.67</v>
      </c>
      <c r="K74" s="12" t="str">
        <f aca="false">IF(I74=0,"Tidak dipakai",IF(I74&gt;'Parameter &amp; Asumsi'!$B$8,"Berlebih",IF(I74&lt;100,"Ringan","Wajar")))</f>
        <v>Wajar</v>
      </c>
      <c r="L74" s="5" t="s">
        <v>910</v>
      </c>
    </row>
    <row r="75" customFormat="false" ht="23.85" hidden="false" customHeight="false" outlineLevel="0" collapsed="false">
      <c r="A75" s="12" t="n">
        <v>334</v>
      </c>
      <c r="B75" s="12" t="s">
        <v>250</v>
      </c>
      <c r="C75" s="12" t="s">
        <v>472</v>
      </c>
      <c r="D75" s="12" t="n">
        <v>5</v>
      </c>
      <c r="E75" s="12" t="s">
        <v>356</v>
      </c>
      <c r="F75" s="12" t="n">
        <f aca="false">COUNTIFS('Existing vs Saran'!$J$5:$J$210,A75)</f>
        <v>0</v>
      </c>
      <c r="G75" s="32" t="n">
        <f aca="false">SUMIFS('Existing vs Saran'!$L$5:$L$210,'Existing vs Saran'!$J$5:$J$210,A75)</f>
        <v>0</v>
      </c>
      <c r="H75" s="12" t="n">
        <f aca="false">COUNTIFS('Existing vs Saran'!$N$5:$N$210,A75)</f>
        <v>2</v>
      </c>
      <c r="I75" s="32" t="n">
        <f aca="false">SUMIFS('Existing vs Saran'!$I$5:$I$210,'Existing vs Saran'!$N$5:$N$210,A75)</f>
        <v>187.59</v>
      </c>
      <c r="J75" s="32" t="n">
        <f aca="false">I75-G75</f>
        <v>187.59</v>
      </c>
      <c r="K75" s="12" t="str">
        <f aca="false">IF(I75=0,"Tidak dipakai",IF(I75&gt;'Parameter &amp; Asumsi'!$B$8,"Berlebih",IF(I75&lt;100,"Ringan","Wajar")))</f>
        <v>Wajar</v>
      </c>
      <c r="L75" s="5" t="s">
        <v>910</v>
      </c>
    </row>
    <row r="76" customFormat="false" ht="23.85" hidden="false" customHeight="false" outlineLevel="0" collapsed="false">
      <c r="A76" s="12" t="n">
        <v>340</v>
      </c>
      <c r="B76" s="12" t="s">
        <v>235</v>
      </c>
      <c r="C76" s="12" t="s">
        <v>472</v>
      </c>
      <c r="D76" s="12" t="n">
        <v>5</v>
      </c>
      <c r="E76" s="12" t="s">
        <v>797</v>
      </c>
      <c r="F76" s="12" t="n">
        <f aca="false">COUNTIFS('Existing vs Saran'!$J$5:$J$210,A76)</f>
        <v>0</v>
      </c>
      <c r="G76" s="32" t="n">
        <f aca="false">SUMIFS('Existing vs Saran'!$L$5:$L$210,'Existing vs Saran'!$J$5:$J$210,A76)</f>
        <v>0</v>
      </c>
      <c r="H76" s="12" t="n">
        <f aca="false">COUNTIFS('Existing vs Saran'!$N$5:$N$210,A76)</f>
        <v>1</v>
      </c>
      <c r="I76" s="32" t="n">
        <f aca="false">SUMIFS('Existing vs Saran'!$I$5:$I$210,'Existing vs Saran'!$N$5:$N$210,A76)</f>
        <v>139.57</v>
      </c>
      <c r="J76" s="32" t="n">
        <f aca="false">I76-G76</f>
        <v>139.57</v>
      </c>
      <c r="K76" s="12" t="str">
        <f aca="false">IF(I76=0,"Tidak dipakai",IF(I76&gt;'Parameter &amp; Asumsi'!$B$8,"Berlebih",IF(I76&lt;100,"Ringan","Wajar")))</f>
        <v>Wajar</v>
      </c>
      <c r="L76" s="5" t="s">
        <v>910</v>
      </c>
    </row>
    <row r="77" customFormat="false" ht="15" hidden="false" customHeight="false" outlineLevel="0" collapsed="false">
      <c r="A77" s="12" t="n">
        <v>342</v>
      </c>
      <c r="B77" s="12" t="s">
        <v>511</v>
      </c>
      <c r="C77" s="12" t="s">
        <v>458</v>
      </c>
      <c r="D77" s="12" t="n">
        <v>5</v>
      </c>
      <c r="E77" s="12" t="s">
        <v>797</v>
      </c>
      <c r="F77" s="12" t="n">
        <f aca="false">COUNTIFS('Existing vs Saran'!$J$5:$J$210,A77)</f>
        <v>2</v>
      </c>
      <c r="G77" s="32" t="n">
        <f aca="false">SUMIFS('Existing vs Saran'!$L$5:$L$210,'Existing vs Saran'!$J$5:$J$210,A77)</f>
        <v>52.92</v>
      </c>
      <c r="H77" s="12" t="n">
        <f aca="false">COUNTIFS('Existing vs Saran'!$N$5:$N$210,A77)</f>
        <v>2</v>
      </c>
      <c r="I77" s="32" t="n">
        <f aca="false">SUMIFS('Existing vs Saran'!$I$5:$I$210,'Existing vs Saran'!$N$5:$N$210,A77)</f>
        <v>52.92</v>
      </c>
      <c r="J77" s="32" t="n">
        <f aca="false">I77-G77</f>
        <v>0</v>
      </c>
      <c r="K77" s="12" t="str">
        <f aca="false">IF(I77=0,"Tidak dipakai",IF(I77&gt;'Parameter &amp; Asumsi'!$B$8,"Berlebih",IF(I77&lt;100,"Ringan","Wajar")))</f>
        <v>Ringan</v>
      </c>
      <c r="L77" s="5"/>
    </row>
    <row r="78" customFormat="false" ht="23.85" hidden="false" customHeight="false" outlineLevel="0" collapsed="false">
      <c r="A78" s="12" t="n">
        <v>344</v>
      </c>
      <c r="B78" s="12" t="s">
        <v>184</v>
      </c>
      <c r="C78" s="12" t="s">
        <v>472</v>
      </c>
      <c r="D78" s="12" t="n">
        <v>5</v>
      </c>
      <c r="E78" s="12" t="s">
        <v>797</v>
      </c>
      <c r="F78" s="12" t="n">
        <f aca="false">COUNTIFS('Existing vs Saran'!$J$5:$J$210,A78)</f>
        <v>0</v>
      </c>
      <c r="G78" s="32" t="n">
        <f aca="false">SUMIFS('Existing vs Saran'!$L$5:$L$210,'Existing vs Saran'!$J$5:$J$210,A78)</f>
        <v>0</v>
      </c>
      <c r="H78" s="12" t="n">
        <f aca="false">COUNTIFS('Existing vs Saran'!$N$5:$N$210,A78)</f>
        <v>1</v>
      </c>
      <c r="I78" s="32" t="n">
        <f aca="false">SUMIFS('Existing vs Saran'!$I$5:$I$210,'Existing vs Saran'!$N$5:$N$210,A78)</f>
        <v>115.84</v>
      </c>
      <c r="J78" s="32" t="n">
        <f aca="false">I78-G78</f>
        <v>115.84</v>
      </c>
      <c r="K78" s="12" t="str">
        <f aca="false">IF(I78=0,"Tidak dipakai",IF(I78&gt;'Parameter &amp; Asumsi'!$B$8,"Berlebih",IF(I78&lt;100,"Ringan","Wajar")))</f>
        <v>Wajar</v>
      </c>
      <c r="L78" s="5" t="s">
        <v>897</v>
      </c>
    </row>
    <row r="79" customFormat="false" ht="23.85" hidden="false" customHeight="false" outlineLevel="0" collapsed="false">
      <c r="A79" s="12" t="n">
        <v>355</v>
      </c>
      <c r="B79" s="12" t="s">
        <v>911</v>
      </c>
      <c r="C79" s="12" t="s">
        <v>912</v>
      </c>
      <c r="D79" s="12" t="n">
        <v>5</v>
      </c>
      <c r="E79" s="12" t="s">
        <v>797</v>
      </c>
      <c r="F79" s="12" t="n">
        <f aca="false">COUNTIFS('Existing vs Saran'!$J$5:$J$210,A79)</f>
        <v>0</v>
      </c>
      <c r="G79" s="32" t="n">
        <f aca="false">SUMIFS('Existing vs Saran'!$L$5:$L$210,'Existing vs Saran'!$J$5:$J$210,A79)</f>
        <v>0</v>
      </c>
      <c r="H79" s="12" t="n">
        <f aca="false">COUNTIFS('Existing vs Saran'!$N$5:$N$210,A79)</f>
        <v>0</v>
      </c>
      <c r="I79" s="32" t="n">
        <f aca="false">SUMIFS('Existing vs Saran'!$I$5:$I$210,'Existing vs Saran'!$N$5:$N$210,A79)</f>
        <v>0</v>
      </c>
      <c r="J79" s="32" t="n">
        <f aca="false">I79-G79</f>
        <v>0</v>
      </c>
      <c r="K79" s="12" t="str">
        <f aca="false">IF(I79=0,"Tidak dipakai",IF(I79&gt;'Parameter &amp; Asumsi'!$B$8,"Berlebih",IF(I79&lt;100,"Ringan","Wajar")))</f>
        <v>Tidak dipakai</v>
      </c>
      <c r="L79" s="5" t="s">
        <v>913</v>
      </c>
    </row>
    <row r="80" customFormat="false" ht="23.85" hidden="false" customHeight="false" outlineLevel="0" collapsed="false">
      <c r="A80" s="12" t="n">
        <v>357</v>
      </c>
      <c r="B80" s="12" t="s">
        <v>178</v>
      </c>
      <c r="C80" s="12" t="s">
        <v>472</v>
      </c>
      <c r="D80" s="12" t="n">
        <v>5</v>
      </c>
      <c r="E80" s="12" t="s">
        <v>797</v>
      </c>
      <c r="F80" s="12" t="n">
        <f aca="false">COUNTIFS('Existing vs Saran'!$J$5:$J$210,A80)</f>
        <v>0</v>
      </c>
      <c r="G80" s="32" t="n">
        <f aca="false">SUMIFS('Existing vs Saran'!$L$5:$L$210,'Existing vs Saran'!$J$5:$J$210,A80)</f>
        <v>0</v>
      </c>
      <c r="H80" s="12" t="n">
        <f aca="false">COUNTIFS('Existing vs Saran'!$N$5:$N$210,A80)</f>
        <v>1</v>
      </c>
      <c r="I80" s="32" t="n">
        <f aca="false">SUMIFS('Existing vs Saran'!$I$5:$I$210,'Existing vs Saran'!$N$5:$N$210,A80)</f>
        <v>117</v>
      </c>
      <c r="J80" s="32" t="n">
        <f aca="false">I80-G80</f>
        <v>117</v>
      </c>
      <c r="K80" s="12" t="str">
        <f aca="false">IF(I80=0,"Tidak dipakai",IF(I80&gt;'Parameter &amp; Asumsi'!$B$8,"Berlebih",IF(I80&lt;100,"Ringan","Wajar")))</f>
        <v>Wajar</v>
      </c>
      <c r="L80" s="5" t="s">
        <v>897</v>
      </c>
    </row>
    <row r="81" customFormat="false" ht="23.85" hidden="false" customHeight="false" outlineLevel="0" collapsed="false">
      <c r="A81" s="12" t="n">
        <v>363</v>
      </c>
      <c r="B81" s="12" t="s">
        <v>245</v>
      </c>
      <c r="C81" s="12" t="s">
        <v>472</v>
      </c>
      <c r="D81" s="12" t="n">
        <v>5</v>
      </c>
      <c r="E81" s="12" t="s">
        <v>914</v>
      </c>
      <c r="F81" s="12" t="n">
        <f aca="false">COUNTIFS('Existing vs Saran'!$J$5:$J$210,A81)</f>
        <v>0</v>
      </c>
      <c r="G81" s="32" t="n">
        <f aca="false">SUMIFS('Existing vs Saran'!$L$5:$L$210,'Existing vs Saran'!$J$5:$J$210,A81)</f>
        <v>0</v>
      </c>
      <c r="H81" s="12" t="n">
        <f aca="false">COUNTIFS('Existing vs Saran'!$N$5:$N$210,A81)</f>
        <v>1</v>
      </c>
      <c r="I81" s="32" t="n">
        <f aca="false">SUMIFS('Existing vs Saran'!$I$5:$I$210,'Existing vs Saran'!$N$5:$N$210,A81)</f>
        <v>137.43</v>
      </c>
      <c r="J81" s="32" t="n">
        <f aca="false">I81-G81</f>
        <v>137.43</v>
      </c>
      <c r="K81" s="12" t="str">
        <f aca="false">IF(I81=0,"Tidak dipakai",IF(I81&gt;'Parameter &amp; Asumsi'!$B$8,"Berlebih",IF(I81&lt;100,"Ringan","Wajar")))</f>
        <v>Wajar</v>
      </c>
      <c r="L81" s="5" t="s">
        <v>910</v>
      </c>
    </row>
    <row r="82" customFormat="false" ht="23.85" hidden="false" customHeight="false" outlineLevel="0" collapsed="false">
      <c r="A82" s="12" t="n">
        <v>364</v>
      </c>
      <c r="B82" s="12" t="s">
        <v>218</v>
      </c>
      <c r="C82" s="12" t="s">
        <v>472</v>
      </c>
      <c r="D82" s="12" t="n">
        <v>3</v>
      </c>
      <c r="E82" s="12" t="s">
        <v>914</v>
      </c>
      <c r="F82" s="12" t="n">
        <f aca="false">COUNTIFS('Existing vs Saran'!$J$5:$J$210,A82)</f>
        <v>0</v>
      </c>
      <c r="G82" s="32" t="n">
        <f aca="false">SUMIFS('Existing vs Saran'!$L$5:$L$210,'Existing vs Saran'!$J$5:$J$210,A82)</f>
        <v>0</v>
      </c>
      <c r="H82" s="12" t="n">
        <f aca="false">COUNTIFS('Existing vs Saran'!$N$5:$N$210,A82)</f>
        <v>1</v>
      </c>
      <c r="I82" s="32" t="n">
        <f aca="false">SUMIFS('Existing vs Saran'!$I$5:$I$210,'Existing vs Saran'!$N$5:$N$210,A82)</f>
        <v>182</v>
      </c>
      <c r="J82" s="32" t="n">
        <f aca="false">I82-G82</f>
        <v>182</v>
      </c>
      <c r="K82" s="12" t="str">
        <f aca="false">IF(I82=0,"Tidak dipakai",IF(I82&gt;'Parameter &amp; Asumsi'!$B$8,"Berlebih",IF(I82&lt;100,"Ringan","Wajar")))</f>
        <v>Wajar</v>
      </c>
      <c r="L82" s="5" t="s">
        <v>915</v>
      </c>
    </row>
    <row r="83" customFormat="false" ht="23.85" hidden="false" customHeight="false" outlineLevel="0" collapsed="false">
      <c r="A83" s="12" t="n">
        <v>365</v>
      </c>
      <c r="B83" s="12" t="s">
        <v>118</v>
      </c>
      <c r="C83" s="12" t="s">
        <v>472</v>
      </c>
      <c r="D83" s="12" t="n">
        <v>5</v>
      </c>
      <c r="E83" s="12" t="s">
        <v>914</v>
      </c>
      <c r="F83" s="12" t="n">
        <f aca="false">COUNTIFS('Existing vs Saran'!$J$5:$J$210,A83)</f>
        <v>0</v>
      </c>
      <c r="G83" s="32" t="n">
        <f aca="false">SUMIFS('Existing vs Saran'!$L$5:$L$210,'Existing vs Saran'!$J$5:$J$210,A83)</f>
        <v>0</v>
      </c>
      <c r="H83" s="12" t="n">
        <f aca="false">COUNTIFS('Existing vs Saran'!$N$5:$N$210,A83)</f>
        <v>1</v>
      </c>
      <c r="I83" s="32" t="n">
        <f aca="false">SUMIFS('Existing vs Saran'!$I$5:$I$210,'Existing vs Saran'!$N$5:$N$210,A83)</f>
        <v>143.22</v>
      </c>
      <c r="J83" s="32" t="n">
        <f aca="false">I83-G83</f>
        <v>143.22</v>
      </c>
      <c r="K83" s="12" t="str">
        <f aca="false">IF(I83=0,"Tidak dipakai",IF(I83&gt;'Parameter &amp; Asumsi'!$B$8,"Berlebih",IF(I83&lt;100,"Ringan","Wajar")))</f>
        <v>Wajar</v>
      </c>
      <c r="L83" s="5" t="s">
        <v>906</v>
      </c>
    </row>
    <row r="84" customFormat="false" ht="23.85" hidden="false" customHeight="false" outlineLevel="0" collapsed="false">
      <c r="A84" s="12" t="n">
        <v>374</v>
      </c>
      <c r="B84" s="12" t="s">
        <v>224</v>
      </c>
      <c r="C84" s="12" t="s">
        <v>472</v>
      </c>
      <c r="D84" s="12" t="n">
        <v>5</v>
      </c>
      <c r="E84" s="12" t="s">
        <v>916</v>
      </c>
      <c r="F84" s="12" t="n">
        <f aca="false">COUNTIFS('Existing vs Saran'!$J$5:$J$210,A84)</f>
        <v>0</v>
      </c>
      <c r="G84" s="32" t="n">
        <f aca="false">SUMIFS('Existing vs Saran'!$L$5:$L$210,'Existing vs Saran'!$J$5:$J$210,A84)</f>
        <v>0</v>
      </c>
      <c r="H84" s="12" t="n">
        <f aca="false">COUNTIFS('Existing vs Saran'!$N$5:$N$210,A84)</f>
        <v>1</v>
      </c>
      <c r="I84" s="32" t="n">
        <f aca="false">SUMIFS('Existing vs Saran'!$I$5:$I$210,'Existing vs Saran'!$N$5:$N$210,A84)</f>
        <v>182</v>
      </c>
      <c r="J84" s="32" t="n">
        <f aca="false">I84-G84</f>
        <v>182</v>
      </c>
      <c r="K84" s="12" t="str">
        <f aca="false">IF(I84=0,"Tidak dipakai",IF(I84&gt;'Parameter &amp; Asumsi'!$B$8,"Berlebih",IF(I84&lt;100,"Ringan","Wajar")))</f>
        <v>Wajar</v>
      </c>
      <c r="L84" s="5" t="s">
        <v>915</v>
      </c>
    </row>
    <row r="85" customFormat="false" ht="23.85" hidden="false" customHeight="false" outlineLevel="0" collapsed="false">
      <c r="A85" s="12" t="n">
        <v>375</v>
      </c>
      <c r="B85" s="12" t="s">
        <v>211</v>
      </c>
      <c r="C85" s="12" t="s">
        <v>472</v>
      </c>
      <c r="D85" s="12" t="n">
        <v>5</v>
      </c>
      <c r="E85" s="12" t="s">
        <v>916</v>
      </c>
      <c r="F85" s="12" t="n">
        <f aca="false">COUNTIFS('Existing vs Saran'!$J$5:$J$210,A85)</f>
        <v>0</v>
      </c>
      <c r="G85" s="32" t="n">
        <f aca="false">SUMIFS('Existing vs Saran'!$L$5:$L$210,'Existing vs Saran'!$J$5:$J$210,A85)</f>
        <v>0</v>
      </c>
      <c r="H85" s="12" t="n">
        <f aca="false">COUNTIFS('Existing vs Saran'!$N$5:$N$210,A85)</f>
        <v>1</v>
      </c>
      <c r="I85" s="32" t="n">
        <f aca="false">SUMIFS('Existing vs Saran'!$I$5:$I$210,'Existing vs Saran'!$N$5:$N$210,A85)</f>
        <v>182</v>
      </c>
      <c r="J85" s="32" t="n">
        <f aca="false">I85-G85</f>
        <v>182</v>
      </c>
      <c r="K85" s="12" t="str">
        <f aca="false">IF(I85=0,"Tidak dipakai",IF(I85&gt;'Parameter &amp; Asumsi'!$B$8,"Berlebih",IF(I85&lt;100,"Ringan","Wajar")))</f>
        <v>Wajar</v>
      </c>
      <c r="L85" s="5" t="s">
        <v>915</v>
      </c>
    </row>
    <row r="86" customFormat="false" ht="23.85" hidden="false" customHeight="false" outlineLevel="0" collapsed="false">
      <c r="A86" s="12" t="n">
        <v>380</v>
      </c>
      <c r="B86" s="12" t="s">
        <v>111</v>
      </c>
      <c r="C86" s="12" t="s">
        <v>472</v>
      </c>
      <c r="D86" s="12" t="n">
        <v>5</v>
      </c>
      <c r="E86" s="12" t="s">
        <v>916</v>
      </c>
      <c r="F86" s="12" t="n">
        <f aca="false">COUNTIFS('Existing vs Saran'!$J$5:$J$210,A86)</f>
        <v>0</v>
      </c>
      <c r="G86" s="32" t="n">
        <f aca="false">SUMIFS('Existing vs Saran'!$L$5:$L$210,'Existing vs Saran'!$J$5:$J$210,A86)</f>
        <v>0</v>
      </c>
      <c r="H86" s="12" t="n">
        <f aca="false">COUNTIFS('Existing vs Saran'!$N$5:$N$210,A86)</f>
        <v>2</v>
      </c>
      <c r="I86" s="32" t="n">
        <f aca="false">SUMIFS('Existing vs Saran'!$I$5:$I$210,'Existing vs Saran'!$N$5:$N$210,A86)</f>
        <v>213.04</v>
      </c>
      <c r="J86" s="32" t="n">
        <f aca="false">I86-G86</f>
        <v>213.04</v>
      </c>
      <c r="K86" s="12" t="str">
        <f aca="false">IF(I86=0,"Tidak dipakai",IF(I86&gt;'Parameter &amp; Asumsi'!$B$8,"Berlebih",IF(I86&lt;100,"Ringan","Wajar")))</f>
        <v>Wajar</v>
      </c>
      <c r="L86" s="5" t="s">
        <v>906</v>
      </c>
    </row>
    <row r="87" customFormat="false" ht="23.85" hidden="false" customHeight="false" outlineLevel="0" collapsed="false">
      <c r="A87" s="12" t="n">
        <v>382</v>
      </c>
      <c r="B87" s="12" t="s">
        <v>229</v>
      </c>
      <c r="C87" s="12" t="s">
        <v>472</v>
      </c>
      <c r="D87" s="12" t="n">
        <v>4</v>
      </c>
      <c r="E87" s="12" t="s">
        <v>916</v>
      </c>
      <c r="F87" s="12" t="n">
        <f aca="false">COUNTIFS('Existing vs Saran'!$J$5:$J$210,A87)</f>
        <v>0</v>
      </c>
      <c r="G87" s="32" t="n">
        <f aca="false">SUMIFS('Existing vs Saran'!$L$5:$L$210,'Existing vs Saran'!$J$5:$J$210,A87)</f>
        <v>0</v>
      </c>
      <c r="H87" s="12" t="n">
        <f aca="false">COUNTIFS('Existing vs Saran'!$N$5:$N$210,A87)</f>
        <v>2</v>
      </c>
      <c r="I87" s="32" t="n">
        <f aca="false">SUMIFS('Existing vs Saran'!$I$5:$I$210,'Existing vs Saran'!$N$5:$N$210,A87)</f>
        <v>215.02</v>
      </c>
      <c r="J87" s="32" t="n">
        <f aca="false">I87-G87</f>
        <v>215.02</v>
      </c>
      <c r="K87" s="12" t="str">
        <f aca="false">IF(I87=0,"Tidak dipakai",IF(I87&gt;'Parameter &amp; Asumsi'!$B$8,"Berlebih",IF(I87&lt;100,"Ringan","Wajar")))</f>
        <v>Wajar</v>
      </c>
      <c r="L87" s="5" t="s">
        <v>915</v>
      </c>
    </row>
    <row r="88" customFormat="false" ht="23.85" hidden="false" customHeight="false" outlineLevel="0" collapsed="false">
      <c r="A88" s="12" t="n">
        <v>389</v>
      </c>
      <c r="B88" s="12" t="s">
        <v>124</v>
      </c>
      <c r="C88" s="12" t="s">
        <v>472</v>
      </c>
      <c r="D88" s="12" t="n">
        <v>4</v>
      </c>
      <c r="E88" s="12" t="s">
        <v>917</v>
      </c>
      <c r="F88" s="12" t="n">
        <f aca="false">COUNTIFS('Existing vs Saran'!$J$5:$J$210,A88)</f>
        <v>0</v>
      </c>
      <c r="G88" s="32" t="n">
        <f aca="false">SUMIFS('Existing vs Saran'!$L$5:$L$210,'Existing vs Saran'!$J$5:$J$210,A88)</f>
        <v>0</v>
      </c>
      <c r="H88" s="12" t="n">
        <f aca="false">COUNTIFS('Existing vs Saran'!$N$5:$N$210,A88)</f>
        <v>2</v>
      </c>
      <c r="I88" s="32" t="n">
        <f aca="false">SUMIFS('Existing vs Saran'!$I$5:$I$210,'Existing vs Saran'!$N$5:$N$210,A88)</f>
        <v>209.71</v>
      </c>
      <c r="J88" s="32" t="n">
        <f aca="false">I88-G88</f>
        <v>209.71</v>
      </c>
      <c r="K88" s="12" t="str">
        <f aca="false">IF(I88=0,"Tidak dipakai",IF(I88&gt;'Parameter &amp; Asumsi'!$B$8,"Berlebih",IF(I88&lt;100,"Ringan","Wajar")))</f>
        <v>Wajar</v>
      </c>
      <c r="L88" s="5" t="s">
        <v>895</v>
      </c>
    </row>
    <row r="89" customFormat="false" ht="15" hidden="false" customHeight="false" outlineLevel="0" collapsed="false">
      <c r="A89" s="12" t="n">
        <v>390</v>
      </c>
      <c r="B89" s="12" t="s">
        <v>527</v>
      </c>
      <c r="C89" s="12" t="s">
        <v>458</v>
      </c>
      <c r="D89" s="12" t="n">
        <v>5</v>
      </c>
      <c r="E89" s="12" t="s">
        <v>917</v>
      </c>
      <c r="F89" s="12" t="n">
        <f aca="false">COUNTIFS('Existing vs Saran'!$J$5:$J$210,A89)</f>
        <v>1</v>
      </c>
      <c r="G89" s="32" t="n">
        <f aca="false">SUMIFS('Existing vs Saran'!$L$5:$L$210,'Existing vs Saran'!$J$5:$J$210,A89)</f>
        <v>229.48</v>
      </c>
      <c r="H89" s="12" t="n">
        <f aca="false">COUNTIFS('Existing vs Saran'!$N$5:$N$210,A89)</f>
        <v>2</v>
      </c>
      <c r="I89" s="32" t="n">
        <f aca="false">SUMIFS('Existing vs Saran'!$I$5:$I$210,'Existing vs Saran'!$N$5:$N$210,A89)</f>
        <v>213.44</v>
      </c>
      <c r="J89" s="32" t="n">
        <f aca="false">I89-G89</f>
        <v>-16.04</v>
      </c>
      <c r="K89" s="12" t="str">
        <f aca="false">IF(I89=0,"Tidak dipakai",IF(I89&gt;'Parameter &amp; Asumsi'!$B$8,"Berlebih",IF(I89&lt;100,"Ringan","Wajar")))</f>
        <v>Wajar</v>
      </c>
      <c r="L89" s="5"/>
    </row>
    <row r="90" customFormat="false" ht="15" hidden="false" customHeight="false" outlineLevel="0" collapsed="false">
      <c r="A90" s="12" t="n">
        <v>394</v>
      </c>
      <c r="B90" s="12" t="s">
        <v>523</v>
      </c>
      <c r="C90" s="12" t="s">
        <v>458</v>
      </c>
      <c r="D90" s="12" t="n">
        <v>5</v>
      </c>
      <c r="E90" s="12" t="s">
        <v>917</v>
      </c>
      <c r="F90" s="12" t="n">
        <f aca="false">COUNTIFS('Existing vs Saran'!$J$5:$J$210,A90)</f>
        <v>2</v>
      </c>
      <c r="G90" s="32" t="n">
        <f aca="false">SUMIFS('Existing vs Saran'!$L$5:$L$210,'Existing vs Saran'!$J$5:$J$210,A90)</f>
        <v>203.79</v>
      </c>
      <c r="H90" s="12" t="n">
        <f aca="false">COUNTIFS('Existing vs Saran'!$N$5:$N$210,A90)</f>
        <v>2</v>
      </c>
      <c r="I90" s="32" t="n">
        <f aca="false">SUMIFS('Existing vs Saran'!$I$5:$I$210,'Existing vs Saran'!$N$5:$N$210,A90)</f>
        <v>199.46</v>
      </c>
      <c r="J90" s="32" t="n">
        <f aca="false">I90-G90</f>
        <v>-4.32999999999998</v>
      </c>
      <c r="K90" s="12" t="str">
        <f aca="false">IF(I90=0,"Tidak dipakai",IF(I90&gt;'Parameter &amp; Asumsi'!$B$8,"Berlebih",IF(I90&lt;100,"Ringan","Wajar")))</f>
        <v>Wajar</v>
      </c>
      <c r="L90" s="5"/>
    </row>
    <row r="91" customFormat="false" ht="15" hidden="false" customHeight="false" outlineLevel="0" collapsed="false">
      <c r="A91" s="12" t="n">
        <v>400</v>
      </c>
      <c r="B91" s="12" t="s">
        <v>521</v>
      </c>
      <c r="C91" s="12" t="s">
        <v>458</v>
      </c>
      <c r="D91" s="12" t="n">
        <v>4</v>
      </c>
      <c r="E91" s="12" t="s">
        <v>917</v>
      </c>
      <c r="F91" s="12" t="n">
        <f aca="false">COUNTIFS('Existing vs Saran'!$J$5:$J$210,A91)</f>
        <v>1</v>
      </c>
      <c r="G91" s="32" t="n">
        <f aca="false">SUMIFS('Existing vs Saran'!$L$5:$L$210,'Existing vs Saran'!$J$5:$J$210,A91)</f>
        <v>145.74</v>
      </c>
      <c r="H91" s="12" t="n">
        <f aca="false">COUNTIFS('Existing vs Saran'!$N$5:$N$210,A91)</f>
        <v>2</v>
      </c>
      <c r="I91" s="32" t="n">
        <f aca="false">SUMIFS('Existing vs Saran'!$I$5:$I$210,'Existing vs Saran'!$N$5:$N$210,A91)</f>
        <v>195.85</v>
      </c>
      <c r="J91" s="32" t="n">
        <f aca="false">I91-G91</f>
        <v>50.11</v>
      </c>
      <c r="K91" s="12" t="str">
        <f aca="false">IF(I91=0,"Tidak dipakai",IF(I91&gt;'Parameter &amp; Asumsi'!$B$8,"Berlebih",IF(I91&lt;100,"Ringan","Wajar")))</f>
        <v>Wajar</v>
      </c>
      <c r="L91" s="5"/>
    </row>
    <row r="92" customFormat="false" ht="15" hidden="false" customHeight="false" outlineLevel="0" collapsed="false">
      <c r="A92" s="12" t="n">
        <v>401</v>
      </c>
      <c r="B92" s="12" t="s">
        <v>524</v>
      </c>
      <c r="C92" s="12" t="s">
        <v>458</v>
      </c>
      <c r="D92" s="12" t="n">
        <v>4</v>
      </c>
      <c r="E92" s="12" t="s">
        <v>917</v>
      </c>
      <c r="F92" s="12" t="n">
        <f aca="false">COUNTIFS('Existing vs Saran'!$J$5:$J$210,A92)</f>
        <v>1</v>
      </c>
      <c r="G92" s="32" t="n">
        <f aca="false">SUMIFS('Existing vs Saran'!$L$5:$L$210,'Existing vs Saran'!$J$5:$J$210,A92)</f>
        <v>193.51</v>
      </c>
      <c r="H92" s="12" t="n">
        <f aca="false">COUNTIFS('Existing vs Saran'!$N$5:$N$210,A92)</f>
        <v>1</v>
      </c>
      <c r="I92" s="32" t="n">
        <f aca="false">SUMIFS('Existing vs Saran'!$I$5:$I$210,'Existing vs Saran'!$N$5:$N$210,A92)</f>
        <v>193.51</v>
      </c>
      <c r="J92" s="32" t="n">
        <f aca="false">I92-G92</f>
        <v>0</v>
      </c>
      <c r="K92" s="12" t="str">
        <f aca="false">IF(I92=0,"Tidak dipakai",IF(I92&gt;'Parameter &amp; Asumsi'!$B$8,"Berlebih",IF(I92&lt;100,"Ringan","Wajar")))</f>
        <v>Wajar</v>
      </c>
      <c r="L92" s="5"/>
    </row>
    <row r="93" customFormat="false" ht="15" hidden="false" customHeight="false" outlineLevel="0" collapsed="false">
      <c r="A93" s="12" t="n">
        <v>409</v>
      </c>
      <c r="B93" s="12" t="s">
        <v>520</v>
      </c>
      <c r="C93" s="12" t="s">
        <v>458</v>
      </c>
      <c r="D93" s="12" t="n">
        <v>3</v>
      </c>
      <c r="E93" s="12" t="s">
        <v>22</v>
      </c>
      <c r="F93" s="12" t="n">
        <f aca="false">COUNTIFS('Existing vs Saran'!$J$5:$J$210,A93)</f>
        <v>1</v>
      </c>
      <c r="G93" s="32" t="n">
        <f aca="false">SUMIFS('Existing vs Saran'!$L$5:$L$210,'Existing vs Saran'!$J$5:$J$210,A93)</f>
        <v>135.83</v>
      </c>
      <c r="H93" s="12" t="n">
        <f aca="false">COUNTIFS('Existing vs Saran'!$N$5:$N$210,A93)</f>
        <v>2</v>
      </c>
      <c r="I93" s="32" t="n">
        <f aca="false">SUMIFS('Existing vs Saran'!$I$5:$I$210,'Existing vs Saran'!$N$5:$N$210,A93)</f>
        <v>197</v>
      </c>
      <c r="J93" s="32" t="n">
        <f aca="false">I93-G93</f>
        <v>61.17</v>
      </c>
      <c r="K93" s="12" t="str">
        <f aca="false">IF(I93=0,"Tidak dipakai",IF(I93&gt;'Parameter &amp; Asumsi'!$B$8,"Berlebih",IF(I93&lt;100,"Ringan","Wajar")))</f>
        <v>Wajar</v>
      </c>
      <c r="L93" s="5"/>
    </row>
    <row r="94" customFormat="false" ht="15" hidden="false" customHeight="false" outlineLevel="0" collapsed="false">
      <c r="A94" s="12" t="n">
        <v>411</v>
      </c>
      <c r="B94" s="12" t="s">
        <v>525</v>
      </c>
      <c r="C94" s="12" t="s">
        <v>490</v>
      </c>
      <c r="D94" s="12" t="n">
        <v>5</v>
      </c>
      <c r="E94" s="12" t="s">
        <v>22</v>
      </c>
      <c r="F94" s="12" t="n">
        <f aca="false">COUNTIFS('Existing vs Saran'!$J$5:$J$210,A94)</f>
        <v>0</v>
      </c>
      <c r="G94" s="32" t="n">
        <f aca="false">SUMIFS('Existing vs Saran'!$L$5:$L$210,'Existing vs Saran'!$J$5:$J$210,A94)</f>
        <v>0</v>
      </c>
      <c r="H94" s="12" t="n">
        <f aca="false">COUNTIFS('Existing vs Saran'!$N$5:$N$210,A94)</f>
        <v>1</v>
      </c>
      <c r="I94" s="32" t="n">
        <f aca="false">SUMIFS('Existing vs Saran'!$I$5:$I$210,'Existing vs Saran'!$N$5:$N$210,A94)</f>
        <v>216.67</v>
      </c>
      <c r="J94" s="32" t="n">
        <f aca="false">I94-G94</f>
        <v>216.67</v>
      </c>
      <c r="K94" s="12" t="str">
        <f aca="false">IF(I94=0,"Tidak dipakai",IF(I94&gt;'Parameter &amp; Asumsi'!$B$8,"Berlebih",IF(I94&lt;100,"Ringan","Wajar")))</f>
        <v>Wajar</v>
      </c>
      <c r="L94" s="5" t="s">
        <v>907</v>
      </c>
    </row>
    <row r="95" customFormat="false" ht="15" hidden="false" customHeight="false" outlineLevel="0" collapsed="false">
      <c r="A95" s="12" t="n">
        <v>413</v>
      </c>
      <c r="B95" s="12" t="s">
        <v>522</v>
      </c>
      <c r="C95" s="12" t="s">
        <v>490</v>
      </c>
      <c r="D95" s="12" t="n">
        <v>4</v>
      </c>
      <c r="E95" s="12" t="s">
        <v>22</v>
      </c>
      <c r="F95" s="12" t="n">
        <f aca="false">COUNTIFS('Existing vs Saran'!$J$5:$J$210,A95)</f>
        <v>0</v>
      </c>
      <c r="G95" s="32" t="n">
        <f aca="false">SUMIFS('Existing vs Saran'!$L$5:$L$210,'Existing vs Saran'!$J$5:$J$210,A95)</f>
        <v>0</v>
      </c>
      <c r="H95" s="12" t="n">
        <f aca="false">COUNTIFS('Existing vs Saran'!$N$5:$N$210,A95)</f>
        <v>2</v>
      </c>
      <c r="I95" s="32" t="n">
        <f aca="false">SUMIFS('Existing vs Saran'!$I$5:$I$210,'Existing vs Saran'!$N$5:$N$210,A95)</f>
        <v>216.55</v>
      </c>
      <c r="J95" s="32" t="n">
        <f aca="false">I95-G95</f>
        <v>216.55</v>
      </c>
      <c r="K95" s="12" t="str">
        <f aca="false">IF(I95=0,"Tidak dipakai",IF(I95&gt;'Parameter &amp; Asumsi'!$B$8,"Berlebih",IF(I95&lt;100,"Ringan","Wajar")))</f>
        <v>Wajar</v>
      </c>
      <c r="L95" s="5" t="s">
        <v>907</v>
      </c>
    </row>
    <row r="96" customFormat="false" ht="15" hidden="false" customHeight="false" outlineLevel="0" collapsed="false">
      <c r="A96" s="12" t="n">
        <v>416</v>
      </c>
      <c r="B96" s="12" t="s">
        <v>526</v>
      </c>
      <c r="C96" s="12" t="s">
        <v>458</v>
      </c>
      <c r="D96" s="12" t="n">
        <v>3</v>
      </c>
      <c r="E96" s="12" t="s">
        <v>22</v>
      </c>
      <c r="F96" s="12" t="n">
        <f aca="false">COUNTIFS('Existing vs Saran'!$J$5:$J$210,A96)</f>
        <v>1</v>
      </c>
      <c r="G96" s="32" t="n">
        <f aca="false">SUMIFS('Existing vs Saran'!$L$5:$L$210,'Existing vs Saran'!$J$5:$J$210,A96)</f>
        <v>78.68</v>
      </c>
      <c r="H96" s="12" t="n">
        <f aca="false">COUNTIFS('Existing vs Saran'!$N$5:$N$210,A96)</f>
        <v>2</v>
      </c>
      <c r="I96" s="32" t="n">
        <f aca="false">SUMIFS('Existing vs Saran'!$I$5:$I$210,'Existing vs Saran'!$N$5:$N$210,A96)</f>
        <v>218.39</v>
      </c>
      <c r="J96" s="32" t="n">
        <f aca="false">I96-G96</f>
        <v>139.71</v>
      </c>
      <c r="K96" s="12" t="str">
        <f aca="false">IF(I96=0,"Tidak dipakai",IF(I96&gt;'Parameter &amp; Asumsi'!$B$8,"Berlebih",IF(I96&lt;100,"Ringan","Wajar")))</f>
        <v>Wajar</v>
      </c>
      <c r="L96" s="5"/>
    </row>
    <row r="97" customFormat="false" ht="23.85" hidden="false" customHeight="false" outlineLevel="0" collapsed="false">
      <c r="A97" s="12" t="n">
        <v>419</v>
      </c>
      <c r="B97" s="12" t="s">
        <v>918</v>
      </c>
      <c r="C97" s="12" t="s">
        <v>912</v>
      </c>
      <c r="D97" s="12" t="n">
        <v>4</v>
      </c>
      <c r="E97" s="12" t="s">
        <v>22</v>
      </c>
      <c r="F97" s="12" t="n">
        <f aca="false">COUNTIFS('Existing vs Saran'!$J$5:$J$210,A97)</f>
        <v>0</v>
      </c>
      <c r="G97" s="32" t="n">
        <f aca="false">SUMIFS('Existing vs Saran'!$L$5:$L$210,'Existing vs Saran'!$J$5:$J$210,A97)</f>
        <v>0</v>
      </c>
      <c r="H97" s="12" t="n">
        <f aca="false">COUNTIFS('Existing vs Saran'!$N$5:$N$210,A97)</f>
        <v>0</v>
      </c>
      <c r="I97" s="32" t="n">
        <f aca="false">SUMIFS('Existing vs Saran'!$I$5:$I$210,'Existing vs Saran'!$N$5:$N$210,A97)</f>
        <v>0</v>
      </c>
      <c r="J97" s="32" t="n">
        <f aca="false">I97-G97</f>
        <v>0</v>
      </c>
      <c r="K97" s="12" t="str">
        <f aca="false">IF(I97=0,"Tidak dipakai",IF(I97&gt;'Parameter &amp; Asumsi'!$B$8,"Berlebih",IF(I97&lt;100,"Ringan","Wajar")))</f>
        <v>Tidak dipakai</v>
      </c>
      <c r="L97" s="5" t="s">
        <v>913</v>
      </c>
    </row>
    <row r="98" customFormat="false" ht="15" hidden="false" customHeight="false" outlineLevel="0" collapsed="false">
      <c r="A98" s="12" t="n">
        <v>420</v>
      </c>
      <c r="B98" s="12" t="s">
        <v>482</v>
      </c>
      <c r="C98" s="12" t="s">
        <v>458</v>
      </c>
      <c r="D98" s="12" t="n">
        <v>4</v>
      </c>
      <c r="E98" s="12" t="s">
        <v>22</v>
      </c>
      <c r="F98" s="12" t="n">
        <f aca="false">COUNTIFS('Existing vs Saran'!$J$5:$J$210,A98)</f>
        <v>2</v>
      </c>
      <c r="G98" s="32" t="n">
        <f aca="false">SUMIFS('Existing vs Saran'!$L$5:$L$210,'Existing vs Saran'!$J$5:$J$210,A98)</f>
        <v>485.39</v>
      </c>
      <c r="H98" s="12" t="n">
        <f aca="false">COUNTIFS('Existing vs Saran'!$N$5:$N$210,A98)</f>
        <v>2</v>
      </c>
      <c r="I98" s="32" t="n">
        <f aca="false">SUMIFS('Existing vs Saran'!$I$5:$I$210,'Existing vs Saran'!$N$5:$N$210,A98)</f>
        <v>198.94</v>
      </c>
      <c r="J98" s="32" t="n">
        <f aca="false">I98-G98</f>
        <v>-286.45</v>
      </c>
      <c r="K98" s="12" t="str">
        <f aca="false">IF(I98=0,"Tidak dipakai",IF(I98&gt;'Parameter &amp; Asumsi'!$B$8,"Berlebih",IF(I98&lt;100,"Ringan","Wajar")))</f>
        <v>Wajar</v>
      </c>
      <c r="L98" s="5"/>
    </row>
    <row r="99" customFormat="false" ht="15" hidden="false" customHeight="false" outlineLevel="0" collapsed="false">
      <c r="A99" s="12" t="n">
        <v>426</v>
      </c>
      <c r="B99" s="12" t="s">
        <v>474</v>
      </c>
      <c r="C99" s="12" t="s">
        <v>458</v>
      </c>
      <c r="D99" s="12" t="n">
        <v>4</v>
      </c>
      <c r="E99" s="12" t="s">
        <v>22</v>
      </c>
      <c r="F99" s="12" t="n">
        <f aca="false">COUNTIFS('Existing vs Saran'!$J$5:$J$210,A99)</f>
        <v>3</v>
      </c>
      <c r="G99" s="32" t="n">
        <f aca="false">SUMIFS('Existing vs Saran'!$L$5:$L$210,'Existing vs Saran'!$J$5:$J$210,A99)</f>
        <v>179.39</v>
      </c>
      <c r="H99" s="12" t="n">
        <f aca="false">COUNTIFS('Existing vs Saran'!$N$5:$N$210,A99)</f>
        <v>4</v>
      </c>
      <c r="I99" s="32" t="n">
        <f aca="false">SUMIFS('Existing vs Saran'!$I$5:$I$210,'Existing vs Saran'!$N$5:$N$210,A99)</f>
        <v>214.08</v>
      </c>
      <c r="J99" s="32" t="n">
        <f aca="false">I99-G99</f>
        <v>34.69</v>
      </c>
      <c r="K99" s="12" t="str">
        <f aca="false">IF(I99=0,"Tidak dipakai",IF(I99&gt;'Parameter &amp; Asumsi'!$B$8,"Berlebih",IF(I99&lt;100,"Ringan","Wajar")))</f>
        <v>Wajar</v>
      </c>
      <c r="L99" s="5"/>
    </row>
    <row r="100" customFormat="false" ht="15" hidden="false" customHeight="false" outlineLevel="0" collapsed="false">
      <c r="A100" s="12" t="n">
        <v>428</v>
      </c>
      <c r="B100" s="12" t="s">
        <v>517</v>
      </c>
      <c r="C100" s="12" t="s">
        <v>458</v>
      </c>
      <c r="D100" s="12"/>
      <c r="E100" s="12" t="s">
        <v>22</v>
      </c>
      <c r="F100" s="12" t="n">
        <f aca="false">COUNTIFS('Existing vs Saran'!$J$5:$J$210,A100)</f>
        <v>4</v>
      </c>
      <c r="G100" s="32" t="n">
        <f aca="false">SUMIFS('Existing vs Saran'!$L$5:$L$210,'Existing vs Saran'!$J$5:$J$210,A100)</f>
        <v>171.9</v>
      </c>
      <c r="H100" s="12" t="n">
        <f aca="false">COUNTIFS('Existing vs Saran'!$N$5:$N$210,A100)</f>
        <v>5</v>
      </c>
      <c r="I100" s="32" t="n">
        <f aca="false">SUMIFS('Existing vs Saran'!$I$5:$I$210,'Existing vs Saran'!$N$5:$N$210,A100)</f>
        <v>217.5</v>
      </c>
      <c r="J100" s="32" t="n">
        <f aca="false">I100-G100</f>
        <v>45.6</v>
      </c>
      <c r="K100" s="12" t="str">
        <f aca="false">IF(I100=0,"Tidak dipakai",IF(I100&gt;'Parameter &amp; Asumsi'!$B$8,"Berlebih",IF(I100&lt;100,"Ringan","Wajar")))</f>
        <v>Wajar</v>
      </c>
      <c r="L100" s="5"/>
    </row>
    <row r="101" customFormat="false" ht="15" hidden="false" customHeight="false" outlineLevel="0" collapsed="false">
      <c r="A101" s="12" t="n">
        <v>432</v>
      </c>
      <c r="B101" s="12" t="s">
        <v>483</v>
      </c>
      <c r="C101" s="12" t="s">
        <v>458</v>
      </c>
      <c r="D101" s="12" t="n">
        <v>4</v>
      </c>
      <c r="E101" s="12" t="s">
        <v>22</v>
      </c>
      <c r="F101" s="12" t="n">
        <f aca="false">COUNTIFS('Existing vs Saran'!$J$5:$J$210,A101)</f>
        <v>4</v>
      </c>
      <c r="G101" s="32" t="n">
        <f aca="false">SUMIFS('Existing vs Saran'!$L$5:$L$210,'Existing vs Saran'!$J$5:$J$210,A101)</f>
        <v>236.38</v>
      </c>
      <c r="H101" s="12" t="n">
        <f aca="false">COUNTIFS('Existing vs Saran'!$N$5:$N$210,A101)</f>
        <v>3</v>
      </c>
      <c r="I101" s="32" t="n">
        <f aca="false">SUMIFS('Existing vs Saran'!$I$5:$I$210,'Existing vs Saran'!$N$5:$N$210,A101)</f>
        <v>181.65</v>
      </c>
      <c r="J101" s="32" t="n">
        <f aca="false">I101-G101</f>
        <v>-54.73</v>
      </c>
      <c r="K101" s="12" t="str">
        <f aca="false">IF(I101=0,"Tidak dipakai",IF(I101&gt;'Parameter &amp; Asumsi'!$B$8,"Berlebih",IF(I101&lt;100,"Ringan","Wajar")))</f>
        <v>Wajar</v>
      </c>
      <c r="L101" s="5"/>
    </row>
    <row r="102" customFormat="false" ht="15" hidden="false" customHeight="false" outlineLevel="0" collapsed="false">
      <c r="A102" s="12" t="n">
        <v>437</v>
      </c>
      <c r="B102" s="12" t="s">
        <v>476</v>
      </c>
      <c r="C102" s="12" t="s">
        <v>458</v>
      </c>
      <c r="D102" s="12" t="n">
        <v>4</v>
      </c>
      <c r="E102" s="12" t="s">
        <v>22</v>
      </c>
      <c r="F102" s="12" t="n">
        <f aca="false">COUNTIFS('Existing vs Saran'!$J$5:$J$210,A102)</f>
        <v>2</v>
      </c>
      <c r="G102" s="32" t="n">
        <f aca="false">SUMIFS('Existing vs Saran'!$L$5:$L$210,'Existing vs Saran'!$J$5:$J$210,A102)</f>
        <v>235.63</v>
      </c>
      <c r="H102" s="12" t="n">
        <f aca="false">COUNTIFS('Existing vs Saran'!$N$5:$N$210,A102)</f>
        <v>1</v>
      </c>
      <c r="I102" s="32" t="n">
        <f aca="false">SUMIFS('Existing vs Saran'!$I$5:$I$210,'Existing vs Saran'!$N$5:$N$210,A102)</f>
        <v>165.81</v>
      </c>
      <c r="J102" s="32" t="n">
        <f aca="false">I102-G102</f>
        <v>-69.82</v>
      </c>
      <c r="K102" s="12" t="str">
        <f aca="false">IF(I102=0,"Tidak dipakai",IF(I102&gt;'Parameter &amp; Asumsi'!$B$8,"Berlebih",IF(I102&lt;100,"Ringan","Wajar")))</f>
        <v>Wajar</v>
      </c>
      <c r="L102" s="5"/>
    </row>
    <row r="103" customFormat="false" ht="15" hidden="false" customHeight="false" outlineLevel="0" collapsed="false">
      <c r="A103" s="12" t="n">
        <v>438</v>
      </c>
      <c r="B103" s="12" t="s">
        <v>518</v>
      </c>
      <c r="C103" s="12" t="s">
        <v>458</v>
      </c>
      <c r="D103" s="12" t="n">
        <v>4</v>
      </c>
      <c r="E103" s="12" t="s">
        <v>22</v>
      </c>
      <c r="F103" s="12" t="n">
        <f aca="false">COUNTIFS('Existing vs Saran'!$J$5:$J$210,A103)</f>
        <v>3</v>
      </c>
      <c r="G103" s="32" t="n">
        <f aca="false">SUMIFS('Existing vs Saran'!$L$5:$L$210,'Existing vs Saran'!$J$5:$J$210,A103)</f>
        <v>263.99</v>
      </c>
      <c r="H103" s="12" t="n">
        <f aca="false">COUNTIFS('Existing vs Saran'!$N$5:$N$210,A103)</f>
        <v>3</v>
      </c>
      <c r="I103" s="32" t="n">
        <f aca="false">SUMIFS('Existing vs Saran'!$I$5:$I$210,'Existing vs Saran'!$N$5:$N$210,A103)</f>
        <v>217.83</v>
      </c>
      <c r="J103" s="32" t="n">
        <f aca="false">I103-G103</f>
        <v>-46.16</v>
      </c>
      <c r="K103" s="12" t="str">
        <f aca="false">IF(I103=0,"Tidak dipakai",IF(I103&gt;'Parameter &amp; Asumsi'!$B$8,"Berlebih",IF(I103&lt;100,"Ringan","Wajar")))</f>
        <v>Wajar</v>
      </c>
      <c r="L103" s="5"/>
    </row>
    <row r="104" customFormat="false" ht="15" hidden="false" customHeight="false" outlineLevel="0" collapsed="false">
      <c r="A104" s="12" t="n">
        <v>439</v>
      </c>
      <c r="B104" s="12" t="s">
        <v>477</v>
      </c>
      <c r="C104" s="12" t="s">
        <v>478</v>
      </c>
      <c r="D104" s="12" t="n">
        <v>4</v>
      </c>
      <c r="E104" s="12" t="s">
        <v>22</v>
      </c>
      <c r="F104" s="12" t="n">
        <f aca="false">COUNTIFS('Existing vs Saran'!$J$5:$J$210,A104)</f>
        <v>0</v>
      </c>
      <c r="G104" s="32" t="n">
        <f aca="false">SUMIFS('Existing vs Saran'!$L$5:$L$210,'Existing vs Saran'!$J$5:$J$210,A104)</f>
        <v>0</v>
      </c>
      <c r="H104" s="12" t="n">
        <f aca="false">COUNTIFS('Existing vs Saran'!$N$5:$N$210,A104)</f>
        <v>2</v>
      </c>
      <c r="I104" s="32" t="n">
        <f aca="false">SUMIFS('Existing vs Saran'!$I$5:$I$210,'Existing vs Saran'!$N$5:$N$210,A104)</f>
        <v>214.67</v>
      </c>
      <c r="J104" s="32" t="n">
        <f aca="false">I104-G104</f>
        <v>214.67</v>
      </c>
      <c r="K104" s="12" t="str">
        <f aca="false">IF(I104=0,"Tidak dipakai",IF(I104&gt;'Parameter &amp; Asumsi'!$B$8,"Berlebih",IF(I104&lt;100,"Ringan","Wajar")))</f>
        <v>Wajar</v>
      </c>
      <c r="L104" s="5"/>
    </row>
    <row r="105" customFormat="false" ht="15" hidden="false" customHeight="false" outlineLevel="0" collapsed="false">
      <c r="A105" s="12" t="n">
        <v>442</v>
      </c>
      <c r="B105" s="12" t="s">
        <v>484</v>
      </c>
      <c r="C105" s="12" t="s">
        <v>458</v>
      </c>
      <c r="D105" s="12" t="n">
        <v>4</v>
      </c>
      <c r="E105" s="12" t="s">
        <v>22</v>
      </c>
      <c r="F105" s="12" t="n">
        <f aca="false">COUNTIFS('Existing vs Saran'!$J$5:$J$210,A105)</f>
        <v>3</v>
      </c>
      <c r="G105" s="32" t="n">
        <f aca="false">SUMIFS('Existing vs Saran'!$L$5:$L$210,'Existing vs Saran'!$J$5:$J$210,A105)</f>
        <v>128.46</v>
      </c>
      <c r="H105" s="12" t="n">
        <f aca="false">COUNTIFS('Existing vs Saran'!$N$5:$N$210,A105)</f>
        <v>4</v>
      </c>
      <c r="I105" s="32" t="n">
        <f aca="false">SUMIFS('Existing vs Saran'!$I$5:$I$210,'Existing vs Saran'!$N$5:$N$210,A105)</f>
        <v>203.88</v>
      </c>
      <c r="J105" s="32" t="n">
        <f aca="false">I105-G105</f>
        <v>75.42</v>
      </c>
      <c r="K105" s="12" t="str">
        <f aca="false">IF(I105=0,"Tidak dipakai",IF(I105&gt;'Parameter &amp; Asumsi'!$B$8,"Berlebih",IF(I105&lt;100,"Ringan","Wajar")))</f>
        <v>Wajar</v>
      </c>
      <c r="L105" s="5"/>
    </row>
    <row r="106" customFormat="false" ht="15" hidden="false" customHeight="false" outlineLevel="0" collapsed="false">
      <c r="A106" s="12" t="n">
        <v>450</v>
      </c>
      <c r="B106" s="12" t="s">
        <v>519</v>
      </c>
      <c r="C106" s="12" t="s">
        <v>458</v>
      </c>
      <c r="D106" s="12" t="n">
        <v>4</v>
      </c>
      <c r="E106" s="12" t="s">
        <v>22</v>
      </c>
      <c r="F106" s="12" t="n">
        <f aca="false">COUNTIFS('Existing vs Saran'!$J$5:$J$210,A106)</f>
        <v>5</v>
      </c>
      <c r="G106" s="32" t="n">
        <f aca="false">SUMIFS('Existing vs Saran'!$L$5:$L$210,'Existing vs Saran'!$J$5:$J$210,A106)</f>
        <v>255.27</v>
      </c>
      <c r="H106" s="12" t="n">
        <f aca="false">COUNTIFS('Existing vs Saran'!$N$5:$N$210,A106)</f>
        <v>4</v>
      </c>
      <c r="I106" s="32" t="n">
        <f aca="false">SUMIFS('Existing vs Saran'!$I$5:$I$210,'Existing vs Saran'!$N$5:$N$210,A106)</f>
        <v>194.1</v>
      </c>
      <c r="J106" s="32" t="n">
        <f aca="false">I106-G106</f>
        <v>-61.17</v>
      </c>
      <c r="K106" s="12" t="str">
        <f aca="false">IF(I106=0,"Tidak dipakai",IF(I106&gt;'Parameter &amp; Asumsi'!$B$8,"Berlebih",IF(I106&lt;100,"Ringan","Wajar")))</f>
        <v>Wajar</v>
      </c>
      <c r="L106" s="5"/>
    </row>
    <row r="107" customFormat="false" ht="23.85" hidden="false" customHeight="false" outlineLevel="0" collapsed="false">
      <c r="A107" s="12" t="n">
        <v>457</v>
      </c>
      <c r="B107" s="12" t="s">
        <v>151</v>
      </c>
      <c r="C107" s="12" t="s">
        <v>472</v>
      </c>
      <c r="D107" s="12" t="n">
        <v>4</v>
      </c>
      <c r="E107" s="12"/>
      <c r="F107" s="12" t="n">
        <f aca="false">COUNTIFS('Existing vs Saran'!$J$5:$J$210,A107)</f>
        <v>0</v>
      </c>
      <c r="G107" s="32" t="n">
        <f aca="false">SUMIFS('Existing vs Saran'!$L$5:$L$210,'Existing vs Saran'!$J$5:$J$210,A107)</f>
        <v>0</v>
      </c>
      <c r="H107" s="12" t="n">
        <f aca="false">COUNTIFS('Existing vs Saran'!$N$5:$N$210,A107)</f>
        <v>1</v>
      </c>
      <c r="I107" s="32" t="n">
        <f aca="false">SUMIFS('Existing vs Saran'!$I$5:$I$210,'Existing vs Saran'!$N$5:$N$210,A107)</f>
        <v>120.59</v>
      </c>
      <c r="J107" s="32" t="n">
        <f aca="false">I107-G107</f>
        <v>120.59</v>
      </c>
      <c r="K107" s="12" t="str">
        <f aca="false">IF(I107=0,"Tidak dipakai",IF(I107&gt;'Parameter &amp; Asumsi'!$B$8,"Berlebih",IF(I107&lt;100,"Ringan","Wajar")))</f>
        <v>Wajar</v>
      </c>
      <c r="L107" s="5" t="s">
        <v>897</v>
      </c>
    </row>
  </sheetData>
  <autoFilter ref="A4:L107"/>
  <conditionalFormatting sqref="K5:K107">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919</v>
      </c>
    </row>
    <row r="2" customFormat="false" ht="15" hidden="false" customHeight="false" outlineLevel="0" collapsed="false">
      <c r="A2" s="2" t="s">
        <v>920</v>
      </c>
    </row>
    <row r="4" customFormat="false" ht="39.75" hidden="false" customHeight="true" outlineLevel="0" collapsed="false">
      <c r="A4" s="8" t="s">
        <v>921</v>
      </c>
      <c r="B4" s="8" t="s">
        <v>71</v>
      </c>
      <c r="C4" s="8" t="s">
        <v>922</v>
      </c>
      <c r="D4" s="8" t="s">
        <v>923</v>
      </c>
      <c r="E4" s="8" t="s">
        <v>891</v>
      </c>
      <c r="F4" s="8" t="s">
        <v>924</v>
      </c>
      <c r="G4" s="8" t="s">
        <v>925</v>
      </c>
      <c r="H4" s="8" t="s">
        <v>926</v>
      </c>
      <c r="I4" s="8" t="s">
        <v>927</v>
      </c>
      <c r="J4" s="8" t="s">
        <v>928</v>
      </c>
      <c r="K4" s="8" t="s">
        <v>929</v>
      </c>
      <c r="L4" s="8" t="s">
        <v>349</v>
      </c>
    </row>
    <row r="5" customFormat="false" ht="23.85" hidden="false" customHeight="false" outlineLevel="0" collapsed="false">
      <c r="A5" s="12" t="s">
        <v>918</v>
      </c>
      <c r="B5" s="12" t="n">
        <v>419</v>
      </c>
      <c r="C5" s="12" t="s">
        <v>930</v>
      </c>
      <c r="D5" s="5" t="n">
        <v>0</v>
      </c>
      <c r="E5" s="12" t="n">
        <v>0</v>
      </c>
      <c r="F5" s="12" t="s">
        <v>931</v>
      </c>
      <c r="G5" s="12" t="s">
        <v>931</v>
      </c>
      <c r="H5" s="12"/>
      <c r="I5" s="12" t="s">
        <v>931</v>
      </c>
      <c r="J5" s="12"/>
      <c r="K5" s="12" t="s">
        <v>931</v>
      </c>
      <c r="L5" s="5" t="s">
        <v>932</v>
      </c>
    </row>
    <row r="6" customFormat="false" ht="15" hidden="false" customHeight="false" outlineLevel="0" collapsed="false">
      <c r="A6" s="12" t="s">
        <v>643</v>
      </c>
      <c r="B6" s="12" t="n">
        <v>160</v>
      </c>
      <c r="C6" s="12" t="s">
        <v>930</v>
      </c>
      <c r="D6" s="5" t="n">
        <v>2</v>
      </c>
      <c r="E6" s="12" t="n">
        <v>311.3</v>
      </c>
      <c r="F6" s="12" t="s">
        <v>92</v>
      </c>
      <c r="G6" s="12" t="s">
        <v>933</v>
      </c>
      <c r="H6" s="12" t="n">
        <v>155.29</v>
      </c>
      <c r="I6" s="12" t="s">
        <v>93</v>
      </c>
      <c r="J6" s="13" t="n">
        <v>40.1180079545598</v>
      </c>
      <c r="K6" s="12" t="s">
        <v>472</v>
      </c>
      <c r="L6" s="5"/>
    </row>
    <row r="7" customFormat="false" ht="15" hidden="false" customHeight="false" outlineLevel="0" collapsed="false">
      <c r="A7" s="12" t="s">
        <v>643</v>
      </c>
      <c r="B7" s="12" t="n">
        <v>160</v>
      </c>
      <c r="C7" s="12" t="s">
        <v>930</v>
      </c>
      <c r="D7" s="5" t="n">
        <v>2</v>
      </c>
      <c r="E7" s="12" t="n">
        <v>311.3</v>
      </c>
      <c r="F7" s="12" t="s">
        <v>83</v>
      </c>
      <c r="G7" s="12" t="s">
        <v>933</v>
      </c>
      <c r="H7" s="12" t="n">
        <v>155.97</v>
      </c>
      <c r="I7" s="12" t="s">
        <v>84</v>
      </c>
      <c r="J7" s="13" t="n">
        <v>48.0319162846473</v>
      </c>
      <c r="K7" s="12" t="s">
        <v>472</v>
      </c>
      <c r="L7" s="5"/>
    </row>
    <row r="8" customFormat="false" ht="15" hidden="false" customHeight="false" outlineLevel="0" collapsed="false">
      <c r="A8" s="12" t="s">
        <v>755</v>
      </c>
      <c r="B8" s="12" t="n">
        <v>112</v>
      </c>
      <c r="C8" s="12" t="s">
        <v>930</v>
      </c>
      <c r="D8" s="5" t="n">
        <v>3</v>
      </c>
      <c r="E8" s="12" t="n">
        <v>136.8</v>
      </c>
      <c r="F8" s="12" t="s">
        <v>934</v>
      </c>
      <c r="G8" s="12" t="s">
        <v>935</v>
      </c>
      <c r="H8" s="12" t="n">
        <v>42.57</v>
      </c>
      <c r="I8" s="12" t="s">
        <v>489</v>
      </c>
      <c r="J8" s="13" t="n">
        <v>2.22000076706845</v>
      </c>
      <c r="K8" s="12" t="s">
        <v>490</v>
      </c>
      <c r="L8" s="5" t="s">
        <v>936</v>
      </c>
    </row>
    <row r="9" customFormat="false" ht="15" hidden="false" customHeight="false" outlineLevel="0" collapsed="false">
      <c r="A9" s="12" t="s">
        <v>755</v>
      </c>
      <c r="B9" s="12" t="n">
        <v>112</v>
      </c>
      <c r="C9" s="12" t="s">
        <v>930</v>
      </c>
      <c r="D9" s="5" t="n">
        <v>3</v>
      </c>
      <c r="E9" s="12" t="n">
        <v>136.8</v>
      </c>
      <c r="F9" s="12" t="s">
        <v>937</v>
      </c>
      <c r="G9" s="12" t="s">
        <v>935</v>
      </c>
      <c r="H9" s="12" t="n">
        <v>50.47</v>
      </c>
      <c r="I9" s="12" t="s">
        <v>489</v>
      </c>
      <c r="J9" s="13" t="n">
        <v>2.6548085723915</v>
      </c>
      <c r="K9" s="12" t="s">
        <v>490</v>
      </c>
      <c r="L9" s="5" t="s">
        <v>938</v>
      </c>
    </row>
    <row r="10" customFormat="false" ht="15" hidden="false" customHeight="false" outlineLevel="0" collapsed="false">
      <c r="A10" s="12" t="s">
        <v>755</v>
      </c>
      <c r="B10" s="12" t="n">
        <v>112</v>
      </c>
      <c r="C10" s="12" t="s">
        <v>930</v>
      </c>
      <c r="D10" s="5" t="n">
        <v>3</v>
      </c>
      <c r="E10" s="12" t="n">
        <v>136.8</v>
      </c>
      <c r="F10" s="12" t="s">
        <v>939</v>
      </c>
      <c r="G10" s="12" t="s">
        <v>935</v>
      </c>
      <c r="H10" s="12" t="n">
        <v>43.76</v>
      </c>
      <c r="I10" s="12" t="s">
        <v>489</v>
      </c>
      <c r="J10" s="13" t="n">
        <v>2.1506933331224</v>
      </c>
      <c r="K10" s="12" t="s">
        <v>490</v>
      </c>
      <c r="L10" s="5" t="s">
        <v>936</v>
      </c>
    </row>
    <row r="11" customFormat="false" ht="23.85" hidden="false" customHeight="false" outlineLevel="0" collapsed="false">
      <c r="A11" s="12" t="s">
        <v>911</v>
      </c>
      <c r="B11" s="12" t="n">
        <v>355</v>
      </c>
      <c r="C11" s="12" t="s">
        <v>930</v>
      </c>
      <c r="D11" s="5" t="n">
        <v>0</v>
      </c>
      <c r="E11" s="12" t="n">
        <v>0</v>
      </c>
      <c r="F11" s="12" t="s">
        <v>931</v>
      </c>
      <c r="G11" s="12" t="s">
        <v>931</v>
      </c>
      <c r="H11" s="12"/>
      <c r="I11" s="12" t="s">
        <v>931</v>
      </c>
      <c r="J11" s="12"/>
      <c r="K11" s="12" t="s">
        <v>931</v>
      </c>
      <c r="L11" s="5" t="s">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940</v>
      </c>
    </row>
    <row r="2" customFormat="false" ht="15" hidden="false" customHeight="false" outlineLevel="0" collapsed="false">
      <c r="A2" s="2" t="s">
        <v>941</v>
      </c>
    </row>
    <row r="4" customFormat="false" ht="39.75" hidden="false" customHeight="true" outlineLevel="0" collapsed="false">
      <c r="A4" s="8" t="s">
        <v>71</v>
      </c>
      <c r="B4" s="8" t="s">
        <v>304</v>
      </c>
      <c r="C4" s="8" t="s">
        <v>942</v>
      </c>
      <c r="D4" s="8" t="s">
        <v>943</v>
      </c>
      <c r="E4" s="8" t="s">
        <v>888</v>
      </c>
      <c r="F4" s="8" t="s">
        <v>14</v>
      </c>
      <c r="G4" s="8" t="s">
        <v>67</v>
      </c>
      <c r="H4" s="8" t="s">
        <v>74</v>
      </c>
      <c r="I4" s="8" t="s">
        <v>944</v>
      </c>
      <c r="J4" s="8" t="s">
        <v>945</v>
      </c>
      <c r="K4" s="8" t="s">
        <v>946</v>
      </c>
      <c r="L4" s="8" t="s">
        <v>922</v>
      </c>
      <c r="M4" s="8" t="s">
        <v>455</v>
      </c>
      <c r="N4" s="8" t="s">
        <v>76</v>
      </c>
      <c r="O4" s="8" t="s">
        <v>947</v>
      </c>
      <c r="P4" s="8" t="s">
        <v>948</v>
      </c>
    </row>
    <row r="5" customFormat="false" ht="15" hidden="false" customHeight="false" outlineLevel="0" collapsed="false">
      <c r="A5" s="12" t="n">
        <v>145</v>
      </c>
      <c r="B5" s="12" t="s">
        <v>506</v>
      </c>
      <c r="C5" s="12" t="s">
        <v>949</v>
      </c>
      <c r="D5" s="12" t="s">
        <v>950</v>
      </c>
      <c r="E5" s="12" t="n">
        <v>5</v>
      </c>
      <c r="F5" s="12" t="s">
        <v>905</v>
      </c>
      <c r="G5" s="12" t="s">
        <v>951</v>
      </c>
      <c r="H5" s="12" t="s">
        <v>94</v>
      </c>
      <c r="I5" s="12" t="s">
        <v>314</v>
      </c>
      <c r="J5" s="12"/>
      <c r="K5" s="12"/>
      <c r="L5" s="5" t="s">
        <v>952</v>
      </c>
      <c r="M5" s="33" t="n">
        <f aca="false">SUMIFS('Existing vs Saran'!$I$5:$I$210,'Existing vs Saran'!$N$5:$N$210,A5)</f>
        <v>127.5</v>
      </c>
      <c r="N5" s="12" t="s">
        <v>953</v>
      </c>
      <c r="O5" s="5" t="s">
        <v>954</v>
      </c>
      <c r="P5" s="12"/>
    </row>
    <row r="6" customFormat="false" ht="15" hidden="false" customHeight="false" outlineLevel="0" collapsed="false">
      <c r="A6" s="12" t="n">
        <v>269</v>
      </c>
      <c r="B6" s="12" t="s">
        <v>513</v>
      </c>
      <c r="C6" s="12" t="s">
        <v>949</v>
      </c>
      <c r="D6" s="12" t="s">
        <v>950</v>
      </c>
      <c r="E6" s="12" t="n">
        <v>5</v>
      </c>
      <c r="F6" s="12" t="s">
        <v>351</v>
      </c>
      <c r="G6" s="12" t="s">
        <v>777</v>
      </c>
      <c r="H6" s="12" t="s">
        <v>106</v>
      </c>
      <c r="I6" s="12" t="s">
        <v>314</v>
      </c>
      <c r="J6" s="12"/>
      <c r="K6" s="12"/>
      <c r="L6" s="5"/>
      <c r="M6" s="33" t="n">
        <f aca="false">SUMIFS('Existing vs Saran'!$I$5:$I$210,'Existing vs Saran'!$N$5:$N$210,A6)</f>
        <v>104.77</v>
      </c>
      <c r="N6" s="12" t="s">
        <v>955</v>
      </c>
      <c r="O6" s="5" t="s">
        <v>956</v>
      </c>
      <c r="P6" s="12"/>
    </row>
    <row r="7" customFormat="false" ht="15" hidden="false" customHeight="false" outlineLevel="0" collapsed="false">
      <c r="A7" s="12" t="n">
        <v>319</v>
      </c>
      <c r="B7" s="12" t="s">
        <v>497</v>
      </c>
      <c r="C7" s="12" t="s">
        <v>949</v>
      </c>
      <c r="D7" s="12" t="s">
        <v>950</v>
      </c>
      <c r="E7" s="12" t="n">
        <v>4</v>
      </c>
      <c r="F7" s="12" t="s">
        <v>356</v>
      </c>
      <c r="G7" s="12" t="s">
        <v>957</v>
      </c>
      <c r="H7" s="12" t="s">
        <v>94</v>
      </c>
      <c r="I7" s="12" t="s">
        <v>314</v>
      </c>
      <c r="J7" s="12"/>
      <c r="K7" s="12"/>
      <c r="L7" s="5"/>
      <c r="M7" s="33" t="n">
        <f aca="false">SUMIFS('Existing vs Saran'!$I$5:$I$210,'Existing vs Saran'!$N$5:$N$210,A7)</f>
        <v>154.27</v>
      </c>
      <c r="N7" s="12" t="s">
        <v>958</v>
      </c>
      <c r="O7" s="5" t="s">
        <v>959</v>
      </c>
      <c r="P7" s="12"/>
    </row>
    <row r="8" customFormat="false" ht="23.85" hidden="false" customHeight="false" outlineLevel="0" collapsed="false">
      <c r="A8" s="12" t="n">
        <v>277</v>
      </c>
      <c r="B8" s="12" t="s">
        <v>514</v>
      </c>
      <c r="C8" s="12" t="s">
        <v>949</v>
      </c>
      <c r="D8" s="12" t="s">
        <v>950</v>
      </c>
      <c r="E8" s="12" t="n">
        <v>5</v>
      </c>
      <c r="F8" s="12" t="s">
        <v>351</v>
      </c>
      <c r="G8" s="12" t="s">
        <v>960</v>
      </c>
      <c r="H8" s="12" t="s">
        <v>85</v>
      </c>
      <c r="I8" s="12" t="s">
        <v>314</v>
      </c>
      <c r="J8" s="12"/>
      <c r="K8" s="12"/>
      <c r="L8" s="5" t="s">
        <v>952</v>
      </c>
      <c r="M8" s="33" t="n">
        <f aca="false">SUMIFS('Existing vs Saran'!$I$5:$I$210,'Existing vs Saran'!$N$5:$N$210,A8)</f>
        <v>163.28</v>
      </c>
      <c r="N8" s="12" t="s">
        <v>961</v>
      </c>
      <c r="O8" s="5" t="s">
        <v>962</v>
      </c>
      <c r="P8" s="12"/>
    </row>
    <row r="9" customFormat="false" ht="15" hidden="false" customHeight="false" outlineLevel="0" collapsed="false">
      <c r="A9" s="12" t="n">
        <v>439</v>
      </c>
      <c r="B9" s="12" t="s">
        <v>477</v>
      </c>
      <c r="C9" s="12" t="s">
        <v>949</v>
      </c>
      <c r="D9" s="12" t="s">
        <v>950</v>
      </c>
      <c r="E9" s="12" t="n">
        <v>4</v>
      </c>
      <c r="F9" s="12" t="s">
        <v>22</v>
      </c>
      <c r="G9" s="12" t="s">
        <v>803</v>
      </c>
      <c r="H9" s="12" t="s">
        <v>94</v>
      </c>
      <c r="I9" s="12" t="s">
        <v>314</v>
      </c>
      <c r="J9" s="12"/>
      <c r="K9" s="12"/>
      <c r="L9" s="5"/>
      <c r="M9" s="33" t="n">
        <f aca="false">SUMIFS('Existing vs Saran'!$I$5:$I$210,'Existing vs Saran'!$N$5:$N$210,A9)</f>
        <v>214.67</v>
      </c>
      <c r="N9" s="12" t="s">
        <v>963</v>
      </c>
      <c r="O9" s="5" t="s">
        <v>964</v>
      </c>
      <c r="P9" s="12"/>
    </row>
    <row r="10" customFormat="false" ht="23.85" hidden="false" customHeight="false" outlineLevel="0" collapsed="false">
      <c r="A10" s="12" t="n">
        <v>116</v>
      </c>
      <c r="B10" s="12" t="s">
        <v>487</v>
      </c>
      <c r="C10" s="12" t="s">
        <v>949</v>
      </c>
      <c r="D10" s="12" t="s">
        <v>950</v>
      </c>
      <c r="E10" s="12" t="n">
        <v>4</v>
      </c>
      <c r="F10" s="12" t="s">
        <v>379</v>
      </c>
      <c r="G10" s="12" t="s">
        <v>585</v>
      </c>
      <c r="H10" s="12" t="s">
        <v>106</v>
      </c>
      <c r="I10" s="12" t="s">
        <v>314</v>
      </c>
      <c r="J10" s="12"/>
      <c r="K10" s="12"/>
      <c r="L10" s="5" t="s">
        <v>952</v>
      </c>
      <c r="M10" s="33" t="n">
        <f aca="false">SUMIFS('Existing vs Saran'!$I$5:$I$210,'Existing vs Saran'!$N$5:$N$210,A10)</f>
        <v>155.61</v>
      </c>
      <c r="N10" s="12" t="s">
        <v>965</v>
      </c>
      <c r="O10" s="5" t="s">
        <v>966</v>
      </c>
      <c r="P10" s="12"/>
    </row>
    <row r="11" customFormat="false" ht="15" hidden="false" customHeight="false" outlineLevel="0" collapsed="false">
      <c r="A11" s="12" t="n">
        <v>156</v>
      </c>
      <c r="B11" s="12" t="s">
        <v>501</v>
      </c>
      <c r="C11" s="12" t="s">
        <v>949</v>
      </c>
      <c r="D11" s="12" t="s">
        <v>950</v>
      </c>
      <c r="E11" s="12" t="n">
        <v>5</v>
      </c>
      <c r="F11" s="12" t="s">
        <v>905</v>
      </c>
      <c r="G11" s="12" t="s">
        <v>967</v>
      </c>
      <c r="H11" s="12" t="s">
        <v>94</v>
      </c>
      <c r="I11" s="12" t="s">
        <v>314</v>
      </c>
      <c r="J11" s="12"/>
      <c r="K11" s="12"/>
      <c r="L11" s="5"/>
      <c r="M11" s="33" t="n">
        <f aca="false">SUMIFS('Existing vs Saran'!$I$5:$I$210,'Existing vs Saran'!$N$5:$N$210,A11)</f>
        <v>127.57</v>
      </c>
      <c r="N11" s="12" t="s">
        <v>968</v>
      </c>
      <c r="O11" s="5" t="s">
        <v>954</v>
      </c>
      <c r="P11" s="12"/>
    </row>
    <row r="12" customFormat="false" ht="15" hidden="false" customHeight="false" outlineLevel="0" collapsed="false">
      <c r="A12" s="12" t="n">
        <v>409</v>
      </c>
      <c r="B12" s="12" t="s">
        <v>520</v>
      </c>
      <c r="C12" s="12" t="s">
        <v>949</v>
      </c>
      <c r="D12" s="12" t="s">
        <v>969</v>
      </c>
      <c r="E12" s="12" t="n">
        <v>3</v>
      </c>
      <c r="F12" s="12" t="s">
        <v>22</v>
      </c>
      <c r="G12" s="12" t="s">
        <v>970</v>
      </c>
      <c r="H12" s="12" t="s">
        <v>94</v>
      </c>
      <c r="I12" s="12" t="s">
        <v>314</v>
      </c>
      <c r="J12" s="12"/>
      <c r="K12" s="12"/>
      <c r="L12" s="5"/>
      <c r="M12" s="33" t="n">
        <f aca="false">SUMIFS('Existing vs Saran'!$I$5:$I$210,'Existing vs Saran'!$N$5:$N$210,A12)</f>
        <v>197</v>
      </c>
      <c r="N12" s="12" t="s">
        <v>971</v>
      </c>
      <c r="O12" s="5" t="s">
        <v>972</v>
      </c>
      <c r="P12" s="12"/>
    </row>
    <row r="13" customFormat="false" ht="15" hidden="false" customHeight="false" outlineLevel="0" collapsed="false">
      <c r="A13" s="12" t="n">
        <v>174</v>
      </c>
      <c r="B13" s="12" t="s">
        <v>495</v>
      </c>
      <c r="C13" s="12" t="s">
        <v>949</v>
      </c>
      <c r="D13" s="12" t="s">
        <v>969</v>
      </c>
      <c r="E13" s="12" t="n">
        <v>4</v>
      </c>
      <c r="F13" s="12" t="s">
        <v>20</v>
      </c>
      <c r="G13" s="12" t="s">
        <v>707</v>
      </c>
      <c r="H13" s="12" t="s">
        <v>94</v>
      </c>
      <c r="I13" s="12" t="s">
        <v>314</v>
      </c>
      <c r="J13" s="12"/>
      <c r="K13" s="12"/>
      <c r="L13" s="5"/>
      <c r="M13" s="33" t="n">
        <f aca="false">SUMIFS('Existing vs Saran'!$I$5:$I$210,'Existing vs Saran'!$N$5:$N$210,A13)</f>
        <v>166.26</v>
      </c>
      <c r="N13" s="12" t="s">
        <v>973</v>
      </c>
      <c r="O13" s="5" t="s">
        <v>974</v>
      </c>
      <c r="P13" s="12"/>
    </row>
    <row r="14" customFormat="false" ht="15" hidden="false" customHeight="false" outlineLevel="0" collapsed="false">
      <c r="A14" s="12" t="n">
        <v>158</v>
      </c>
      <c r="B14" s="12" t="s">
        <v>480</v>
      </c>
      <c r="C14" s="12" t="s">
        <v>949</v>
      </c>
      <c r="D14" s="12" t="s">
        <v>969</v>
      </c>
      <c r="E14" s="12" t="n">
        <v>5</v>
      </c>
      <c r="F14" s="12" t="s">
        <v>18</v>
      </c>
      <c r="G14" s="12" t="s">
        <v>116</v>
      </c>
      <c r="H14" s="12" t="s">
        <v>94</v>
      </c>
      <c r="I14" s="12" t="s">
        <v>314</v>
      </c>
      <c r="J14" s="12"/>
      <c r="K14" s="12"/>
      <c r="L14" s="5"/>
      <c r="M14" s="33" t="n">
        <f aca="false">SUMIFS('Existing vs Saran'!$I$5:$I$210,'Existing vs Saran'!$N$5:$N$210,A14)</f>
        <v>209.81</v>
      </c>
      <c r="N14" s="12" t="s">
        <v>975</v>
      </c>
      <c r="O14" s="5" t="s">
        <v>954</v>
      </c>
      <c r="P14" s="12"/>
    </row>
    <row r="15" customFormat="false" ht="23.85" hidden="false" customHeight="false" outlineLevel="0" collapsed="false">
      <c r="A15" s="12" t="n">
        <v>74</v>
      </c>
      <c r="B15" s="12" t="s">
        <v>468</v>
      </c>
      <c r="C15" s="12" t="s">
        <v>949</v>
      </c>
      <c r="D15" s="12" t="s">
        <v>969</v>
      </c>
      <c r="E15" s="12" t="n">
        <v>5</v>
      </c>
      <c r="F15" s="12" t="s">
        <v>379</v>
      </c>
      <c r="G15" s="12" t="s">
        <v>613</v>
      </c>
      <c r="H15" s="12" t="s">
        <v>94</v>
      </c>
      <c r="I15" s="12" t="s">
        <v>314</v>
      </c>
      <c r="J15" s="12"/>
      <c r="K15" s="12"/>
      <c r="L15" s="5"/>
      <c r="M15" s="33" t="n">
        <f aca="false">SUMIFS('Existing vs Saran'!$I$5:$I$210,'Existing vs Saran'!$N$5:$N$210,A15)</f>
        <v>146.14</v>
      </c>
      <c r="N15" s="12" t="s">
        <v>976</v>
      </c>
      <c r="O15" s="5" t="s">
        <v>977</v>
      </c>
      <c r="P15" s="12"/>
    </row>
    <row r="16" customFormat="false" ht="23.85" hidden="false" customHeight="false" outlineLevel="0" collapsed="false">
      <c r="A16" s="12" t="n">
        <v>416</v>
      </c>
      <c r="B16" s="12" t="s">
        <v>526</v>
      </c>
      <c r="C16" s="12" t="s">
        <v>949</v>
      </c>
      <c r="D16" s="12" t="s">
        <v>969</v>
      </c>
      <c r="E16" s="12" t="n">
        <v>3</v>
      </c>
      <c r="F16" s="12" t="s">
        <v>22</v>
      </c>
      <c r="G16" s="12" t="s">
        <v>209</v>
      </c>
      <c r="H16" s="12" t="s">
        <v>94</v>
      </c>
      <c r="I16" s="12" t="s">
        <v>314</v>
      </c>
      <c r="J16" s="12"/>
      <c r="K16" s="12"/>
      <c r="L16" s="5"/>
      <c r="M16" s="33" t="n">
        <f aca="false">SUMIFS('Existing vs Saran'!$I$5:$I$210,'Existing vs Saran'!$N$5:$N$210,A16)</f>
        <v>218.39</v>
      </c>
      <c r="N16" s="12" t="s">
        <v>978</v>
      </c>
      <c r="O16" s="5" t="s">
        <v>979</v>
      </c>
      <c r="P16" s="12"/>
    </row>
    <row r="17" customFormat="false" ht="15" hidden="false" customHeight="false" outlineLevel="0" collapsed="false">
      <c r="A17" s="12" t="n">
        <v>179</v>
      </c>
      <c r="B17" s="12" t="s">
        <v>485</v>
      </c>
      <c r="C17" s="12" t="s">
        <v>949</v>
      </c>
      <c r="D17" s="12" t="s">
        <v>969</v>
      </c>
      <c r="E17" s="12" t="n">
        <v>3</v>
      </c>
      <c r="F17" s="12" t="s">
        <v>20</v>
      </c>
      <c r="G17" s="12" t="s">
        <v>687</v>
      </c>
      <c r="H17" s="12" t="s">
        <v>94</v>
      </c>
      <c r="I17" s="12" t="s">
        <v>314</v>
      </c>
      <c r="J17" s="12"/>
      <c r="K17" s="12"/>
      <c r="L17" s="5"/>
      <c r="M17" s="33" t="n">
        <f aca="false">SUMIFS('Existing vs Saran'!$I$5:$I$210,'Existing vs Saran'!$N$5:$N$210,A17)</f>
        <v>151.94</v>
      </c>
      <c r="N17" s="12" t="s">
        <v>980</v>
      </c>
      <c r="O17" s="5" t="s">
        <v>981</v>
      </c>
      <c r="P17" s="12"/>
    </row>
    <row r="18" customFormat="false" ht="23.85" hidden="false" customHeight="false" outlineLevel="0" collapsed="false">
      <c r="A18" s="12" t="n">
        <v>78</v>
      </c>
      <c r="B18" s="12" t="s">
        <v>486</v>
      </c>
      <c r="C18" s="12" t="s">
        <v>949</v>
      </c>
      <c r="D18" s="12" t="s">
        <v>969</v>
      </c>
      <c r="E18" s="12" t="n">
        <v>5</v>
      </c>
      <c r="F18" s="12" t="s">
        <v>379</v>
      </c>
      <c r="G18" s="12" t="s">
        <v>982</v>
      </c>
      <c r="H18" s="12" t="s">
        <v>94</v>
      </c>
      <c r="I18" s="12" t="s">
        <v>314</v>
      </c>
      <c r="J18" s="12"/>
      <c r="K18" s="12"/>
      <c r="L18" s="5" t="s">
        <v>952</v>
      </c>
      <c r="M18" s="33" t="n">
        <f aca="false">SUMIFS('Existing vs Saran'!$I$5:$I$210,'Existing vs Saran'!$N$5:$N$210,A18)</f>
        <v>204.54</v>
      </c>
      <c r="N18" s="12" t="s">
        <v>983</v>
      </c>
      <c r="O18" s="5" t="s">
        <v>984</v>
      </c>
      <c r="P18" s="12"/>
    </row>
    <row r="19" customFormat="false" ht="15" hidden="false" customHeight="false" outlineLevel="0" collapsed="false">
      <c r="A19" s="12" t="n">
        <v>420</v>
      </c>
      <c r="B19" s="12" t="s">
        <v>482</v>
      </c>
      <c r="C19" s="12" t="s">
        <v>949</v>
      </c>
      <c r="D19" s="12" t="s">
        <v>969</v>
      </c>
      <c r="E19" s="12" t="n">
        <v>4</v>
      </c>
      <c r="F19" s="12" t="s">
        <v>22</v>
      </c>
      <c r="G19" s="12" t="s">
        <v>803</v>
      </c>
      <c r="H19" s="12" t="s">
        <v>94</v>
      </c>
      <c r="I19" s="12" t="s">
        <v>314</v>
      </c>
      <c r="J19" s="12"/>
      <c r="K19" s="12"/>
      <c r="L19" s="5"/>
      <c r="M19" s="33" t="n">
        <f aca="false">SUMIFS('Existing vs Saran'!$I$5:$I$210,'Existing vs Saran'!$N$5:$N$210,A19)</f>
        <v>198.94</v>
      </c>
      <c r="N19" s="12" t="s">
        <v>985</v>
      </c>
      <c r="O19" s="5" t="s">
        <v>986</v>
      </c>
      <c r="P19" s="12"/>
    </row>
    <row r="20" customFormat="false" ht="15" hidden="false" customHeight="false" outlineLevel="0" collapsed="false">
      <c r="A20" s="12" t="n">
        <v>181</v>
      </c>
      <c r="B20" s="12" t="s">
        <v>491</v>
      </c>
      <c r="C20" s="12" t="s">
        <v>949</v>
      </c>
      <c r="D20" s="12" t="s">
        <v>969</v>
      </c>
      <c r="E20" s="12" t="n">
        <v>4</v>
      </c>
      <c r="F20" s="12" t="s">
        <v>20</v>
      </c>
      <c r="G20" s="12" t="s">
        <v>707</v>
      </c>
      <c r="H20" s="12" t="s">
        <v>94</v>
      </c>
      <c r="I20" s="12" t="s">
        <v>314</v>
      </c>
      <c r="J20" s="12"/>
      <c r="K20" s="12"/>
      <c r="L20" s="5"/>
      <c r="M20" s="33" t="n">
        <f aca="false">SUMIFS('Existing vs Saran'!$I$5:$I$210,'Existing vs Saran'!$N$5:$N$210,A20)</f>
        <v>144.3</v>
      </c>
      <c r="N20" s="12" t="s">
        <v>987</v>
      </c>
      <c r="O20" s="5" t="s">
        <v>988</v>
      </c>
      <c r="P20" s="12"/>
    </row>
    <row r="21" customFormat="false" ht="23.85" hidden="false" customHeight="false" outlineLevel="0" collapsed="false">
      <c r="A21" s="12" t="n">
        <v>82</v>
      </c>
      <c r="B21" s="12" t="s">
        <v>492</v>
      </c>
      <c r="C21" s="12" t="s">
        <v>949</v>
      </c>
      <c r="D21" s="12" t="s">
        <v>969</v>
      </c>
      <c r="E21" s="12" t="n">
        <v>4</v>
      </c>
      <c r="F21" s="12" t="s">
        <v>379</v>
      </c>
      <c r="G21" s="12" t="s">
        <v>585</v>
      </c>
      <c r="H21" s="12" t="s">
        <v>94</v>
      </c>
      <c r="I21" s="12" t="s">
        <v>314</v>
      </c>
      <c r="J21" s="12"/>
      <c r="K21" s="12"/>
      <c r="L21" s="5" t="s">
        <v>952</v>
      </c>
      <c r="M21" s="33" t="n">
        <f aca="false">SUMIFS('Existing vs Saran'!$I$5:$I$210,'Existing vs Saran'!$N$5:$N$210,A21)</f>
        <v>185.32</v>
      </c>
      <c r="N21" s="12" t="s">
        <v>989</v>
      </c>
      <c r="O21" s="5" t="s">
        <v>990</v>
      </c>
      <c r="P21" s="12"/>
    </row>
    <row r="22" customFormat="false" ht="15" hidden="false" customHeight="false" outlineLevel="0" collapsed="false">
      <c r="A22" s="12" t="n">
        <v>83</v>
      </c>
      <c r="B22" s="12" t="s">
        <v>457</v>
      </c>
      <c r="C22" s="12" t="s">
        <v>949</v>
      </c>
      <c r="D22" s="12" t="s">
        <v>969</v>
      </c>
      <c r="E22" s="12" t="n">
        <v>4</v>
      </c>
      <c r="F22" s="12" t="s">
        <v>379</v>
      </c>
      <c r="G22" s="12" t="s">
        <v>571</v>
      </c>
      <c r="H22" s="12" t="s">
        <v>94</v>
      </c>
      <c r="I22" s="12" t="s">
        <v>314</v>
      </c>
      <c r="J22" s="12"/>
      <c r="K22" s="12"/>
      <c r="L22" s="5"/>
      <c r="M22" s="33" t="n">
        <f aca="false">SUMIFS('Existing vs Saran'!$I$5:$I$210,'Existing vs Saran'!$N$5:$N$210,A22)</f>
        <v>86.03</v>
      </c>
      <c r="N22" s="12" t="s">
        <v>991</v>
      </c>
      <c r="O22" s="5" t="s">
        <v>992</v>
      </c>
      <c r="P22" s="12"/>
    </row>
    <row r="23" customFormat="false" ht="15" hidden="false" customHeight="false" outlineLevel="0" collapsed="false">
      <c r="A23" s="12" t="n">
        <v>184</v>
      </c>
      <c r="B23" s="12" t="s">
        <v>507</v>
      </c>
      <c r="C23" s="12" t="s">
        <v>949</v>
      </c>
      <c r="D23" s="12" t="s">
        <v>969</v>
      </c>
      <c r="E23" s="12" t="n">
        <v>4</v>
      </c>
      <c r="F23" s="12" t="s">
        <v>20</v>
      </c>
      <c r="G23" s="12" t="s">
        <v>139</v>
      </c>
      <c r="H23" s="12" t="s">
        <v>94</v>
      </c>
      <c r="I23" s="12" t="s">
        <v>314</v>
      </c>
      <c r="J23" s="12"/>
      <c r="K23" s="12"/>
      <c r="L23" s="5"/>
      <c r="M23" s="33" t="n">
        <f aca="false">SUMIFS('Existing vs Saran'!$I$5:$I$210,'Existing vs Saran'!$N$5:$N$210,A23)</f>
        <v>116.27</v>
      </c>
      <c r="N23" s="12" t="s">
        <v>993</v>
      </c>
      <c r="O23" s="5" t="s">
        <v>994</v>
      </c>
      <c r="P23" s="12"/>
    </row>
    <row r="24" customFormat="false" ht="15" hidden="false" customHeight="false" outlineLevel="0" collapsed="false">
      <c r="A24" s="12" t="n">
        <v>342</v>
      </c>
      <c r="B24" s="12" t="s">
        <v>511</v>
      </c>
      <c r="C24" s="12" t="s">
        <v>949</v>
      </c>
      <c r="D24" s="12" t="s">
        <v>969</v>
      </c>
      <c r="E24" s="12" t="n">
        <v>5</v>
      </c>
      <c r="F24" s="12" t="s">
        <v>797</v>
      </c>
      <c r="G24" s="12" t="s">
        <v>995</v>
      </c>
      <c r="H24" s="12" t="s">
        <v>94</v>
      </c>
      <c r="I24" s="12" t="s">
        <v>314</v>
      </c>
      <c r="J24" s="12"/>
      <c r="K24" s="12"/>
      <c r="L24" s="5"/>
      <c r="M24" s="33" t="n">
        <f aca="false">SUMIFS('Existing vs Saran'!$I$5:$I$210,'Existing vs Saran'!$N$5:$N$210,A24)</f>
        <v>52.92</v>
      </c>
      <c r="N24" s="12" t="s">
        <v>996</v>
      </c>
      <c r="O24" s="5" t="s">
        <v>956</v>
      </c>
      <c r="P24" s="12"/>
    </row>
    <row r="25" customFormat="false" ht="15" hidden="false" customHeight="false" outlineLevel="0" collapsed="false">
      <c r="A25" s="12" t="n">
        <v>22</v>
      </c>
      <c r="B25" s="12" t="s">
        <v>496</v>
      </c>
      <c r="C25" s="12" t="s">
        <v>949</v>
      </c>
      <c r="D25" s="12" t="s">
        <v>969</v>
      </c>
      <c r="E25" s="12" t="n">
        <v>5</v>
      </c>
      <c r="F25" s="12" t="s">
        <v>354</v>
      </c>
      <c r="G25" s="12" t="s">
        <v>997</v>
      </c>
      <c r="H25" s="12" t="s">
        <v>94</v>
      </c>
      <c r="I25" s="12" t="s">
        <v>314</v>
      </c>
      <c r="J25" s="12"/>
      <c r="K25" s="12"/>
      <c r="L25" s="5" t="s">
        <v>952</v>
      </c>
      <c r="M25" s="33" t="n">
        <f aca="false">SUMIFS('Existing vs Saran'!$I$5:$I$210,'Existing vs Saran'!$N$5:$N$210,A25)</f>
        <v>105.26</v>
      </c>
      <c r="N25" s="12" t="s">
        <v>998</v>
      </c>
      <c r="O25" s="5" t="s">
        <v>999</v>
      </c>
      <c r="P25" s="12"/>
    </row>
    <row r="26" customFormat="false" ht="15" hidden="false" customHeight="false" outlineLevel="0" collapsed="false">
      <c r="A26" s="12" t="n">
        <v>185</v>
      </c>
      <c r="B26" s="12" t="s">
        <v>502</v>
      </c>
      <c r="C26" s="12" t="s">
        <v>949</v>
      </c>
      <c r="D26" s="12" t="s">
        <v>969</v>
      </c>
      <c r="E26" s="12" t="n">
        <v>3</v>
      </c>
      <c r="F26" s="12" t="s">
        <v>20</v>
      </c>
      <c r="G26" s="12" t="s">
        <v>1000</v>
      </c>
      <c r="H26" s="12" t="s">
        <v>94</v>
      </c>
      <c r="I26" s="12" t="s">
        <v>314</v>
      </c>
      <c r="J26" s="12"/>
      <c r="K26" s="12"/>
      <c r="L26" s="5"/>
      <c r="M26" s="33" t="n">
        <f aca="false">SUMIFS('Existing vs Saran'!$I$5:$I$210,'Existing vs Saran'!$N$5:$N$210,A26)</f>
        <v>138.59</v>
      </c>
      <c r="N26" s="12" t="s">
        <v>1001</v>
      </c>
      <c r="O26" s="5" t="s">
        <v>1002</v>
      </c>
      <c r="P26" s="12"/>
    </row>
    <row r="27" customFormat="false" ht="15" hidden="false" customHeight="false" outlineLevel="0" collapsed="false">
      <c r="A27" s="12" t="n">
        <v>49</v>
      </c>
      <c r="B27" s="12" t="s">
        <v>459</v>
      </c>
      <c r="C27" s="12" t="s">
        <v>949</v>
      </c>
      <c r="D27" s="12" t="s">
        <v>969</v>
      </c>
      <c r="E27" s="12" t="n">
        <v>4</v>
      </c>
      <c r="F27" s="12" t="s">
        <v>548</v>
      </c>
      <c r="G27" s="12" t="s">
        <v>549</v>
      </c>
      <c r="H27" s="12" t="s">
        <v>94</v>
      </c>
      <c r="I27" s="12" t="s">
        <v>314</v>
      </c>
      <c r="J27" s="12"/>
      <c r="K27" s="12"/>
      <c r="L27" s="5" t="s">
        <v>952</v>
      </c>
      <c r="M27" s="33" t="n">
        <f aca="false">SUMIFS('Existing vs Saran'!$I$5:$I$210,'Existing vs Saran'!$N$5:$N$210,A27)</f>
        <v>145.52</v>
      </c>
      <c r="N27" s="12" t="s">
        <v>1003</v>
      </c>
      <c r="O27" s="5" t="s">
        <v>956</v>
      </c>
      <c r="P27" s="12"/>
    </row>
    <row r="28" customFormat="false" ht="15" hidden="false" customHeight="false" outlineLevel="0" collapsed="false">
      <c r="A28" s="12" t="n">
        <v>390</v>
      </c>
      <c r="B28" s="12" t="s">
        <v>527</v>
      </c>
      <c r="C28" s="12" t="s">
        <v>949</v>
      </c>
      <c r="D28" s="12" t="s">
        <v>969</v>
      </c>
      <c r="E28" s="12" t="n">
        <v>5</v>
      </c>
      <c r="F28" s="12" t="s">
        <v>917</v>
      </c>
      <c r="G28" s="12" t="s">
        <v>1004</v>
      </c>
      <c r="H28" s="12" t="s">
        <v>94</v>
      </c>
      <c r="I28" s="12" t="s">
        <v>314</v>
      </c>
      <c r="J28" s="12"/>
      <c r="K28" s="12"/>
      <c r="L28" s="5"/>
      <c r="M28" s="33" t="n">
        <f aca="false">SUMIFS('Existing vs Saran'!$I$5:$I$210,'Existing vs Saran'!$N$5:$N$210,A28)</f>
        <v>213.44</v>
      </c>
      <c r="N28" s="12" t="s">
        <v>1005</v>
      </c>
      <c r="O28" s="5" t="s">
        <v>954</v>
      </c>
      <c r="P28" s="12"/>
    </row>
    <row r="29" customFormat="false" ht="23.85" hidden="false" customHeight="false" outlineLevel="0" collapsed="false">
      <c r="A29" s="12" t="n">
        <v>188</v>
      </c>
      <c r="B29" s="12" t="s">
        <v>516</v>
      </c>
      <c r="C29" s="12" t="s">
        <v>949</v>
      </c>
      <c r="D29" s="12" t="s">
        <v>969</v>
      </c>
      <c r="E29" s="12" t="n">
        <v>2</v>
      </c>
      <c r="F29" s="12" t="s">
        <v>20</v>
      </c>
      <c r="G29" s="12" t="s">
        <v>1006</v>
      </c>
      <c r="H29" s="12" t="s">
        <v>94</v>
      </c>
      <c r="I29" s="12" t="s">
        <v>314</v>
      </c>
      <c r="J29" s="12"/>
      <c r="K29" s="12"/>
      <c r="L29" s="5"/>
      <c r="M29" s="33" t="n">
        <f aca="false">SUMIFS('Existing vs Saran'!$I$5:$I$210,'Existing vs Saran'!$N$5:$N$210,A29)</f>
        <v>215.35</v>
      </c>
      <c r="N29" s="12" t="s">
        <v>1007</v>
      </c>
      <c r="O29" s="5" t="s">
        <v>1008</v>
      </c>
      <c r="P29" s="12"/>
    </row>
    <row r="30" customFormat="false" ht="15" hidden="false" customHeight="false" outlineLevel="0" collapsed="false">
      <c r="A30" s="12" t="n">
        <v>190</v>
      </c>
      <c r="B30" s="12" t="s">
        <v>500</v>
      </c>
      <c r="C30" s="12" t="s">
        <v>949</v>
      </c>
      <c r="D30" s="12" t="s">
        <v>969</v>
      </c>
      <c r="E30" s="12" t="n">
        <v>3</v>
      </c>
      <c r="F30" s="12" t="s">
        <v>20</v>
      </c>
      <c r="G30" s="12" t="s">
        <v>707</v>
      </c>
      <c r="H30" s="12" t="s">
        <v>94</v>
      </c>
      <c r="I30" s="12" t="s">
        <v>314</v>
      </c>
      <c r="J30" s="12"/>
      <c r="K30" s="12"/>
      <c r="L30" s="5"/>
      <c r="M30" s="33" t="n">
        <f aca="false">SUMIFS('Existing vs Saran'!$I$5:$I$210,'Existing vs Saran'!$N$5:$N$210,A30)</f>
        <v>143.15</v>
      </c>
      <c r="N30" s="12" t="s">
        <v>1009</v>
      </c>
      <c r="O30" s="5" t="s">
        <v>1010</v>
      </c>
      <c r="P30" s="12"/>
    </row>
    <row r="31" customFormat="false" ht="15" hidden="false" customHeight="false" outlineLevel="0" collapsed="false">
      <c r="A31" s="12" t="n">
        <v>267</v>
      </c>
      <c r="B31" s="12" t="s">
        <v>512</v>
      </c>
      <c r="C31" s="12" t="s">
        <v>949</v>
      </c>
      <c r="D31" s="12" t="s">
        <v>969</v>
      </c>
      <c r="E31" s="12" t="n">
        <v>5</v>
      </c>
      <c r="F31" s="12" t="s">
        <v>351</v>
      </c>
      <c r="G31" s="12" t="s">
        <v>777</v>
      </c>
      <c r="H31" s="12" t="s">
        <v>94</v>
      </c>
      <c r="I31" s="12" t="s">
        <v>314</v>
      </c>
      <c r="J31" s="12"/>
      <c r="K31" s="12"/>
      <c r="L31" s="5"/>
      <c r="M31" s="33" t="n">
        <f aca="false">SUMIFS('Existing vs Saran'!$I$5:$I$210,'Existing vs Saran'!$N$5:$N$210,A31)</f>
        <v>208.2</v>
      </c>
      <c r="N31" s="12" t="s">
        <v>1011</v>
      </c>
      <c r="O31" s="5" t="s">
        <v>1012</v>
      </c>
      <c r="P31" s="12"/>
    </row>
    <row r="32" customFormat="false" ht="23.85" hidden="false" customHeight="false" outlineLevel="0" collapsed="false">
      <c r="A32" s="12" t="n">
        <v>94</v>
      </c>
      <c r="B32" s="12" t="s">
        <v>469</v>
      </c>
      <c r="C32" s="12" t="s">
        <v>949</v>
      </c>
      <c r="D32" s="12" t="s">
        <v>969</v>
      </c>
      <c r="E32" s="12" t="n">
        <v>5</v>
      </c>
      <c r="F32" s="12" t="s">
        <v>379</v>
      </c>
      <c r="G32" s="12" t="s">
        <v>613</v>
      </c>
      <c r="H32" s="12" t="s">
        <v>94</v>
      </c>
      <c r="I32" s="12" t="s">
        <v>314</v>
      </c>
      <c r="J32" s="12"/>
      <c r="K32" s="12"/>
      <c r="L32" s="5"/>
      <c r="M32" s="33" t="n">
        <f aca="false">SUMIFS('Existing vs Saran'!$I$5:$I$210,'Existing vs Saran'!$N$5:$N$210,A32)</f>
        <v>150.28</v>
      </c>
      <c r="N32" s="12" t="s">
        <v>1013</v>
      </c>
      <c r="O32" s="5" t="s">
        <v>1014</v>
      </c>
      <c r="P32" s="12"/>
    </row>
    <row r="33" customFormat="false" ht="23.85" hidden="false" customHeight="false" outlineLevel="0" collapsed="false">
      <c r="A33" s="12" t="n">
        <v>426</v>
      </c>
      <c r="B33" s="12" t="s">
        <v>474</v>
      </c>
      <c r="C33" s="12" t="s">
        <v>949</v>
      </c>
      <c r="D33" s="12" t="s">
        <v>969</v>
      </c>
      <c r="E33" s="12" t="n">
        <v>4</v>
      </c>
      <c r="F33" s="12" t="s">
        <v>22</v>
      </c>
      <c r="G33" s="12" t="s">
        <v>881</v>
      </c>
      <c r="H33" s="12" t="s">
        <v>94</v>
      </c>
      <c r="I33" s="12" t="s">
        <v>314</v>
      </c>
      <c r="J33" s="12"/>
      <c r="K33" s="12"/>
      <c r="L33" s="5"/>
      <c r="M33" s="33" t="n">
        <f aca="false">SUMIFS('Existing vs Saran'!$I$5:$I$210,'Existing vs Saran'!$N$5:$N$210,A33)</f>
        <v>214.08</v>
      </c>
      <c r="N33" s="12" t="s">
        <v>1015</v>
      </c>
      <c r="O33" s="5" t="s">
        <v>1016</v>
      </c>
      <c r="P33" s="12"/>
    </row>
    <row r="34" customFormat="false" ht="15" hidden="false" customHeight="false" outlineLevel="0" collapsed="false">
      <c r="A34" s="12" t="n">
        <v>428</v>
      </c>
      <c r="B34" s="12" t="s">
        <v>517</v>
      </c>
      <c r="C34" s="12" t="s">
        <v>949</v>
      </c>
      <c r="D34" s="12" t="s">
        <v>969</v>
      </c>
      <c r="E34" s="12"/>
      <c r="F34" s="12" t="s">
        <v>22</v>
      </c>
      <c r="G34" s="12" t="s">
        <v>810</v>
      </c>
      <c r="H34" s="12" t="s">
        <v>94</v>
      </c>
      <c r="I34" s="12" t="s">
        <v>314</v>
      </c>
      <c r="J34" s="12"/>
      <c r="K34" s="12"/>
      <c r="L34" s="5"/>
      <c r="M34" s="33" t="n">
        <f aca="false">SUMIFS('Existing vs Saran'!$I$5:$I$210,'Existing vs Saran'!$N$5:$N$210,A34)</f>
        <v>217.5</v>
      </c>
      <c r="N34" s="12" t="s">
        <v>1017</v>
      </c>
      <c r="O34" s="5"/>
      <c r="P34" s="12"/>
    </row>
    <row r="35" customFormat="false" ht="15" hidden="false" customHeight="false" outlineLevel="0" collapsed="false">
      <c r="A35" s="12" t="n">
        <v>432</v>
      </c>
      <c r="B35" s="12" t="s">
        <v>483</v>
      </c>
      <c r="C35" s="12" t="s">
        <v>949</v>
      </c>
      <c r="D35" s="12" t="s">
        <v>969</v>
      </c>
      <c r="E35" s="12" t="n">
        <v>4</v>
      </c>
      <c r="F35" s="12" t="s">
        <v>22</v>
      </c>
      <c r="G35" s="12" t="s">
        <v>803</v>
      </c>
      <c r="H35" s="12" t="s">
        <v>94</v>
      </c>
      <c r="I35" s="12" t="s">
        <v>314</v>
      </c>
      <c r="J35" s="12"/>
      <c r="K35" s="12"/>
      <c r="L35" s="5" t="s">
        <v>952</v>
      </c>
      <c r="M35" s="33" t="n">
        <f aca="false">SUMIFS('Existing vs Saran'!$I$5:$I$210,'Existing vs Saran'!$N$5:$N$210,A35)</f>
        <v>181.65</v>
      </c>
      <c r="N35" s="12" t="s">
        <v>1018</v>
      </c>
      <c r="O35" s="5" t="s">
        <v>986</v>
      </c>
      <c r="P35" s="12"/>
    </row>
    <row r="36" customFormat="false" ht="23.85" hidden="false" customHeight="false" outlineLevel="0" collapsed="false">
      <c r="A36" s="12" t="n">
        <v>101</v>
      </c>
      <c r="B36" s="12" t="s">
        <v>460</v>
      </c>
      <c r="C36" s="12" t="s">
        <v>949</v>
      </c>
      <c r="D36" s="12" t="s">
        <v>969</v>
      </c>
      <c r="E36" s="12" t="n">
        <v>5</v>
      </c>
      <c r="F36" s="12" t="s">
        <v>379</v>
      </c>
      <c r="G36" s="12" t="s">
        <v>596</v>
      </c>
      <c r="H36" s="12" t="s">
        <v>94</v>
      </c>
      <c r="I36" s="12" t="s">
        <v>314</v>
      </c>
      <c r="J36" s="12"/>
      <c r="K36" s="12"/>
      <c r="L36" s="5"/>
      <c r="M36" s="33" t="n">
        <f aca="false">SUMIFS('Existing vs Saran'!$I$5:$I$210,'Existing vs Saran'!$N$5:$N$210,A36)</f>
        <v>134.8</v>
      </c>
      <c r="N36" s="12" t="s">
        <v>1019</v>
      </c>
      <c r="O36" s="5" t="s">
        <v>1020</v>
      </c>
      <c r="P36" s="12"/>
    </row>
    <row r="37" customFormat="false" ht="15" hidden="false" customHeight="false" outlineLevel="0" collapsed="false">
      <c r="A37" s="12" t="n">
        <v>164</v>
      </c>
      <c r="B37" s="12" t="s">
        <v>481</v>
      </c>
      <c r="C37" s="12" t="s">
        <v>949</v>
      </c>
      <c r="D37" s="12" t="s">
        <v>969</v>
      </c>
      <c r="E37" s="12" t="n">
        <v>5</v>
      </c>
      <c r="F37" s="12" t="s">
        <v>18</v>
      </c>
      <c r="G37" s="12" t="s">
        <v>82</v>
      </c>
      <c r="H37" s="12" t="s">
        <v>94</v>
      </c>
      <c r="I37" s="12" t="s">
        <v>314</v>
      </c>
      <c r="J37" s="12"/>
      <c r="K37" s="12"/>
      <c r="L37" s="5"/>
      <c r="M37" s="33" t="n">
        <f aca="false">SUMIFS('Existing vs Saran'!$I$5:$I$210,'Existing vs Saran'!$N$5:$N$210,A37)</f>
        <v>196.76</v>
      </c>
      <c r="N37" s="12" t="s">
        <v>1021</v>
      </c>
      <c r="O37" s="5" t="s">
        <v>954</v>
      </c>
      <c r="P37" s="12"/>
    </row>
    <row r="38" customFormat="false" ht="15" hidden="false" customHeight="false" outlineLevel="0" collapsed="false">
      <c r="A38" s="12" t="n">
        <v>394</v>
      </c>
      <c r="B38" s="12" t="s">
        <v>523</v>
      </c>
      <c r="C38" s="12" t="s">
        <v>949</v>
      </c>
      <c r="D38" s="12" t="s">
        <v>969</v>
      </c>
      <c r="E38" s="12" t="n">
        <v>5</v>
      </c>
      <c r="F38" s="12" t="s">
        <v>917</v>
      </c>
      <c r="G38" s="12" t="s">
        <v>1022</v>
      </c>
      <c r="H38" s="12" t="s">
        <v>94</v>
      </c>
      <c r="I38" s="12" t="s">
        <v>314</v>
      </c>
      <c r="J38" s="12"/>
      <c r="K38" s="12"/>
      <c r="L38" s="5"/>
      <c r="M38" s="33" t="n">
        <f aca="false">SUMIFS('Existing vs Saran'!$I$5:$I$210,'Existing vs Saran'!$N$5:$N$210,A38)</f>
        <v>199.46</v>
      </c>
      <c r="N38" s="12" t="s">
        <v>1023</v>
      </c>
      <c r="O38" s="5" t="s">
        <v>954</v>
      </c>
      <c r="P38" s="12"/>
    </row>
    <row r="39" customFormat="false" ht="23.85" hidden="false" customHeight="false" outlineLevel="0" collapsed="false">
      <c r="A39" s="12" t="n">
        <v>102</v>
      </c>
      <c r="B39" s="12" t="s">
        <v>470</v>
      </c>
      <c r="C39" s="12" t="s">
        <v>949</v>
      </c>
      <c r="D39" s="12" t="s">
        <v>969</v>
      </c>
      <c r="E39" s="12" t="n">
        <v>5</v>
      </c>
      <c r="F39" s="12" t="s">
        <v>379</v>
      </c>
      <c r="G39" s="12" t="s">
        <v>613</v>
      </c>
      <c r="H39" s="12" t="s">
        <v>94</v>
      </c>
      <c r="I39" s="12" t="s">
        <v>314</v>
      </c>
      <c r="J39" s="12"/>
      <c r="K39" s="12"/>
      <c r="L39" s="5"/>
      <c r="M39" s="33" t="n">
        <f aca="false">SUMIFS('Existing vs Saran'!$I$5:$I$210,'Existing vs Saran'!$N$5:$N$210,A39)</f>
        <v>146.55</v>
      </c>
      <c r="N39" s="12" t="s">
        <v>1024</v>
      </c>
      <c r="O39" s="5" t="s">
        <v>1025</v>
      </c>
      <c r="P39" s="12"/>
    </row>
    <row r="40" customFormat="false" ht="15" hidden="false" customHeight="false" outlineLevel="0" collapsed="false">
      <c r="A40" s="12" t="n">
        <v>27</v>
      </c>
      <c r="B40" s="12" t="s">
        <v>471</v>
      </c>
      <c r="C40" s="12" t="s">
        <v>949</v>
      </c>
      <c r="D40" s="12" t="s">
        <v>969</v>
      </c>
      <c r="E40" s="12" t="n">
        <v>5</v>
      </c>
      <c r="F40" s="12" t="s">
        <v>354</v>
      </c>
      <c r="G40" s="12" t="s">
        <v>1026</v>
      </c>
      <c r="H40" s="12" t="s">
        <v>94</v>
      </c>
      <c r="I40" s="12" t="s">
        <v>314</v>
      </c>
      <c r="J40" s="12"/>
      <c r="K40" s="12"/>
      <c r="L40" s="5"/>
      <c r="M40" s="33" t="n">
        <f aca="false">SUMIFS('Existing vs Saran'!$I$5:$I$210,'Existing vs Saran'!$N$5:$N$210,A40)</f>
        <v>213.61</v>
      </c>
      <c r="N40" s="12" t="s">
        <v>1027</v>
      </c>
      <c r="O40" s="5" t="s">
        <v>1028</v>
      </c>
      <c r="P40" s="12"/>
    </row>
    <row r="41" customFormat="false" ht="23.85" hidden="false" customHeight="false" outlineLevel="0" collapsed="false">
      <c r="A41" s="12" t="n">
        <v>106</v>
      </c>
      <c r="B41" s="12" t="s">
        <v>463</v>
      </c>
      <c r="C41" s="12" t="s">
        <v>949</v>
      </c>
      <c r="D41" s="12" t="s">
        <v>969</v>
      </c>
      <c r="E41" s="12" t="n">
        <v>5</v>
      </c>
      <c r="F41" s="12" t="s">
        <v>379</v>
      </c>
      <c r="G41" s="12" t="s">
        <v>1029</v>
      </c>
      <c r="H41" s="12" t="s">
        <v>94</v>
      </c>
      <c r="I41" s="12" t="s">
        <v>314</v>
      </c>
      <c r="J41" s="12"/>
      <c r="K41" s="12"/>
      <c r="L41" s="5"/>
      <c r="M41" s="33" t="n">
        <f aca="false">SUMIFS('Existing vs Saran'!$I$5:$I$210,'Existing vs Saran'!$N$5:$N$210,A41)</f>
        <v>69.68</v>
      </c>
      <c r="N41" s="12" t="s">
        <v>1030</v>
      </c>
      <c r="O41" s="5" t="s">
        <v>1031</v>
      </c>
      <c r="P41" s="12"/>
    </row>
    <row r="42" customFormat="false" ht="23.85" hidden="false" customHeight="false" outlineLevel="0" collapsed="false">
      <c r="A42" s="12" t="n">
        <v>31</v>
      </c>
      <c r="B42" s="12" t="s">
        <v>498</v>
      </c>
      <c r="C42" s="12" t="s">
        <v>949</v>
      </c>
      <c r="D42" s="12" t="s">
        <v>969</v>
      </c>
      <c r="E42" s="12" t="n">
        <v>5</v>
      </c>
      <c r="F42" s="12" t="s">
        <v>354</v>
      </c>
      <c r="G42" s="12" t="s">
        <v>997</v>
      </c>
      <c r="H42" s="12" t="s">
        <v>94</v>
      </c>
      <c r="I42" s="12" t="s">
        <v>314</v>
      </c>
      <c r="J42" s="12"/>
      <c r="K42" s="12"/>
      <c r="L42" s="5" t="s">
        <v>952</v>
      </c>
      <c r="M42" s="33" t="n">
        <f aca="false">SUMIFS('Existing vs Saran'!$I$5:$I$210,'Existing vs Saran'!$N$5:$N$210,A42)</f>
        <v>124.26</v>
      </c>
      <c r="N42" s="12" t="s">
        <v>1032</v>
      </c>
      <c r="O42" s="5" t="s">
        <v>1033</v>
      </c>
      <c r="P42" s="12"/>
    </row>
    <row r="43" customFormat="false" ht="15" hidden="false" customHeight="false" outlineLevel="0" collapsed="false">
      <c r="A43" s="12" t="n">
        <v>107</v>
      </c>
      <c r="B43" s="12" t="s">
        <v>493</v>
      </c>
      <c r="C43" s="12" t="s">
        <v>949</v>
      </c>
      <c r="D43" s="12" t="s">
        <v>969</v>
      </c>
      <c r="E43" s="12" t="n">
        <v>5</v>
      </c>
      <c r="F43" s="12" t="s">
        <v>379</v>
      </c>
      <c r="G43" s="12" t="s">
        <v>585</v>
      </c>
      <c r="H43" s="12" t="s">
        <v>94</v>
      </c>
      <c r="I43" s="12" t="s">
        <v>314</v>
      </c>
      <c r="J43" s="12"/>
      <c r="K43" s="12"/>
      <c r="L43" s="5"/>
      <c r="M43" s="33" t="n">
        <f aca="false">SUMIFS('Existing vs Saran'!$I$5:$I$210,'Existing vs Saran'!$N$5:$N$210,A43)</f>
        <v>214.82</v>
      </c>
      <c r="N43" s="12" t="s">
        <v>1034</v>
      </c>
      <c r="O43" s="5" t="s">
        <v>1035</v>
      </c>
      <c r="P43" s="12"/>
    </row>
    <row r="44" customFormat="false" ht="23.85" hidden="false" customHeight="false" outlineLevel="0" collapsed="false">
      <c r="A44" s="12" t="n">
        <v>108</v>
      </c>
      <c r="B44" s="12" t="s">
        <v>464</v>
      </c>
      <c r="C44" s="12" t="s">
        <v>949</v>
      </c>
      <c r="D44" s="12" t="s">
        <v>969</v>
      </c>
      <c r="E44" s="12" t="n">
        <v>5</v>
      </c>
      <c r="F44" s="12" t="s">
        <v>379</v>
      </c>
      <c r="G44" s="12" t="s">
        <v>1029</v>
      </c>
      <c r="H44" s="12" t="s">
        <v>94</v>
      </c>
      <c r="I44" s="12" t="s">
        <v>314</v>
      </c>
      <c r="J44" s="12"/>
      <c r="K44" s="12"/>
      <c r="L44" s="5"/>
      <c r="M44" s="33" t="n">
        <f aca="false">SUMIFS('Existing vs Saran'!$I$5:$I$210,'Existing vs Saran'!$N$5:$N$210,A44)</f>
        <v>85.5</v>
      </c>
      <c r="N44" s="12" t="s">
        <v>1036</v>
      </c>
      <c r="O44" s="5" t="s">
        <v>1037</v>
      </c>
      <c r="P44" s="12"/>
    </row>
    <row r="45" customFormat="false" ht="15" hidden="false" customHeight="false" outlineLevel="0" collapsed="false">
      <c r="A45" s="12" t="n">
        <v>210</v>
      </c>
      <c r="B45" s="12" t="s">
        <v>508</v>
      </c>
      <c r="C45" s="12" t="s">
        <v>949</v>
      </c>
      <c r="D45" s="12" t="s">
        <v>969</v>
      </c>
      <c r="E45" s="12" t="n">
        <v>4</v>
      </c>
      <c r="F45" s="12" t="s">
        <v>20</v>
      </c>
      <c r="G45" s="12" t="s">
        <v>139</v>
      </c>
      <c r="H45" s="12" t="s">
        <v>94</v>
      </c>
      <c r="I45" s="12" t="s">
        <v>314</v>
      </c>
      <c r="J45" s="12"/>
      <c r="K45" s="12"/>
      <c r="L45" s="5"/>
      <c r="M45" s="33" t="n">
        <f aca="false">SUMIFS('Existing vs Saran'!$I$5:$I$210,'Existing vs Saran'!$N$5:$N$210,A45)</f>
        <v>121.28</v>
      </c>
      <c r="N45" s="12" t="s">
        <v>1038</v>
      </c>
      <c r="O45" s="5" t="s">
        <v>1039</v>
      </c>
      <c r="P45" s="12"/>
    </row>
    <row r="46" customFormat="false" ht="15" hidden="false" customHeight="false" outlineLevel="0" collapsed="false">
      <c r="A46" s="12" t="n">
        <v>152</v>
      </c>
      <c r="B46" s="12" t="s">
        <v>509</v>
      </c>
      <c r="C46" s="12" t="s">
        <v>949</v>
      </c>
      <c r="D46" s="12" t="s">
        <v>969</v>
      </c>
      <c r="E46" s="12" t="n">
        <v>5</v>
      </c>
      <c r="F46" s="12" t="s">
        <v>905</v>
      </c>
      <c r="G46" s="12" t="s">
        <v>967</v>
      </c>
      <c r="H46" s="12" t="s">
        <v>94</v>
      </c>
      <c r="I46" s="12" t="s">
        <v>314</v>
      </c>
      <c r="J46" s="12"/>
      <c r="K46" s="12"/>
      <c r="L46" s="5"/>
      <c r="M46" s="33" t="n">
        <f aca="false">SUMIFS('Existing vs Saran'!$I$5:$I$210,'Existing vs Saran'!$N$5:$N$210,A46)</f>
        <v>122.52</v>
      </c>
      <c r="N46" s="12" t="s">
        <v>1040</v>
      </c>
      <c r="O46" s="5" t="s">
        <v>954</v>
      </c>
      <c r="P46" s="12"/>
    </row>
    <row r="47" customFormat="false" ht="23.85" hidden="false" customHeight="false" outlineLevel="0" collapsed="false">
      <c r="A47" s="12" t="n">
        <v>111</v>
      </c>
      <c r="B47" s="12" t="s">
        <v>494</v>
      </c>
      <c r="C47" s="12" t="s">
        <v>949</v>
      </c>
      <c r="D47" s="12" t="s">
        <v>969</v>
      </c>
      <c r="E47" s="12" t="n">
        <v>5</v>
      </c>
      <c r="F47" s="12" t="s">
        <v>379</v>
      </c>
      <c r="G47" s="12" t="s">
        <v>596</v>
      </c>
      <c r="H47" s="12" t="s">
        <v>94</v>
      </c>
      <c r="I47" s="12" t="s">
        <v>314</v>
      </c>
      <c r="J47" s="12"/>
      <c r="K47" s="12"/>
      <c r="L47" s="5"/>
      <c r="M47" s="33" t="n">
        <f aca="false">SUMIFS('Existing vs Saran'!$I$5:$I$210,'Existing vs Saran'!$N$5:$N$210,A47)</f>
        <v>145.99</v>
      </c>
      <c r="N47" s="12" t="s">
        <v>1041</v>
      </c>
      <c r="O47" s="5" t="s">
        <v>1042</v>
      </c>
      <c r="P47" s="12"/>
    </row>
    <row r="48" customFormat="false" ht="15" hidden="false" customHeight="false" outlineLevel="0" collapsed="false">
      <c r="A48" s="12" t="n">
        <v>437</v>
      </c>
      <c r="B48" s="12" t="s">
        <v>476</v>
      </c>
      <c r="C48" s="12" t="s">
        <v>949</v>
      </c>
      <c r="D48" s="12" t="s">
        <v>969</v>
      </c>
      <c r="E48" s="12" t="n">
        <v>4</v>
      </c>
      <c r="F48" s="12" t="s">
        <v>22</v>
      </c>
      <c r="G48" s="12" t="s">
        <v>803</v>
      </c>
      <c r="H48" s="12" t="s">
        <v>94</v>
      </c>
      <c r="I48" s="12" t="s">
        <v>314</v>
      </c>
      <c r="J48" s="12"/>
      <c r="K48" s="12"/>
      <c r="L48" s="5"/>
      <c r="M48" s="33" t="n">
        <f aca="false">SUMIFS('Existing vs Saran'!$I$5:$I$210,'Existing vs Saran'!$N$5:$N$210,A48)</f>
        <v>165.81</v>
      </c>
      <c r="N48" s="12" t="s">
        <v>1043</v>
      </c>
      <c r="O48" s="5" t="s">
        <v>986</v>
      </c>
      <c r="P48" s="12"/>
    </row>
    <row r="49" customFormat="false" ht="15" hidden="false" customHeight="false" outlineLevel="0" collapsed="false">
      <c r="A49" s="12" t="n">
        <v>438</v>
      </c>
      <c r="B49" s="12" t="s">
        <v>518</v>
      </c>
      <c r="C49" s="12" t="s">
        <v>949</v>
      </c>
      <c r="D49" s="12" t="s">
        <v>969</v>
      </c>
      <c r="E49" s="12" t="n">
        <v>4</v>
      </c>
      <c r="F49" s="12" t="s">
        <v>22</v>
      </c>
      <c r="G49" s="12" t="s">
        <v>1044</v>
      </c>
      <c r="H49" s="12" t="s">
        <v>94</v>
      </c>
      <c r="I49" s="12" t="s">
        <v>314</v>
      </c>
      <c r="J49" s="12"/>
      <c r="K49" s="12"/>
      <c r="L49" s="5" t="s">
        <v>952</v>
      </c>
      <c r="M49" s="33" t="n">
        <f aca="false">SUMIFS('Existing vs Saran'!$I$5:$I$210,'Existing vs Saran'!$N$5:$N$210,A49)</f>
        <v>217.83</v>
      </c>
      <c r="N49" s="12" t="s">
        <v>1045</v>
      </c>
      <c r="O49" s="5" t="s">
        <v>986</v>
      </c>
      <c r="P49" s="12"/>
    </row>
    <row r="50" customFormat="false" ht="15" hidden="false" customHeight="false" outlineLevel="0" collapsed="false">
      <c r="A50" s="12" t="n">
        <v>117</v>
      </c>
      <c r="B50" s="12" t="s">
        <v>465</v>
      </c>
      <c r="C50" s="12" t="s">
        <v>949</v>
      </c>
      <c r="D50" s="12" t="s">
        <v>969</v>
      </c>
      <c r="E50" s="12" t="n">
        <v>5</v>
      </c>
      <c r="F50" s="12" t="s">
        <v>379</v>
      </c>
      <c r="G50" s="12" t="s">
        <v>571</v>
      </c>
      <c r="H50" s="12" t="s">
        <v>94</v>
      </c>
      <c r="I50" s="12" t="s">
        <v>314</v>
      </c>
      <c r="J50" s="12"/>
      <c r="K50" s="12"/>
      <c r="L50" s="5"/>
      <c r="M50" s="33" t="n">
        <f aca="false">SUMIFS('Existing vs Saran'!$I$5:$I$210,'Existing vs Saran'!$N$5:$N$210,A50)</f>
        <v>78.82</v>
      </c>
      <c r="N50" s="12" t="s">
        <v>1046</v>
      </c>
      <c r="O50" s="5" t="s">
        <v>1047</v>
      </c>
      <c r="P50" s="12"/>
    </row>
    <row r="51" customFormat="false" ht="15" hidden="false" customHeight="false" outlineLevel="0" collapsed="false">
      <c r="A51" s="12" t="n">
        <v>219</v>
      </c>
      <c r="B51" s="12" t="s">
        <v>499</v>
      </c>
      <c r="C51" s="12" t="s">
        <v>949</v>
      </c>
      <c r="D51" s="12" t="s">
        <v>969</v>
      </c>
      <c r="E51" s="12" t="n">
        <v>4</v>
      </c>
      <c r="F51" s="12" t="s">
        <v>20</v>
      </c>
      <c r="G51" s="12" t="s">
        <v>707</v>
      </c>
      <c r="H51" s="12" t="s">
        <v>94</v>
      </c>
      <c r="I51" s="12" t="s">
        <v>314</v>
      </c>
      <c r="J51" s="12"/>
      <c r="K51" s="12"/>
      <c r="L51" s="5" t="s">
        <v>952</v>
      </c>
      <c r="M51" s="33" t="n">
        <f aca="false">SUMIFS('Existing vs Saran'!$I$5:$I$210,'Existing vs Saran'!$N$5:$N$210,A51)</f>
        <v>129.58</v>
      </c>
      <c r="N51" s="12" t="s">
        <v>1048</v>
      </c>
      <c r="O51" s="5" t="s">
        <v>1049</v>
      </c>
      <c r="P51" s="12"/>
    </row>
    <row r="52" customFormat="false" ht="15" hidden="false" customHeight="false" outlineLevel="0" collapsed="false">
      <c r="A52" s="12" t="n">
        <v>166</v>
      </c>
      <c r="B52" s="12" t="s">
        <v>473</v>
      </c>
      <c r="C52" s="12" t="s">
        <v>949</v>
      </c>
      <c r="D52" s="12" t="s">
        <v>969</v>
      </c>
      <c r="E52" s="12" t="n">
        <v>5</v>
      </c>
      <c r="F52" s="12" t="s">
        <v>18</v>
      </c>
      <c r="G52" s="12" t="s">
        <v>82</v>
      </c>
      <c r="H52" s="12" t="s">
        <v>94</v>
      </c>
      <c r="I52" s="12" t="s">
        <v>314</v>
      </c>
      <c r="J52" s="12"/>
      <c r="K52" s="12"/>
      <c r="L52" s="5"/>
      <c r="M52" s="33" t="n">
        <f aca="false">SUMIFS('Existing vs Saran'!$I$5:$I$210,'Existing vs Saran'!$N$5:$N$210,A52)</f>
        <v>191.99</v>
      </c>
      <c r="N52" s="12" t="s">
        <v>1050</v>
      </c>
      <c r="O52" s="5" t="s">
        <v>954</v>
      </c>
      <c r="P52" s="12"/>
    </row>
    <row r="53" customFormat="false" ht="15" hidden="false" customHeight="false" outlineLevel="0" collapsed="false">
      <c r="A53" s="12" t="n">
        <v>466</v>
      </c>
      <c r="B53" s="12" t="s">
        <v>479</v>
      </c>
      <c r="C53" s="12" t="s">
        <v>949</v>
      </c>
      <c r="D53" s="12" t="s">
        <v>969</v>
      </c>
      <c r="E53" s="12"/>
      <c r="F53" s="12" t="s">
        <v>18</v>
      </c>
      <c r="G53" s="12"/>
      <c r="H53" s="12" t="s">
        <v>85</v>
      </c>
      <c r="I53" s="12" t="s">
        <v>314</v>
      </c>
      <c r="J53" s="12"/>
      <c r="K53" s="12"/>
      <c r="L53" s="5"/>
      <c r="M53" s="33" t="n">
        <f aca="false">SUMIFS('Existing vs Saran'!$I$5:$I$210,'Existing vs Saran'!$N$5:$N$210,A53)</f>
        <v>219.12</v>
      </c>
      <c r="N53" s="12"/>
      <c r="O53" s="5"/>
      <c r="P53" s="12"/>
    </row>
    <row r="54" customFormat="false" ht="23.85" hidden="false" customHeight="false" outlineLevel="0" collapsed="false">
      <c r="A54" s="12" t="n">
        <v>442</v>
      </c>
      <c r="B54" s="12" t="s">
        <v>484</v>
      </c>
      <c r="C54" s="12" t="s">
        <v>949</v>
      </c>
      <c r="D54" s="12" t="s">
        <v>969</v>
      </c>
      <c r="E54" s="12" t="n">
        <v>4</v>
      </c>
      <c r="F54" s="12" t="s">
        <v>22</v>
      </c>
      <c r="G54" s="12" t="s">
        <v>881</v>
      </c>
      <c r="H54" s="12" t="s">
        <v>94</v>
      </c>
      <c r="I54" s="12" t="s">
        <v>314</v>
      </c>
      <c r="J54" s="12"/>
      <c r="K54" s="12"/>
      <c r="L54" s="5"/>
      <c r="M54" s="33" t="n">
        <f aca="false">SUMIFS('Existing vs Saran'!$I$5:$I$210,'Existing vs Saran'!$N$5:$N$210,A54)</f>
        <v>203.88</v>
      </c>
      <c r="N54" s="12" t="s">
        <v>1051</v>
      </c>
      <c r="O54" s="5" t="s">
        <v>1016</v>
      </c>
      <c r="P54" s="12"/>
    </row>
    <row r="55" customFormat="false" ht="15" hidden="false" customHeight="false" outlineLevel="0" collapsed="false">
      <c r="A55" s="12" t="n">
        <v>167</v>
      </c>
      <c r="B55" s="12" t="s">
        <v>475</v>
      </c>
      <c r="C55" s="12" t="s">
        <v>949</v>
      </c>
      <c r="D55" s="12" t="s">
        <v>969</v>
      </c>
      <c r="E55" s="12" t="n">
        <v>5</v>
      </c>
      <c r="F55" s="12" t="s">
        <v>18</v>
      </c>
      <c r="G55" s="12" t="s">
        <v>116</v>
      </c>
      <c r="H55" s="12" t="s">
        <v>94</v>
      </c>
      <c r="I55" s="12" t="s">
        <v>314</v>
      </c>
      <c r="J55" s="12"/>
      <c r="K55" s="12"/>
      <c r="L55" s="5"/>
      <c r="M55" s="33" t="n">
        <f aca="false">SUMIFS('Existing vs Saran'!$I$5:$I$210,'Existing vs Saran'!$N$5:$N$210,A55)</f>
        <v>213.09</v>
      </c>
      <c r="N55" s="12" t="s">
        <v>1052</v>
      </c>
      <c r="O55" s="5" t="s">
        <v>954</v>
      </c>
      <c r="P55" s="12"/>
    </row>
    <row r="56" customFormat="false" ht="15" hidden="false" customHeight="false" outlineLevel="0" collapsed="false">
      <c r="A56" s="12" t="n">
        <v>400</v>
      </c>
      <c r="B56" s="12" t="s">
        <v>521</v>
      </c>
      <c r="C56" s="12" t="s">
        <v>949</v>
      </c>
      <c r="D56" s="12" t="s">
        <v>969</v>
      </c>
      <c r="E56" s="12" t="n">
        <v>4</v>
      </c>
      <c r="F56" s="12" t="s">
        <v>917</v>
      </c>
      <c r="G56" s="12" t="s">
        <v>1004</v>
      </c>
      <c r="H56" s="12" t="s">
        <v>94</v>
      </c>
      <c r="I56" s="12" t="s">
        <v>314</v>
      </c>
      <c r="J56" s="12"/>
      <c r="K56" s="12"/>
      <c r="L56" s="5"/>
      <c r="M56" s="33" t="n">
        <f aca="false">SUMIFS('Existing vs Saran'!$I$5:$I$210,'Existing vs Saran'!$N$5:$N$210,A56)</f>
        <v>195.85</v>
      </c>
      <c r="N56" s="12" t="s">
        <v>1053</v>
      </c>
      <c r="O56" s="5" t="s">
        <v>954</v>
      </c>
      <c r="P56" s="12"/>
    </row>
    <row r="57" customFormat="false" ht="23.85" hidden="false" customHeight="false" outlineLevel="0" collapsed="false">
      <c r="A57" s="12" t="n">
        <v>122</v>
      </c>
      <c r="B57" s="12" t="s">
        <v>461</v>
      </c>
      <c r="C57" s="12" t="s">
        <v>949</v>
      </c>
      <c r="D57" s="12" t="s">
        <v>969</v>
      </c>
      <c r="E57" s="12" t="n">
        <v>4</v>
      </c>
      <c r="F57" s="12" t="s">
        <v>379</v>
      </c>
      <c r="G57" s="12" t="s">
        <v>571</v>
      </c>
      <c r="H57" s="12" t="s">
        <v>94</v>
      </c>
      <c r="I57" s="12" t="s">
        <v>314</v>
      </c>
      <c r="J57" s="12"/>
      <c r="K57" s="12"/>
      <c r="L57" s="5"/>
      <c r="M57" s="33" t="n">
        <f aca="false">SUMIFS('Existing vs Saran'!$I$5:$I$210,'Existing vs Saran'!$N$5:$N$210,A57)</f>
        <v>127.15</v>
      </c>
      <c r="N57" s="12" t="s">
        <v>1054</v>
      </c>
      <c r="O57" s="5" t="s">
        <v>1055</v>
      </c>
      <c r="P57" s="12"/>
    </row>
    <row r="58" customFormat="false" ht="15" hidden="false" customHeight="false" outlineLevel="0" collapsed="false">
      <c r="A58" s="12" t="n">
        <v>401</v>
      </c>
      <c r="B58" s="12" t="s">
        <v>524</v>
      </c>
      <c r="C58" s="12" t="s">
        <v>949</v>
      </c>
      <c r="D58" s="12" t="s">
        <v>969</v>
      </c>
      <c r="E58" s="12" t="n">
        <v>4</v>
      </c>
      <c r="F58" s="12" t="s">
        <v>917</v>
      </c>
      <c r="G58" s="12" t="s">
        <v>1056</v>
      </c>
      <c r="H58" s="12" t="s">
        <v>94</v>
      </c>
      <c r="I58" s="12" t="s">
        <v>314</v>
      </c>
      <c r="J58" s="12"/>
      <c r="K58" s="12"/>
      <c r="L58" s="5" t="s">
        <v>952</v>
      </c>
      <c r="M58" s="33" t="n">
        <f aca="false">SUMIFS('Existing vs Saran'!$I$5:$I$210,'Existing vs Saran'!$N$5:$N$210,A58)</f>
        <v>193.51</v>
      </c>
      <c r="N58" s="12" t="s">
        <v>1057</v>
      </c>
      <c r="O58" s="5" t="s">
        <v>954</v>
      </c>
      <c r="P58" s="12"/>
    </row>
    <row r="59" customFormat="false" ht="15" hidden="false" customHeight="false" outlineLevel="0" collapsed="false">
      <c r="A59" s="12" t="n">
        <v>229</v>
      </c>
      <c r="B59" s="12" t="s">
        <v>510</v>
      </c>
      <c r="C59" s="12" t="s">
        <v>949</v>
      </c>
      <c r="D59" s="12" t="s">
        <v>969</v>
      </c>
      <c r="E59" s="12" t="n">
        <v>4</v>
      </c>
      <c r="F59" s="12" t="s">
        <v>20</v>
      </c>
      <c r="G59" s="12" t="s">
        <v>1058</v>
      </c>
      <c r="H59" s="12" t="s">
        <v>94</v>
      </c>
      <c r="I59" s="12" t="s">
        <v>314</v>
      </c>
      <c r="J59" s="12"/>
      <c r="K59" s="12"/>
      <c r="L59" s="5"/>
      <c r="M59" s="33" t="n">
        <f aca="false">SUMIFS('Existing vs Saran'!$I$5:$I$210,'Existing vs Saran'!$N$5:$N$210,A59)</f>
        <v>113.07</v>
      </c>
      <c r="N59" s="12"/>
      <c r="O59" s="5" t="s">
        <v>1059</v>
      </c>
      <c r="P59" s="12"/>
    </row>
    <row r="60" customFormat="false" ht="23.85" hidden="false" customHeight="false" outlineLevel="0" collapsed="false">
      <c r="A60" s="12" t="n">
        <v>125</v>
      </c>
      <c r="B60" s="12" t="s">
        <v>462</v>
      </c>
      <c r="C60" s="12" t="s">
        <v>949</v>
      </c>
      <c r="D60" s="12" t="s">
        <v>969</v>
      </c>
      <c r="E60" s="12" t="n">
        <v>5</v>
      </c>
      <c r="F60" s="12" t="s">
        <v>379</v>
      </c>
      <c r="G60" s="12" t="s">
        <v>596</v>
      </c>
      <c r="H60" s="12" t="s">
        <v>94</v>
      </c>
      <c r="I60" s="12" t="s">
        <v>314</v>
      </c>
      <c r="J60" s="12"/>
      <c r="K60" s="12"/>
      <c r="L60" s="5"/>
      <c r="M60" s="33" t="n">
        <f aca="false">SUMIFS('Existing vs Saran'!$I$5:$I$210,'Existing vs Saran'!$N$5:$N$210,A60)</f>
        <v>81.8</v>
      </c>
      <c r="N60" s="12" t="s">
        <v>1060</v>
      </c>
      <c r="O60" s="5" t="s">
        <v>1061</v>
      </c>
      <c r="P60" s="12"/>
    </row>
    <row r="61" customFormat="false" ht="15" hidden="false" customHeight="false" outlineLevel="0" collapsed="false">
      <c r="A61" s="12" t="n">
        <v>302</v>
      </c>
      <c r="B61" s="12" t="s">
        <v>515</v>
      </c>
      <c r="C61" s="12" t="s">
        <v>949</v>
      </c>
      <c r="D61" s="12" t="s">
        <v>969</v>
      </c>
      <c r="E61" s="12" t="n">
        <v>4</v>
      </c>
      <c r="F61" s="12" t="s">
        <v>351</v>
      </c>
      <c r="G61" s="12" t="s">
        <v>777</v>
      </c>
      <c r="H61" s="12" t="s">
        <v>94</v>
      </c>
      <c r="I61" s="12" t="s">
        <v>314</v>
      </c>
      <c r="J61" s="12"/>
      <c r="K61" s="12"/>
      <c r="L61" s="5"/>
      <c r="M61" s="33" t="n">
        <f aca="false">SUMIFS('Existing vs Saran'!$I$5:$I$210,'Existing vs Saran'!$N$5:$N$210,A61)</f>
        <v>188.15</v>
      </c>
      <c r="N61" s="12" t="s">
        <v>1062</v>
      </c>
      <c r="O61" s="5" t="s">
        <v>1012</v>
      </c>
      <c r="P61" s="12"/>
    </row>
    <row r="62" customFormat="false" ht="15" hidden="false" customHeight="false" outlineLevel="0" collapsed="false">
      <c r="A62" s="12" t="n">
        <v>237</v>
      </c>
      <c r="B62" s="12" t="s">
        <v>503</v>
      </c>
      <c r="C62" s="12" t="s">
        <v>949</v>
      </c>
      <c r="D62" s="12" t="s">
        <v>969</v>
      </c>
      <c r="E62" s="12" t="n">
        <v>5</v>
      </c>
      <c r="F62" s="12" t="s">
        <v>20</v>
      </c>
      <c r="G62" s="12" t="s">
        <v>707</v>
      </c>
      <c r="H62" s="12" t="s">
        <v>94</v>
      </c>
      <c r="I62" s="12" t="s">
        <v>314</v>
      </c>
      <c r="J62" s="12"/>
      <c r="K62" s="12"/>
      <c r="L62" s="5" t="s">
        <v>1063</v>
      </c>
      <c r="M62" s="33" t="n">
        <f aca="false">SUMIFS('Existing vs Saran'!$I$5:$I$210,'Existing vs Saran'!$N$5:$N$210,A62)</f>
        <v>112.94</v>
      </c>
      <c r="N62" s="12" t="s">
        <v>1064</v>
      </c>
      <c r="O62" s="5" t="s">
        <v>1065</v>
      </c>
      <c r="P62" s="12"/>
    </row>
    <row r="63" customFormat="false" ht="15" hidden="false" customHeight="false" outlineLevel="0" collapsed="false">
      <c r="A63" s="12" t="n">
        <v>238</v>
      </c>
      <c r="B63" s="12" t="s">
        <v>504</v>
      </c>
      <c r="C63" s="12" t="s">
        <v>949</v>
      </c>
      <c r="D63" s="12" t="s">
        <v>969</v>
      </c>
      <c r="E63" s="12" t="n">
        <v>3</v>
      </c>
      <c r="F63" s="12" t="s">
        <v>20</v>
      </c>
      <c r="G63" s="12" t="s">
        <v>1000</v>
      </c>
      <c r="H63" s="12" t="s">
        <v>94</v>
      </c>
      <c r="I63" s="12" t="s">
        <v>314</v>
      </c>
      <c r="J63" s="12"/>
      <c r="K63" s="12"/>
      <c r="L63" s="5"/>
      <c r="M63" s="33" t="n">
        <f aca="false">SUMIFS('Existing vs Saran'!$I$5:$I$210,'Existing vs Saran'!$N$5:$N$210,A63)</f>
        <v>209.45</v>
      </c>
      <c r="N63" s="12" t="s">
        <v>1066</v>
      </c>
      <c r="O63" s="5" t="s">
        <v>1067</v>
      </c>
      <c r="P63" s="12"/>
    </row>
    <row r="64" customFormat="false" ht="23.85" hidden="false" customHeight="false" outlineLevel="0" collapsed="false">
      <c r="A64" s="12" t="n">
        <v>127</v>
      </c>
      <c r="B64" s="12" t="s">
        <v>466</v>
      </c>
      <c r="C64" s="12" t="s">
        <v>949</v>
      </c>
      <c r="D64" s="12" t="s">
        <v>969</v>
      </c>
      <c r="E64" s="12" t="n">
        <v>5</v>
      </c>
      <c r="F64" s="12" t="s">
        <v>379</v>
      </c>
      <c r="G64" s="12" t="s">
        <v>1029</v>
      </c>
      <c r="H64" s="12" t="s">
        <v>94</v>
      </c>
      <c r="I64" s="12" t="s">
        <v>314</v>
      </c>
      <c r="J64" s="12"/>
      <c r="K64" s="12"/>
      <c r="L64" s="5"/>
      <c r="M64" s="33" t="n">
        <f aca="false">SUMIFS('Existing vs Saran'!$I$5:$I$210,'Existing vs Saran'!$N$5:$N$210,A64)</f>
        <v>159.7</v>
      </c>
      <c r="N64" s="12" t="s">
        <v>1068</v>
      </c>
      <c r="O64" s="5" t="s">
        <v>1069</v>
      </c>
      <c r="P64" s="12"/>
    </row>
    <row r="65" customFormat="false" ht="15" hidden="false" customHeight="false" outlineLevel="0" collapsed="false">
      <c r="A65" s="12" t="n">
        <v>240</v>
      </c>
      <c r="B65" s="12" t="s">
        <v>505</v>
      </c>
      <c r="C65" s="12" t="s">
        <v>949</v>
      </c>
      <c r="D65" s="12" t="s">
        <v>969</v>
      </c>
      <c r="E65" s="12" t="n">
        <v>3</v>
      </c>
      <c r="F65" s="12" t="s">
        <v>20</v>
      </c>
      <c r="G65" s="12" t="s">
        <v>707</v>
      </c>
      <c r="H65" s="12" t="s">
        <v>94</v>
      </c>
      <c r="I65" s="12" t="s">
        <v>314</v>
      </c>
      <c r="J65" s="12"/>
      <c r="K65" s="12"/>
      <c r="L65" s="5"/>
      <c r="M65" s="33" t="n">
        <f aca="false">SUMIFS('Existing vs Saran'!$I$5:$I$210,'Existing vs Saran'!$N$5:$N$210,A65)</f>
        <v>217.56</v>
      </c>
      <c r="N65" s="12" t="s">
        <v>1070</v>
      </c>
      <c r="O65" s="5" t="s">
        <v>1071</v>
      </c>
      <c r="P65" s="12"/>
    </row>
    <row r="66" customFormat="false" ht="23.85" hidden="false" customHeight="false" outlineLevel="0" collapsed="false">
      <c r="A66" s="12" t="n">
        <v>129</v>
      </c>
      <c r="B66" s="12" t="s">
        <v>467</v>
      </c>
      <c r="C66" s="12" t="s">
        <v>949</v>
      </c>
      <c r="D66" s="12" t="s">
        <v>969</v>
      </c>
      <c r="E66" s="12" t="n">
        <v>5</v>
      </c>
      <c r="F66" s="12" t="s">
        <v>379</v>
      </c>
      <c r="G66" s="12" t="s">
        <v>1029</v>
      </c>
      <c r="H66" s="12" t="s">
        <v>94</v>
      </c>
      <c r="I66" s="12" t="s">
        <v>314</v>
      </c>
      <c r="J66" s="12"/>
      <c r="K66" s="12"/>
      <c r="L66" s="5"/>
      <c r="M66" s="33" t="n">
        <f aca="false">SUMIFS('Existing vs Saran'!$I$5:$I$210,'Existing vs Saran'!$N$5:$N$210,A66)</f>
        <v>83.39</v>
      </c>
      <c r="N66" s="12" t="s">
        <v>1072</v>
      </c>
      <c r="O66" s="5" t="s">
        <v>1073</v>
      </c>
      <c r="P66" s="12"/>
    </row>
    <row r="67" customFormat="false" ht="23.85" hidden="false" customHeight="false" outlineLevel="0" collapsed="false">
      <c r="A67" s="12" t="n">
        <v>450</v>
      </c>
      <c r="B67" s="12" t="s">
        <v>519</v>
      </c>
      <c r="C67" s="12" t="s">
        <v>949</v>
      </c>
      <c r="D67" s="12" t="s">
        <v>969</v>
      </c>
      <c r="E67" s="12" t="n">
        <v>4</v>
      </c>
      <c r="F67" s="12" t="s">
        <v>22</v>
      </c>
      <c r="G67" s="12" t="s">
        <v>810</v>
      </c>
      <c r="H67" s="12" t="s">
        <v>94</v>
      </c>
      <c r="I67" s="12" t="s">
        <v>314</v>
      </c>
      <c r="J67" s="12"/>
      <c r="K67" s="12"/>
      <c r="L67" s="5"/>
      <c r="M67" s="33" t="n">
        <f aca="false">SUMIFS('Existing vs Saran'!$I$5:$I$210,'Existing vs Saran'!$N$5:$N$210,A67)</f>
        <v>194.1</v>
      </c>
      <c r="N67" s="12" t="s">
        <v>1074</v>
      </c>
      <c r="O67" s="5" t="s">
        <v>1016</v>
      </c>
      <c r="P67" s="12"/>
    </row>
    <row r="68" customFormat="false" ht="15" hidden="false" customHeight="false" outlineLevel="0" collapsed="false">
      <c r="A68" s="12" t="n">
        <v>130</v>
      </c>
      <c r="B68" s="12" t="s">
        <v>488</v>
      </c>
      <c r="C68" s="12" t="s">
        <v>949</v>
      </c>
      <c r="D68" s="12" t="s">
        <v>969</v>
      </c>
      <c r="E68" s="12" t="n">
        <v>3</v>
      </c>
      <c r="F68" s="12" t="s">
        <v>379</v>
      </c>
      <c r="G68" s="12" t="s">
        <v>982</v>
      </c>
      <c r="H68" s="12" t="s">
        <v>94</v>
      </c>
      <c r="I68" s="12" t="s">
        <v>314</v>
      </c>
      <c r="J68" s="12"/>
      <c r="K68" s="12"/>
      <c r="L68" s="5"/>
      <c r="M68" s="33" t="n">
        <f aca="false">SUMIFS('Existing vs Saran'!$I$5:$I$210,'Existing vs Saran'!$N$5:$N$210,A68)</f>
        <v>216.04</v>
      </c>
      <c r="N68" s="12" t="s">
        <v>1075</v>
      </c>
      <c r="O68" s="5" t="s">
        <v>1076</v>
      </c>
      <c r="P68" s="12"/>
    </row>
    <row r="69" customFormat="false" ht="15" hidden="false" customHeight="false" outlineLevel="0" collapsed="false">
      <c r="A69" s="12" t="n">
        <v>411</v>
      </c>
      <c r="B69" s="12" t="s">
        <v>525</v>
      </c>
      <c r="C69" s="12" t="s">
        <v>949</v>
      </c>
      <c r="D69" s="12" t="s">
        <v>1077</v>
      </c>
      <c r="E69" s="12" t="n">
        <v>5</v>
      </c>
      <c r="F69" s="12" t="s">
        <v>22</v>
      </c>
      <c r="G69" s="12" t="s">
        <v>195</v>
      </c>
      <c r="H69" s="12" t="s">
        <v>106</v>
      </c>
      <c r="I69" s="12" t="s">
        <v>314</v>
      </c>
      <c r="J69" s="12" t="s">
        <v>314</v>
      </c>
      <c r="K69" s="12"/>
      <c r="L69" s="5"/>
      <c r="M69" s="33" t="n">
        <f aca="false">SUMIFS('Existing vs Saran'!$I$5:$I$210,'Existing vs Saran'!$N$5:$N$210,A69)</f>
        <v>216.67</v>
      </c>
      <c r="N69" s="12" t="s">
        <v>1078</v>
      </c>
      <c r="O69" s="5" t="s">
        <v>954</v>
      </c>
      <c r="P69" s="12"/>
    </row>
    <row r="70" customFormat="false" ht="23.85" hidden="false" customHeight="false" outlineLevel="0" collapsed="false">
      <c r="A70" s="12" t="n">
        <v>175</v>
      </c>
      <c r="B70" s="12" t="s">
        <v>489</v>
      </c>
      <c r="C70" s="12" t="s">
        <v>949</v>
      </c>
      <c r="D70" s="12" t="s">
        <v>1077</v>
      </c>
      <c r="E70" s="12" t="n">
        <v>5</v>
      </c>
      <c r="F70" s="12" t="s">
        <v>20</v>
      </c>
      <c r="G70" s="12" t="s">
        <v>707</v>
      </c>
      <c r="H70" s="12" t="s">
        <v>94</v>
      </c>
      <c r="I70" s="12" t="s">
        <v>314</v>
      </c>
      <c r="J70" s="12" t="s">
        <v>314</v>
      </c>
      <c r="K70" s="12"/>
      <c r="L70" s="5"/>
      <c r="M70" s="33" t="n">
        <f aca="false">SUMIFS('Existing vs Saran'!$I$5:$I$210,'Existing vs Saran'!$N$5:$N$210,A70)</f>
        <v>136.8</v>
      </c>
      <c r="N70" s="12" t="s">
        <v>1079</v>
      </c>
      <c r="O70" s="5" t="s">
        <v>1080</v>
      </c>
      <c r="P70" s="12"/>
    </row>
    <row r="71" customFormat="false" ht="23.85" hidden="false" customHeight="false" outlineLevel="0" collapsed="false">
      <c r="A71" s="12" t="n">
        <v>413</v>
      </c>
      <c r="B71" s="12" t="s">
        <v>522</v>
      </c>
      <c r="C71" s="12" t="s">
        <v>949</v>
      </c>
      <c r="D71" s="12" t="s">
        <v>1077</v>
      </c>
      <c r="E71" s="12" t="n">
        <v>4</v>
      </c>
      <c r="F71" s="12" t="s">
        <v>22</v>
      </c>
      <c r="G71" s="12" t="s">
        <v>970</v>
      </c>
      <c r="H71" s="12" t="s">
        <v>94</v>
      </c>
      <c r="I71" s="12" t="s">
        <v>314</v>
      </c>
      <c r="J71" s="12" t="s">
        <v>314</v>
      </c>
      <c r="K71" s="12"/>
      <c r="L71" s="5"/>
      <c r="M71" s="33" t="n">
        <f aca="false">SUMIFS('Existing vs Saran'!$I$5:$I$210,'Existing vs Saran'!$N$5:$N$210,A71)</f>
        <v>216.55</v>
      </c>
      <c r="N71" s="12" t="s">
        <v>1081</v>
      </c>
      <c r="O71" s="5" t="s">
        <v>1016</v>
      </c>
      <c r="P71" s="12"/>
    </row>
    <row r="72" customFormat="false" ht="15" hidden="false" customHeight="false" outlineLevel="0" collapsed="false">
      <c r="A72" s="12" t="n">
        <v>419</v>
      </c>
      <c r="B72" s="12" t="s">
        <v>918</v>
      </c>
      <c r="C72" s="12" t="s">
        <v>949</v>
      </c>
      <c r="D72" s="12" t="s">
        <v>1082</v>
      </c>
      <c r="E72" s="12" t="n">
        <v>4</v>
      </c>
      <c r="F72" s="12" t="s">
        <v>22</v>
      </c>
      <c r="G72" s="12" t="s">
        <v>810</v>
      </c>
      <c r="H72" s="12" t="s">
        <v>94</v>
      </c>
      <c r="I72" s="12" t="s">
        <v>314</v>
      </c>
      <c r="J72" s="12"/>
      <c r="K72" s="12"/>
      <c r="L72" s="5" t="s">
        <v>930</v>
      </c>
      <c r="M72" s="33" t="n">
        <f aca="false">SUMIFS('Existing vs Saran'!$I$5:$I$210,'Existing vs Saran'!$N$5:$N$210,A72)</f>
        <v>0</v>
      </c>
      <c r="N72" s="12" t="s">
        <v>1083</v>
      </c>
      <c r="O72" s="5" t="s">
        <v>986</v>
      </c>
      <c r="P72" s="12"/>
    </row>
    <row r="73" customFormat="false" ht="15" hidden="false" customHeight="false" outlineLevel="0" collapsed="false">
      <c r="A73" s="12" t="n">
        <v>160</v>
      </c>
      <c r="B73" s="12" t="s">
        <v>643</v>
      </c>
      <c r="C73" s="12" t="s">
        <v>949</v>
      </c>
      <c r="D73" s="12" t="s">
        <v>1082</v>
      </c>
      <c r="E73" s="12" t="n">
        <v>5</v>
      </c>
      <c r="F73" s="12" t="s">
        <v>18</v>
      </c>
      <c r="G73" s="12" t="s">
        <v>82</v>
      </c>
      <c r="H73" s="12" t="s">
        <v>94</v>
      </c>
      <c r="I73" s="12" t="s">
        <v>314</v>
      </c>
      <c r="J73" s="12"/>
      <c r="K73" s="12"/>
      <c r="L73" s="5" t="s">
        <v>930</v>
      </c>
      <c r="M73" s="33" t="n">
        <f aca="false">SUMIFS('Existing vs Saran'!$I$5:$I$210,'Existing vs Saran'!$N$5:$N$210,A73)</f>
        <v>0</v>
      </c>
      <c r="N73" s="12" t="s">
        <v>1084</v>
      </c>
      <c r="O73" s="5" t="s">
        <v>954</v>
      </c>
      <c r="P73" s="12"/>
    </row>
    <row r="74" customFormat="false" ht="15" hidden="false" customHeight="false" outlineLevel="0" collapsed="false">
      <c r="A74" s="12" t="n">
        <v>112</v>
      </c>
      <c r="B74" s="12" t="s">
        <v>755</v>
      </c>
      <c r="C74" s="12" t="s">
        <v>949</v>
      </c>
      <c r="D74" s="12" t="s">
        <v>1082</v>
      </c>
      <c r="E74" s="12" t="n">
        <v>5</v>
      </c>
      <c r="F74" s="12" t="s">
        <v>379</v>
      </c>
      <c r="G74" s="12" t="s">
        <v>585</v>
      </c>
      <c r="H74" s="12" t="s">
        <v>94</v>
      </c>
      <c r="I74" s="12" t="s">
        <v>314</v>
      </c>
      <c r="J74" s="12"/>
      <c r="K74" s="12"/>
      <c r="L74" s="5" t="s">
        <v>930</v>
      </c>
      <c r="M74" s="33" t="n">
        <f aca="false">SUMIFS('Existing vs Saran'!$I$5:$I$210,'Existing vs Saran'!$N$5:$N$210,A74)</f>
        <v>0</v>
      </c>
      <c r="N74" s="12" t="s">
        <v>1085</v>
      </c>
      <c r="O74" s="5" t="s">
        <v>1086</v>
      </c>
      <c r="P74" s="12"/>
    </row>
    <row r="75" customFormat="false" ht="15" hidden="false" customHeight="false" outlineLevel="0" collapsed="false">
      <c r="A75" s="12" t="n">
        <v>355</v>
      </c>
      <c r="B75" s="12" t="s">
        <v>911</v>
      </c>
      <c r="C75" s="12" t="s">
        <v>949</v>
      </c>
      <c r="D75" s="12" t="s">
        <v>1082</v>
      </c>
      <c r="E75" s="12" t="n">
        <v>5</v>
      </c>
      <c r="F75" s="12" t="s">
        <v>797</v>
      </c>
      <c r="G75" s="12" t="s">
        <v>798</v>
      </c>
      <c r="H75" s="12" t="s">
        <v>94</v>
      </c>
      <c r="I75" s="12" t="s">
        <v>314</v>
      </c>
      <c r="J75" s="12"/>
      <c r="K75" s="12"/>
      <c r="L75" s="5" t="s">
        <v>930</v>
      </c>
      <c r="M75" s="33" t="n">
        <f aca="false">SUMIFS('Existing vs Saran'!$I$5:$I$210,'Existing vs Saran'!$N$5:$N$210,A75)</f>
        <v>0</v>
      </c>
      <c r="N75" s="12" t="s">
        <v>1087</v>
      </c>
      <c r="O75" s="5" t="s">
        <v>956</v>
      </c>
      <c r="P75" s="12"/>
    </row>
    <row r="76" customFormat="false" ht="15" hidden="false" customHeight="false" outlineLevel="0" collapsed="false">
      <c r="A76" s="12" t="n">
        <v>243</v>
      </c>
      <c r="B76" s="12" t="s">
        <v>1088</v>
      </c>
      <c r="C76" s="12" t="s">
        <v>949</v>
      </c>
      <c r="D76" s="12" t="s">
        <v>1089</v>
      </c>
      <c r="E76" s="12" t="n">
        <v>4</v>
      </c>
      <c r="F76" s="12" t="s">
        <v>351</v>
      </c>
      <c r="G76" s="12" t="s">
        <v>777</v>
      </c>
      <c r="H76" s="12" t="s">
        <v>94</v>
      </c>
      <c r="I76" s="12" t="s">
        <v>314</v>
      </c>
      <c r="J76" s="12"/>
      <c r="K76" s="12"/>
      <c r="L76" s="5" t="s">
        <v>930</v>
      </c>
      <c r="M76" s="33" t="n">
        <f aca="false">SUMIFS('Existing vs Saran'!$I$5:$I$210,'Existing vs Saran'!$N$5:$N$210,A76)</f>
        <v>0</v>
      </c>
      <c r="N76" s="12" t="s">
        <v>1090</v>
      </c>
      <c r="O76" s="5" t="s">
        <v>1012</v>
      </c>
      <c r="P76" s="12"/>
    </row>
    <row r="77" customFormat="false" ht="23.85" hidden="false" customHeight="false" outlineLevel="0" collapsed="false">
      <c r="A77" s="12" t="n">
        <v>171</v>
      </c>
      <c r="B77" s="12" t="s">
        <v>1091</v>
      </c>
      <c r="C77" s="12" t="s">
        <v>949</v>
      </c>
      <c r="D77" s="12" t="s">
        <v>1089</v>
      </c>
      <c r="E77" s="12" t="n">
        <v>1</v>
      </c>
      <c r="F77" s="12" t="s">
        <v>20</v>
      </c>
      <c r="G77" s="12" t="s">
        <v>139</v>
      </c>
      <c r="H77" s="12" t="s">
        <v>94</v>
      </c>
      <c r="I77" s="12" t="s">
        <v>339</v>
      </c>
      <c r="J77" s="12"/>
      <c r="K77" s="12"/>
      <c r="L77" s="5" t="s">
        <v>930</v>
      </c>
      <c r="M77" s="33" t="n">
        <f aca="false">SUMIFS('Existing vs Saran'!$I$5:$I$210,'Existing vs Saran'!$N$5:$N$210,A77)</f>
        <v>0</v>
      </c>
      <c r="N77" s="12" t="s">
        <v>1092</v>
      </c>
      <c r="O77" s="5" t="s">
        <v>1093</v>
      </c>
      <c r="P77" s="12"/>
    </row>
    <row r="78" customFormat="false" ht="15" hidden="false" customHeight="false" outlineLevel="0" collapsed="false">
      <c r="A78" s="12" t="n">
        <v>245</v>
      </c>
      <c r="B78" s="12" t="s">
        <v>1094</v>
      </c>
      <c r="C78" s="12" t="s">
        <v>949</v>
      </c>
      <c r="D78" s="12" t="s">
        <v>1089</v>
      </c>
      <c r="E78" s="12" t="n">
        <v>4</v>
      </c>
      <c r="F78" s="12" t="s">
        <v>351</v>
      </c>
      <c r="G78" s="12" t="s">
        <v>960</v>
      </c>
      <c r="H78" s="12" t="s">
        <v>85</v>
      </c>
      <c r="I78" s="12" t="s">
        <v>314</v>
      </c>
      <c r="J78" s="12"/>
      <c r="K78" s="12"/>
      <c r="L78" s="5" t="s">
        <v>930</v>
      </c>
      <c r="M78" s="33" t="n">
        <f aca="false">SUMIFS('Existing vs Saran'!$I$5:$I$210,'Existing vs Saran'!$N$5:$N$210,A78)</f>
        <v>0</v>
      </c>
      <c r="N78" s="12" t="s">
        <v>1095</v>
      </c>
      <c r="O78" s="5" t="s">
        <v>1096</v>
      </c>
      <c r="P78" s="12"/>
    </row>
    <row r="79" customFormat="false" ht="15" hidden="false" customHeight="false" outlineLevel="0" collapsed="false">
      <c r="A79" s="12" t="n">
        <v>385</v>
      </c>
      <c r="B79" s="12" t="s">
        <v>1097</v>
      </c>
      <c r="C79" s="12" t="s">
        <v>949</v>
      </c>
      <c r="D79" s="12" t="s">
        <v>1089</v>
      </c>
      <c r="E79" s="12" t="n">
        <v>4</v>
      </c>
      <c r="F79" s="12" t="s">
        <v>917</v>
      </c>
      <c r="G79" s="12" t="s">
        <v>1056</v>
      </c>
      <c r="H79" s="12" t="s">
        <v>94</v>
      </c>
      <c r="I79" s="12" t="s">
        <v>339</v>
      </c>
      <c r="J79" s="12"/>
      <c r="K79" s="12"/>
      <c r="L79" s="5" t="s">
        <v>930</v>
      </c>
      <c r="M79" s="33" t="n">
        <f aca="false">SUMIFS('Existing vs Saran'!$I$5:$I$210,'Existing vs Saran'!$N$5:$N$210,A79)</f>
        <v>0</v>
      </c>
      <c r="N79" s="12" t="s">
        <v>1098</v>
      </c>
      <c r="O79" s="5" t="s">
        <v>954</v>
      </c>
      <c r="P79" s="12"/>
    </row>
    <row r="80" customFormat="false" ht="23.85" hidden="false" customHeight="false" outlineLevel="0" collapsed="false">
      <c r="A80" s="12" t="n">
        <v>72</v>
      </c>
      <c r="B80" s="12" t="s">
        <v>1099</v>
      </c>
      <c r="C80" s="12" t="s">
        <v>949</v>
      </c>
      <c r="D80" s="12" t="s">
        <v>1089</v>
      </c>
      <c r="E80" s="12" t="n">
        <v>5</v>
      </c>
      <c r="F80" s="12" t="s">
        <v>379</v>
      </c>
      <c r="G80" s="12" t="s">
        <v>982</v>
      </c>
      <c r="H80" s="12" t="s">
        <v>94</v>
      </c>
      <c r="I80" s="12" t="s">
        <v>339</v>
      </c>
      <c r="J80" s="12"/>
      <c r="K80" s="12"/>
      <c r="L80" s="5" t="s">
        <v>930</v>
      </c>
      <c r="M80" s="33" t="n">
        <f aca="false">SUMIFS('Existing vs Saran'!$I$5:$I$210,'Existing vs Saran'!$N$5:$N$210,A80)</f>
        <v>0</v>
      </c>
      <c r="N80" s="12" t="s">
        <v>1100</v>
      </c>
      <c r="O80" s="5" t="s">
        <v>1101</v>
      </c>
      <c r="P80" s="12"/>
    </row>
    <row r="81" customFormat="false" ht="23.85" hidden="false" customHeight="false" outlineLevel="0" collapsed="false">
      <c r="A81" s="12" t="n">
        <v>73</v>
      </c>
      <c r="B81" s="12" t="s">
        <v>1102</v>
      </c>
      <c r="C81" s="12" t="s">
        <v>949</v>
      </c>
      <c r="D81" s="12" t="s">
        <v>1089</v>
      </c>
      <c r="E81" s="12" t="n">
        <v>5</v>
      </c>
      <c r="F81" s="12" t="s">
        <v>379</v>
      </c>
      <c r="G81" s="12" t="s">
        <v>571</v>
      </c>
      <c r="H81" s="12" t="s">
        <v>94</v>
      </c>
      <c r="I81" s="12" t="s">
        <v>339</v>
      </c>
      <c r="J81" s="12"/>
      <c r="K81" s="12"/>
      <c r="L81" s="5" t="s">
        <v>930</v>
      </c>
      <c r="M81" s="33" t="n">
        <f aca="false">SUMIFS('Existing vs Saran'!$I$5:$I$210,'Existing vs Saran'!$N$5:$N$210,A81)</f>
        <v>0</v>
      </c>
      <c r="N81" s="12" t="s">
        <v>1103</v>
      </c>
      <c r="O81" s="5" t="s">
        <v>1104</v>
      </c>
      <c r="P81" s="12"/>
    </row>
    <row r="82" customFormat="false" ht="15" hidden="false" customHeight="false" outlineLevel="0" collapsed="false">
      <c r="A82" s="12" t="n">
        <v>177</v>
      </c>
      <c r="B82" s="12" t="s">
        <v>1105</v>
      </c>
      <c r="C82" s="12" t="s">
        <v>949</v>
      </c>
      <c r="D82" s="12" t="s">
        <v>1089</v>
      </c>
      <c r="E82" s="12" t="n">
        <v>4</v>
      </c>
      <c r="F82" s="12" t="s">
        <v>20</v>
      </c>
      <c r="G82" s="12" t="s">
        <v>707</v>
      </c>
      <c r="H82" s="12" t="s">
        <v>94</v>
      </c>
      <c r="I82" s="12" t="s">
        <v>339</v>
      </c>
      <c r="J82" s="12"/>
      <c r="K82" s="12"/>
      <c r="L82" s="5" t="s">
        <v>1106</v>
      </c>
      <c r="M82" s="33" t="n">
        <f aca="false">SUMIFS('Existing vs Saran'!$I$5:$I$210,'Existing vs Saran'!$N$5:$N$210,A82)</f>
        <v>0</v>
      </c>
      <c r="N82" s="12" t="s">
        <v>1107</v>
      </c>
      <c r="O82" s="5" t="s">
        <v>1108</v>
      </c>
      <c r="P82" s="12"/>
    </row>
    <row r="83" customFormat="false" ht="15" hidden="false" customHeight="false" outlineLevel="0" collapsed="false">
      <c r="A83" s="12" t="n">
        <v>386</v>
      </c>
      <c r="B83" s="12" t="s">
        <v>1109</v>
      </c>
      <c r="C83" s="12" t="s">
        <v>949</v>
      </c>
      <c r="D83" s="12" t="s">
        <v>1089</v>
      </c>
      <c r="E83" s="12" t="n">
        <v>4</v>
      </c>
      <c r="F83" s="12" t="s">
        <v>917</v>
      </c>
      <c r="G83" s="12" t="s">
        <v>1110</v>
      </c>
      <c r="H83" s="12" t="s">
        <v>94</v>
      </c>
      <c r="I83" s="12" t="s">
        <v>339</v>
      </c>
      <c r="J83" s="12"/>
      <c r="K83" s="12"/>
      <c r="L83" s="5" t="s">
        <v>930</v>
      </c>
      <c r="M83" s="33" t="n">
        <f aca="false">SUMIFS('Existing vs Saran'!$I$5:$I$210,'Existing vs Saran'!$N$5:$N$210,A83)</f>
        <v>0</v>
      </c>
      <c r="N83" s="12" t="s">
        <v>1111</v>
      </c>
      <c r="O83" s="5" t="s">
        <v>954</v>
      </c>
      <c r="P83" s="12"/>
    </row>
    <row r="84" customFormat="false" ht="15" hidden="false" customHeight="false" outlineLevel="0" collapsed="false">
      <c r="A84" s="12" t="n">
        <v>248</v>
      </c>
      <c r="B84" s="12" t="s">
        <v>1112</v>
      </c>
      <c r="C84" s="12" t="s">
        <v>949</v>
      </c>
      <c r="D84" s="12" t="s">
        <v>1089</v>
      </c>
      <c r="E84" s="12" t="n">
        <v>4</v>
      </c>
      <c r="F84" s="12" t="s">
        <v>351</v>
      </c>
      <c r="G84" s="12" t="s">
        <v>1113</v>
      </c>
      <c r="H84" s="12" t="s">
        <v>94</v>
      </c>
      <c r="I84" s="12" t="s">
        <v>314</v>
      </c>
      <c r="J84" s="12"/>
      <c r="K84" s="12"/>
      <c r="L84" s="5" t="s">
        <v>1106</v>
      </c>
      <c r="M84" s="33" t="n">
        <f aca="false">SUMIFS('Existing vs Saran'!$I$5:$I$210,'Existing vs Saran'!$N$5:$N$210,A84)</f>
        <v>0</v>
      </c>
      <c r="N84" s="12" t="s">
        <v>1114</v>
      </c>
      <c r="O84" s="5" t="s">
        <v>1012</v>
      </c>
      <c r="P84" s="12"/>
    </row>
    <row r="85" customFormat="false" ht="15" hidden="false" customHeight="false" outlineLevel="0" collapsed="false">
      <c r="A85" s="12" t="n">
        <v>313</v>
      </c>
      <c r="B85" s="12" t="s">
        <v>1115</v>
      </c>
      <c r="C85" s="12" t="s">
        <v>949</v>
      </c>
      <c r="D85" s="12" t="s">
        <v>1089</v>
      </c>
      <c r="E85" s="12" t="n">
        <v>4</v>
      </c>
      <c r="F85" s="12" t="s">
        <v>356</v>
      </c>
      <c r="G85" s="12" t="s">
        <v>1116</v>
      </c>
      <c r="H85" s="12" t="s">
        <v>94</v>
      </c>
      <c r="I85" s="12" t="s">
        <v>339</v>
      </c>
      <c r="J85" s="12"/>
      <c r="K85" s="12"/>
      <c r="L85" s="5" t="s">
        <v>930</v>
      </c>
      <c r="M85" s="33" t="n">
        <f aca="false">SUMIFS('Existing vs Saran'!$I$5:$I$210,'Existing vs Saran'!$N$5:$N$210,A85)</f>
        <v>0</v>
      </c>
      <c r="N85" s="12" t="s">
        <v>1117</v>
      </c>
      <c r="O85" s="5" t="s">
        <v>1118</v>
      </c>
      <c r="P85" s="12"/>
    </row>
    <row r="86" customFormat="false" ht="23.85" hidden="false" customHeight="false" outlineLevel="0" collapsed="false">
      <c r="A86" s="12" t="n">
        <v>132</v>
      </c>
      <c r="B86" s="12" t="s">
        <v>1119</v>
      </c>
      <c r="C86" s="12" t="s">
        <v>949</v>
      </c>
      <c r="D86" s="12" t="s">
        <v>1089</v>
      </c>
      <c r="E86" s="12" t="n">
        <v>5</v>
      </c>
      <c r="F86" s="12" t="s">
        <v>904</v>
      </c>
      <c r="G86" s="12" t="s">
        <v>1120</v>
      </c>
      <c r="H86" s="12" t="s">
        <v>94</v>
      </c>
      <c r="I86" s="12" t="s">
        <v>314</v>
      </c>
      <c r="J86" s="12"/>
      <c r="K86" s="12"/>
      <c r="L86" s="5" t="s">
        <v>930</v>
      </c>
      <c r="M86" s="33" t="n">
        <f aca="false">SUMIFS('Existing vs Saran'!$I$5:$I$210,'Existing vs Saran'!$N$5:$N$210,A86)</f>
        <v>0</v>
      </c>
      <c r="N86" s="12" t="s">
        <v>1121</v>
      </c>
      <c r="O86" s="5" t="s">
        <v>1122</v>
      </c>
      <c r="P86" s="12"/>
    </row>
    <row r="87" customFormat="false" ht="15" hidden="false" customHeight="false" outlineLevel="0" collapsed="false">
      <c r="A87" s="12" t="n">
        <v>17</v>
      </c>
      <c r="B87" s="12" t="s">
        <v>1123</v>
      </c>
      <c r="C87" s="12" t="s">
        <v>949</v>
      </c>
      <c r="D87" s="12" t="s">
        <v>1089</v>
      </c>
      <c r="E87" s="12" t="n">
        <v>3</v>
      </c>
      <c r="F87" s="12" t="s">
        <v>354</v>
      </c>
      <c r="G87" s="12" t="s">
        <v>1124</v>
      </c>
      <c r="H87" s="12" t="s">
        <v>94</v>
      </c>
      <c r="I87" s="12" t="s">
        <v>314</v>
      </c>
      <c r="J87" s="12"/>
      <c r="K87" s="12"/>
      <c r="L87" s="5" t="s">
        <v>930</v>
      </c>
      <c r="M87" s="33" t="n">
        <f aca="false">SUMIFS('Existing vs Saran'!$I$5:$I$210,'Existing vs Saran'!$N$5:$N$210,A87)</f>
        <v>0</v>
      </c>
      <c r="N87" s="12" t="s">
        <v>1125</v>
      </c>
      <c r="O87" s="5" t="s">
        <v>1126</v>
      </c>
      <c r="P87" s="12"/>
    </row>
    <row r="88" customFormat="false" ht="23.85" hidden="false" customHeight="false" outlineLevel="0" collapsed="false">
      <c r="A88" s="12" t="n">
        <v>362</v>
      </c>
      <c r="B88" s="12" t="s">
        <v>1127</v>
      </c>
      <c r="C88" s="12" t="s">
        <v>949</v>
      </c>
      <c r="D88" s="12" t="s">
        <v>1089</v>
      </c>
      <c r="E88" s="12" t="n">
        <v>5</v>
      </c>
      <c r="F88" s="12" t="s">
        <v>914</v>
      </c>
      <c r="G88" s="12" t="s">
        <v>1128</v>
      </c>
      <c r="H88" s="12" t="s">
        <v>94</v>
      </c>
      <c r="I88" s="12" t="s">
        <v>314</v>
      </c>
      <c r="J88" s="12"/>
      <c r="K88" s="12"/>
      <c r="L88" s="5" t="s">
        <v>930</v>
      </c>
      <c r="M88" s="33" t="n">
        <f aca="false">SUMIFS('Existing vs Saran'!$I$5:$I$210,'Existing vs Saran'!$N$5:$N$210,A88)</f>
        <v>0</v>
      </c>
      <c r="N88" s="12" t="s">
        <v>1129</v>
      </c>
      <c r="O88" s="5" t="s">
        <v>1130</v>
      </c>
      <c r="P88" s="12"/>
    </row>
    <row r="89" customFormat="false" ht="23.85" hidden="false" customHeight="false" outlineLevel="0" collapsed="false">
      <c r="A89" s="12" t="n">
        <v>418</v>
      </c>
      <c r="B89" s="12" t="s">
        <v>1131</v>
      </c>
      <c r="C89" s="12" t="s">
        <v>949</v>
      </c>
      <c r="D89" s="12" t="s">
        <v>1089</v>
      </c>
      <c r="E89" s="12" t="n">
        <v>4</v>
      </c>
      <c r="F89" s="12" t="s">
        <v>22</v>
      </c>
      <c r="G89" s="12" t="s">
        <v>209</v>
      </c>
      <c r="H89" s="12" t="s">
        <v>94</v>
      </c>
      <c r="I89" s="12" t="s">
        <v>339</v>
      </c>
      <c r="J89" s="12"/>
      <c r="K89" s="12"/>
      <c r="L89" s="5" t="s">
        <v>930</v>
      </c>
      <c r="M89" s="33" t="n">
        <f aca="false">SUMIFS('Existing vs Saran'!$I$5:$I$210,'Existing vs Saran'!$N$5:$N$210,A89)</f>
        <v>0</v>
      </c>
      <c r="N89" s="12" t="s">
        <v>1132</v>
      </c>
      <c r="O89" s="5" t="s">
        <v>1016</v>
      </c>
      <c r="P89" s="12"/>
    </row>
    <row r="90" customFormat="false" ht="15" hidden="false" customHeight="false" outlineLevel="0" collapsed="false">
      <c r="A90" s="12" t="n">
        <v>45</v>
      </c>
      <c r="B90" s="12" t="s">
        <v>1133</v>
      </c>
      <c r="C90" s="12" t="s">
        <v>949</v>
      </c>
      <c r="D90" s="12" t="s">
        <v>1089</v>
      </c>
      <c r="E90" s="12" t="n">
        <v>5</v>
      </c>
      <c r="F90" s="12" t="s">
        <v>548</v>
      </c>
      <c r="G90" s="12" t="s">
        <v>1134</v>
      </c>
      <c r="H90" s="12" t="s">
        <v>94</v>
      </c>
      <c r="I90" s="12" t="s">
        <v>339</v>
      </c>
      <c r="J90" s="12"/>
      <c r="K90" s="12"/>
      <c r="L90" s="5" t="s">
        <v>930</v>
      </c>
      <c r="M90" s="33" t="n">
        <f aca="false">SUMIFS('Existing vs Saran'!$I$5:$I$210,'Existing vs Saran'!$N$5:$N$210,A90)</f>
        <v>0</v>
      </c>
      <c r="N90" s="12" t="s">
        <v>1135</v>
      </c>
      <c r="O90" s="5" t="s">
        <v>956</v>
      </c>
      <c r="P90" s="12"/>
    </row>
    <row r="91" customFormat="false" ht="23.85" hidden="false" customHeight="false" outlineLevel="0" collapsed="false">
      <c r="A91" s="12" t="n">
        <v>87</v>
      </c>
      <c r="B91" s="12" t="s">
        <v>1136</v>
      </c>
      <c r="C91" s="12" t="s">
        <v>949</v>
      </c>
      <c r="D91" s="12" t="s">
        <v>1089</v>
      </c>
      <c r="E91" s="12" t="n">
        <v>5</v>
      </c>
      <c r="F91" s="12" t="s">
        <v>379</v>
      </c>
      <c r="G91" s="12" t="s">
        <v>571</v>
      </c>
      <c r="H91" s="12" t="s">
        <v>106</v>
      </c>
      <c r="I91" s="12" t="s">
        <v>314</v>
      </c>
      <c r="J91" s="12"/>
      <c r="K91" s="12"/>
      <c r="L91" s="5" t="s">
        <v>930</v>
      </c>
      <c r="M91" s="33" t="n">
        <f aca="false">SUMIFS('Existing vs Saran'!$I$5:$I$210,'Existing vs Saran'!$N$5:$N$210,A91)</f>
        <v>0</v>
      </c>
      <c r="N91" s="12" t="s">
        <v>1137</v>
      </c>
      <c r="O91" s="5" t="s">
        <v>1138</v>
      </c>
      <c r="P91" s="12"/>
    </row>
    <row r="92" customFormat="false" ht="15" hidden="false" customHeight="false" outlineLevel="0" collapsed="false">
      <c r="A92" s="12" t="n">
        <v>315</v>
      </c>
      <c r="B92" s="12" t="s">
        <v>1139</v>
      </c>
      <c r="C92" s="12" t="s">
        <v>949</v>
      </c>
      <c r="D92" s="12" t="s">
        <v>1089</v>
      </c>
      <c r="E92" s="12" t="n">
        <v>5</v>
      </c>
      <c r="F92" s="12" t="s">
        <v>356</v>
      </c>
      <c r="G92" s="12" t="s">
        <v>1116</v>
      </c>
      <c r="H92" s="12" t="s">
        <v>94</v>
      </c>
      <c r="I92" s="12" t="s">
        <v>339</v>
      </c>
      <c r="J92" s="12"/>
      <c r="K92" s="12"/>
      <c r="L92" s="5" t="s">
        <v>1106</v>
      </c>
      <c r="M92" s="33" t="n">
        <f aca="false">SUMIFS('Existing vs Saran'!$I$5:$I$210,'Existing vs Saran'!$N$5:$N$210,A92)</f>
        <v>0</v>
      </c>
      <c r="N92" s="12" t="s">
        <v>1140</v>
      </c>
      <c r="O92" s="5" t="s">
        <v>1141</v>
      </c>
      <c r="P92" s="12"/>
    </row>
    <row r="93" customFormat="false" ht="23.85" hidden="false" customHeight="false" outlineLevel="0" collapsed="false">
      <c r="A93" s="12" t="n">
        <v>373</v>
      </c>
      <c r="B93" s="12" t="s">
        <v>1142</v>
      </c>
      <c r="C93" s="12" t="s">
        <v>949</v>
      </c>
      <c r="D93" s="12" t="s">
        <v>1089</v>
      </c>
      <c r="E93" s="12" t="n">
        <v>5</v>
      </c>
      <c r="F93" s="12" t="s">
        <v>916</v>
      </c>
      <c r="G93" s="12" t="s">
        <v>1143</v>
      </c>
      <c r="H93" s="12" t="s">
        <v>94</v>
      </c>
      <c r="I93" s="12" t="s">
        <v>314</v>
      </c>
      <c r="J93" s="12"/>
      <c r="K93" s="12"/>
      <c r="L93" s="5" t="s">
        <v>930</v>
      </c>
      <c r="M93" s="33" t="n">
        <f aca="false">SUMIFS('Existing vs Saran'!$I$5:$I$210,'Existing vs Saran'!$N$5:$N$210,A93)</f>
        <v>0</v>
      </c>
      <c r="N93" s="12" t="s">
        <v>1144</v>
      </c>
      <c r="O93" s="5" t="s">
        <v>1122</v>
      </c>
      <c r="P93" s="12"/>
    </row>
    <row r="94" customFormat="false" ht="23.85" hidden="false" customHeight="false" outlineLevel="0" collapsed="false">
      <c r="A94" s="12" t="n">
        <v>317</v>
      </c>
      <c r="B94" s="12" t="s">
        <v>1145</v>
      </c>
      <c r="C94" s="12" t="s">
        <v>949</v>
      </c>
      <c r="D94" s="12" t="s">
        <v>1089</v>
      </c>
      <c r="E94" s="12" t="n">
        <v>4</v>
      </c>
      <c r="F94" s="12" t="s">
        <v>356</v>
      </c>
      <c r="G94" s="12" t="s">
        <v>1116</v>
      </c>
      <c r="H94" s="12" t="s">
        <v>94</v>
      </c>
      <c r="I94" s="12" t="s">
        <v>339</v>
      </c>
      <c r="J94" s="12"/>
      <c r="K94" s="12"/>
      <c r="L94" s="5" t="s">
        <v>930</v>
      </c>
      <c r="M94" s="33" t="n">
        <f aca="false">SUMIFS('Existing vs Saran'!$I$5:$I$210,'Existing vs Saran'!$N$5:$N$210,A94)</f>
        <v>0</v>
      </c>
      <c r="N94" s="12" t="s">
        <v>1146</v>
      </c>
      <c r="O94" s="5" t="s">
        <v>1147</v>
      </c>
      <c r="P94" s="12"/>
    </row>
    <row r="95" customFormat="false" ht="15" hidden="false" customHeight="false" outlineLevel="0" collapsed="false">
      <c r="A95" s="12" t="n">
        <v>161</v>
      </c>
      <c r="B95" s="12" t="s">
        <v>1148</v>
      </c>
      <c r="C95" s="12" t="s">
        <v>949</v>
      </c>
      <c r="D95" s="12" t="s">
        <v>1089</v>
      </c>
      <c r="E95" s="12" t="n">
        <v>5</v>
      </c>
      <c r="F95" s="12" t="s">
        <v>18</v>
      </c>
      <c r="G95" s="12" t="s">
        <v>82</v>
      </c>
      <c r="H95" s="12" t="s">
        <v>94</v>
      </c>
      <c r="I95" s="12" t="s">
        <v>339</v>
      </c>
      <c r="J95" s="12"/>
      <c r="K95" s="12"/>
      <c r="L95" s="5" t="s">
        <v>930</v>
      </c>
      <c r="M95" s="33" t="n">
        <f aca="false">SUMIFS('Existing vs Saran'!$I$5:$I$210,'Existing vs Saran'!$N$5:$N$210,A95)</f>
        <v>0</v>
      </c>
      <c r="N95" s="12" t="s">
        <v>1149</v>
      </c>
      <c r="O95" s="5" t="s">
        <v>954</v>
      </c>
      <c r="P95" s="12"/>
    </row>
    <row r="96" customFormat="false" ht="23.85" hidden="false" customHeight="false" outlineLevel="0" collapsed="false">
      <c r="A96" s="12" t="n">
        <v>270</v>
      </c>
      <c r="B96" s="12" t="s">
        <v>1150</v>
      </c>
      <c r="C96" s="12" t="s">
        <v>949</v>
      </c>
      <c r="D96" s="12" t="s">
        <v>1089</v>
      </c>
      <c r="E96" s="12" t="n">
        <v>4</v>
      </c>
      <c r="F96" s="12" t="s">
        <v>351</v>
      </c>
      <c r="G96" s="12" t="s">
        <v>1113</v>
      </c>
      <c r="H96" s="12" t="s">
        <v>94</v>
      </c>
      <c r="I96" s="12" t="s">
        <v>314</v>
      </c>
      <c r="J96" s="12"/>
      <c r="K96" s="12"/>
      <c r="L96" s="5" t="s">
        <v>930</v>
      </c>
      <c r="M96" s="33" t="n">
        <f aca="false">SUMIFS('Existing vs Saran'!$I$5:$I$210,'Existing vs Saran'!$N$5:$N$210,A96)</f>
        <v>0</v>
      </c>
      <c r="N96" s="12" t="s">
        <v>1151</v>
      </c>
      <c r="O96" s="5" t="s">
        <v>1152</v>
      </c>
      <c r="P96" s="12"/>
    </row>
    <row r="97" customFormat="false" ht="15" hidden="false" customHeight="false" outlineLevel="0" collapsed="false">
      <c r="A97" s="12" t="n">
        <v>392</v>
      </c>
      <c r="B97" s="12" t="s">
        <v>1153</v>
      </c>
      <c r="C97" s="12" t="s">
        <v>949</v>
      </c>
      <c r="D97" s="12" t="s">
        <v>1089</v>
      </c>
      <c r="E97" s="12" t="n">
        <v>4</v>
      </c>
      <c r="F97" s="12" t="s">
        <v>917</v>
      </c>
      <c r="G97" s="12" t="s">
        <v>1154</v>
      </c>
      <c r="H97" s="12" t="s">
        <v>94</v>
      </c>
      <c r="I97" s="12" t="s">
        <v>339</v>
      </c>
      <c r="J97" s="12"/>
      <c r="K97" s="12"/>
      <c r="L97" s="5" t="s">
        <v>930</v>
      </c>
      <c r="M97" s="33" t="n">
        <f aca="false">SUMIFS('Existing vs Saran'!$I$5:$I$210,'Existing vs Saran'!$N$5:$N$210,A97)</f>
        <v>0</v>
      </c>
      <c r="N97" s="12" t="s">
        <v>1155</v>
      </c>
      <c r="O97" s="5" t="s">
        <v>954</v>
      </c>
      <c r="P97" s="12"/>
    </row>
    <row r="98" customFormat="false" ht="23.85" hidden="false" customHeight="false" outlineLevel="0" collapsed="false">
      <c r="A98" s="12" t="n">
        <v>97</v>
      </c>
      <c r="B98" s="12" t="s">
        <v>1156</v>
      </c>
      <c r="C98" s="12" t="s">
        <v>949</v>
      </c>
      <c r="D98" s="12" t="s">
        <v>1089</v>
      </c>
      <c r="E98" s="12" t="n">
        <v>5</v>
      </c>
      <c r="F98" s="12" t="s">
        <v>379</v>
      </c>
      <c r="G98" s="12" t="s">
        <v>571</v>
      </c>
      <c r="H98" s="12" t="s">
        <v>94</v>
      </c>
      <c r="I98" s="12" t="s">
        <v>339</v>
      </c>
      <c r="J98" s="12"/>
      <c r="K98" s="12"/>
      <c r="L98" s="5" t="s">
        <v>1106</v>
      </c>
      <c r="M98" s="33" t="n">
        <f aca="false">SUMIFS('Existing vs Saran'!$I$5:$I$210,'Existing vs Saran'!$N$5:$N$210,A98)</f>
        <v>0</v>
      </c>
      <c r="N98" s="12" t="s">
        <v>1157</v>
      </c>
      <c r="O98" s="5" t="s">
        <v>1158</v>
      </c>
      <c r="P98" s="12"/>
    </row>
    <row r="99" customFormat="false" ht="15" hidden="false" customHeight="false" outlineLevel="0" collapsed="false">
      <c r="A99" s="12" t="n">
        <v>199</v>
      </c>
      <c r="B99" s="12" t="s">
        <v>1159</v>
      </c>
      <c r="C99" s="12" t="s">
        <v>949</v>
      </c>
      <c r="D99" s="12" t="s">
        <v>1089</v>
      </c>
      <c r="E99" s="12" t="n">
        <v>5</v>
      </c>
      <c r="F99" s="12" t="s">
        <v>20</v>
      </c>
      <c r="G99" s="12" t="s">
        <v>707</v>
      </c>
      <c r="H99" s="12" t="s">
        <v>94</v>
      </c>
      <c r="I99" s="12" t="s">
        <v>339</v>
      </c>
      <c r="J99" s="12"/>
      <c r="K99" s="12"/>
      <c r="L99" s="5" t="s">
        <v>1106</v>
      </c>
      <c r="M99" s="33" t="n">
        <f aca="false">SUMIFS('Existing vs Saran'!$I$5:$I$210,'Existing vs Saran'!$N$5:$N$210,A99)</f>
        <v>0</v>
      </c>
      <c r="N99" s="12" t="s">
        <v>1160</v>
      </c>
      <c r="O99" s="5" t="s">
        <v>1161</v>
      </c>
      <c r="P99" s="12"/>
    </row>
    <row r="100" customFormat="false" ht="15" hidden="false" customHeight="false" outlineLevel="0" collapsed="false">
      <c r="A100" s="12" t="n">
        <v>52</v>
      </c>
      <c r="B100" s="12" t="s">
        <v>1162</v>
      </c>
      <c r="C100" s="12" t="s">
        <v>949</v>
      </c>
      <c r="D100" s="12" t="s">
        <v>1089</v>
      </c>
      <c r="E100" s="12" t="n">
        <v>5</v>
      </c>
      <c r="F100" s="12" t="s">
        <v>548</v>
      </c>
      <c r="G100" s="12" t="s">
        <v>1134</v>
      </c>
      <c r="H100" s="12" t="s">
        <v>85</v>
      </c>
      <c r="I100" s="12" t="s">
        <v>339</v>
      </c>
      <c r="J100" s="12"/>
      <c r="K100" s="12"/>
      <c r="L100" s="5" t="s">
        <v>1106</v>
      </c>
      <c r="M100" s="33" t="n">
        <f aca="false">SUMIFS('Existing vs Saran'!$I$5:$I$210,'Existing vs Saran'!$N$5:$N$210,A100)</f>
        <v>0</v>
      </c>
      <c r="N100" s="12" t="s">
        <v>1163</v>
      </c>
      <c r="O100" s="5" t="s">
        <v>1164</v>
      </c>
      <c r="P100" s="12"/>
    </row>
    <row r="101" customFormat="false" ht="23.85" hidden="false" customHeight="false" outlineLevel="0" collapsed="false">
      <c r="A101" s="12" t="n">
        <v>429</v>
      </c>
      <c r="B101" s="12" t="s">
        <v>1165</v>
      </c>
      <c r="C101" s="12" t="s">
        <v>949</v>
      </c>
      <c r="D101" s="12" t="s">
        <v>1089</v>
      </c>
      <c r="E101" s="12" t="n">
        <v>5</v>
      </c>
      <c r="F101" s="12" t="s">
        <v>22</v>
      </c>
      <c r="G101" s="12" t="s">
        <v>1166</v>
      </c>
      <c r="H101" s="12" t="s">
        <v>94</v>
      </c>
      <c r="I101" s="12" t="s">
        <v>339</v>
      </c>
      <c r="J101" s="12"/>
      <c r="K101" s="12"/>
      <c r="L101" s="5" t="s">
        <v>1106</v>
      </c>
      <c r="M101" s="33" t="n">
        <f aca="false">SUMIFS('Existing vs Saran'!$I$5:$I$210,'Existing vs Saran'!$N$5:$N$210,A101)</f>
        <v>0</v>
      </c>
      <c r="N101" s="12" t="s">
        <v>1167</v>
      </c>
      <c r="O101" s="5" t="s">
        <v>1016</v>
      </c>
      <c r="P101" s="12"/>
    </row>
    <row r="102" customFormat="false" ht="15" hidden="false" customHeight="false" outlineLevel="0" collapsed="false">
      <c r="A102" s="12" t="n">
        <v>150</v>
      </c>
      <c r="B102" s="12" t="s">
        <v>1168</v>
      </c>
      <c r="C102" s="12" t="s">
        <v>949</v>
      </c>
      <c r="D102" s="12" t="s">
        <v>1089</v>
      </c>
      <c r="E102" s="12" t="n">
        <v>5</v>
      </c>
      <c r="F102" s="12" t="s">
        <v>905</v>
      </c>
      <c r="G102" s="12" t="s">
        <v>1169</v>
      </c>
      <c r="H102" s="12" t="s">
        <v>94</v>
      </c>
      <c r="I102" s="12" t="s">
        <v>339</v>
      </c>
      <c r="J102" s="12"/>
      <c r="K102" s="12"/>
      <c r="L102" s="5" t="s">
        <v>930</v>
      </c>
      <c r="M102" s="33" t="n">
        <f aca="false">SUMIFS('Existing vs Saran'!$I$5:$I$210,'Existing vs Saran'!$N$5:$N$210,A102)</f>
        <v>0</v>
      </c>
      <c r="N102" s="12" t="s">
        <v>1170</v>
      </c>
      <c r="O102" s="5" t="s">
        <v>954</v>
      </c>
      <c r="P102" s="12"/>
    </row>
    <row r="103" customFormat="false" ht="23.85" hidden="false" customHeight="false" outlineLevel="0" collapsed="false">
      <c r="A103" s="12" t="n">
        <v>279</v>
      </c>
      <c r="B103" s="12" t="s">
        <v>1171</v>
      </c>
      <c r="C103" s="12" t="s">
        <v>949</v>
      </c>
      <c r="D103" s="12" t="s">
        <v>1089</v>
      </c>
      <c r="E103" s="12" t="n">
        <v>5</v>
      </c>
      <c r="F103" s="12" t="s">
        <v>351</v>
      </c>
      <c r="G103" s="12" t="s">
        <v>1172</v>
      </c>
      <c r="H103" s="12" t="s">
        <v>94</v>
      </c>
      <c r="I103" s="12" t="s">
        <v>339</v>
      </c>
      <c r="J103" s="12"/>
      <c r="K103" s="12"/>
      <c r="L103" s="5" t="s">
        <v>930</v>
      </c>
      <c r="M103" s="33" t="n">
        <f aca="false">SUMIFS('Existing vs Saran'!$I$5:$I$210,'Existing vs Saran'!$N$5:$N$210,A103)</f>
        <v>0</v>
      </c>
      <c r="N103" s="12" t="s">
        <v>1173</v>
      </c>
      <c r="O103" s="5" t="s">
        <v>1122</v>
      </c>
      <c r="P103" s="12"/>
    </row>
    <row r="104" customFormat="false" ht="15" hidden="false" customHeight="false" outlineLevel="0" collapsed="false">
      <c r="A104" s="12" t="n">
        <v>434</v>
      </c>
      <c r="B104" s="12" t="s">
        <v>1174</v>
      </c>
      <c r="C104" s="12" t="s">
        <v>949</v>
      </c>
      <c r="D104" s="12" t="s">
        <v>1089</v>
      </c>
      <c r="E104" s="12" t="n">
        <v>4</v>
      </c>
      <c r="F104" s="12" t="s">
        <v>22</v>
      </c>
      <c r="G104" s="12" t="s">
        <v>1044</v>
      </c>
      <c r="H104" s="12" t="s">
        <v>94</v>
      </c>
      <c r="I104" s="12" t="s">
        <v>339</v>
      </c>
      <c r="J104" s="12"/>
      <c r="K104" s="12"/>
      <c r="L104" s="5" t="s">
        <v>930</v>
      </c>
      <c r="M104" s="33" t="n">
        <f aca="false">SUMIFS('Existing vs Saran'!$I$5:$I$210,'Existing vs Saran'!$N$5:$N$210,A104)</f>
        <v>0</v>
      </c>
      <c r="N104" s="12" t="s">
        <v>1175</v>
      </c>
      <c r="O104" s="5" t="s">
        <v>986</v>
      </c>
      <c r="P104" s="12"/>
    </row>
    <row r="105" customFormat="false" ht="35.05" hidden="false" customHeight="false" outlineLevel="0" collapsed="false">
      <c r="A105" s="12" t="n">
        <v>321</v>
      </c>
      <c r="B105" s="12" t="s">
        <v>1176</v>
      </c>
      <c r="C105" s="12" t="s">
        <v>949</v>
      </c>
      <c r="D105" s="12" t="s">
        <v>1089</v>
      </c>
      <c r="E105" s="12" t="n">
        <v>4</v>
      </c>
      <c r="F105" s="12" t="s">
        <v>356</v>
      </c>
      <c r="G105" s="12" t="s">
        <v>957</v>
      </c>
      <c r="H105" s="12" t="s">
        <v>94</v>
      </c>
      <c r="I105" s="12" t="s">
        <v>339</v>
      </c>
      <c r="J105" s="12"/>
      <c r="K105" s="12"/>
      <c r="L105" s="5" t="s">
        <v>930</v>
      </c>
      <c r="M105" s="33" t="n">
        <f aca="false">SUMIFS('Existing vs Saran'!$I$5:$I$210,'Existing vs Saran'!$N$5:$N$210,A105)</f>
        <v>0</v>
      </c>
      <c r="N105" s="12" t="s">
        <v>1177</v>
      </c>
      <c r="O105" s="5" t="s">
        <v>1178</v>
      </c>
      <c r="P105" s="12"/>
    </row>
    <row r="106" customFormat="false" ht="23.85" hidden="false" customHeight="false" outlineLevel="0" collapsed="false">
      <c r="A106" s="12" t="n">
        <v>282</v>
      </c>
      <c r="B106" s="12" t="s">
        <v>1179</v>
      </c>
      <c r="C106" s="12" t="s">
        <v>949</v>
      </c>
      <c r="D106" s="12" t="s">
        <v>1089</v>
      </c>
      <c r="E106" s="12" t="n">
        <v>5</v>
      </c>
      <c r="F106" s="12" t="s">
        <v>351</v>
      </c>
      <c r="G106" s="12" t="s">
        <v>960</v>
      </c>
      <c r="H106" s="12" t="s">
        <v>94</v>
      </c>
      <c r="I106" s="12" t="s">
        <v>339</v>
      </c>
      <c r="J106" s="12"/>
      <c r="K106" s="12"/>
      <c r="L106" s="5" t="s">
        <v>930</v>
      </c>
      <c r="M106" s="33" t="n">
        <f aca="false">SUMIFS('Existing vs Saran'!$I$5:$I$210,'Existing vs Saran'!$N$5:$N$210,A106)</f>
        <v>0</v>
      </c>
      <c r="N106" s="12" t="s">
        <v>1180</v>
      </c>
      <c r="O106" s="5" t="s">
        <v>1152</v>
      </c>
      <c r="P106" s="12"/>
    </row>
    <row r="107" customFormat="false" ht="23.85" hidden="false" customHeight="false" outlineLevel="0" collapsed="false">
      <c r="A107" s="12" t="n">
        <v>322</v>
      </c>
      <c r="B107" s="12" t="s">
        <v>1181</v>
      </c>
      <c r="C107" s="12" t="s">
        <v>949</v>
      </c>
      <c r="D107" s="12" t="s">
        <v>1089</v>
      </c>
      <c r="E107" s="12" t="n">
        <v>4</v>
      </c>
      <c r="F107" s="12" t="s">
        <v>356</v>
      </c>
      <c r="G107" s="12" t="s">
        <v>957</v>
      </c>
      <c r="H107" s="12" t="s">
        <v>94</v>
      </c>
      <c r="I107" s="12" t="s">
        <v>339</v>
      </c>
      <c r="J107" s="12"/>
      <c r="K107" s="12"/>
      <c r="L107" s="5" t="s">
        <v>930</v>
      </c>
      <c r="M107" s="33" t="n">
        <f aca="false">SUMIFS('Existing vs Saran'!$I$5:$I$210,'Existing vs Saran'!$N$5:$N$210,A107)</f>
        <v>0</v>
      </c>
      <c r="N107" s="12" t="s">
        <v>1182</v>
      </c>
      <c r="O107" s="5" t="s">
        <v>1183</v>
      </c>
      <c r="P107" s="12"/>
    </row>
    <row r="108" customFormat="false" ht="23.85" hidden="false" customHeight="false" outlineLevel="0" collapsed="false">
      <c r="A108" s="12" t="n">
        <v>217</v>
      </c>
      <c r="B108" s="12" t="s">
        <v>1184</v>
      </c>
      <c r="C108" s="12" t="s">
        <v>949</v>
      </c>
      <c r="D108" s="12" t="s">
        <v>1089</v>
      </c>
      <c r="E108" s="12" t="n">
        <v>4</v>
      </c>
      <c r="F108" s="12" t="s">
        <v>20</v>
      </c>
      <c r="G108" s="12" t="s">
        <v>707</v>
      </c>
      <c r="H108" s="12" t="s">
        <v>94</v>
      </c>
      <c r="I108" s="12" t="s">
        <v>339</v>
      </c>
      <c r="J108" s="12"/>
      <c r="K108" s="12"/>
      <c r="L108" s="5" t="s">
        <v>1185</v>
      </c>
      <c r="M108" s="33" t="n">
        <f aca="false">SUMIFS('Existing vs Saran'!$I$5:$I$210,'Existing vs Saran'!$N$5:$N$210,A108)</f>
        <v>0</v>
      </c>
      <c r="N108" s="12" t="s">
        <v>1186</v>
      </c>
      <c r="O108" s="5" t="s">
        <v>1187</v>
      </c>
      <c r="P108" s="12"/>
    </row>
    <row r="109" customFormat="false" ht="15" hidden="false" customHeight="false" outlineLevel="0" collapsed="false">
      <c r="A109" s="12" t="n">
        <v>352</v>
      </c>
      <c r="B109" s="12" t="s">
        <v>1188</v>
      </c>
      <c r="C109" s="12" t="s">
        <v>949</v>
      </c>
      <c r="D109" s="12" t="s">
        <v>1089</v>
      </c>
      <c r="E109" s="12" t="n">
        <v>5</v>
      </c>
      <c r="F109" s="12" t="s">
        <v>797</v>
      </c>
      <c r="G109" s="12" t="s">
        <v>995</v>
      </c>
      <c r="H109" s="12" t="s">
        <v>94</v>
      </c>
      <c r="I109" s="12" t="s">
        <v>339</v>
      </c>
      <c r="J109" s="12"/>
      <c r="K109" s="12"/>
      <c r="L109" s="5" t="s">
        <v>930</v>
      </c>
      <c r="M109" s="33" t="n">
        <f aca="false">SUMIFS('Existing vs Saran'!$I$5:$I$210,'Existing vs Saran'!$N$5:$N$210,A109)</f>
        <v>0</v>
      </c>
      <c r="N109" s="12" t="s">
        <v>1189</v>
      </c>
      <c r="O109" s="5" t="s">
        <v>956</v>
      </c>
      <c r="P109" s="12"/>
    </row>
    <row r="110" customFormat="false" ht="15" hidden="false" customHeight="false" outlineLevel="0" collapsed="false">
      <c r="A110" s="12" t="n">
        <v>397</v>
      </c>
      <c r="B110" s="12" t="s">
        <v>1190</v>
      </c>
      <c r="C110" s="12" t="s">
        <v>949</v>
      </c>
      <c r="D110" s="12" t="s">
        <v>1089</v>
      </c>
      <c r="E110" s="12" t="n">
        <v>4</v>
      </c>
      <c r="F110" s="12" t="s">
        <v>917</v>
      </c>
      <c r="G110" s="12" t="s">
        <v>1154</v>
      </c>
      <c r="H110" s="12" t="s">
        <v>94</v>
      </c>
      <c r="I110" s="12" t="s">
        <v>339</v>
      </c>
      <c r="J110" s="12"/>
      <c r="K110" s="12"/>
      <c r="L110" s="5" t="s">
        <v>930</v>
      </c>
      <c r="M110" s="33" t="n">
        <f aca="false">SUMIFS('Existing vs Saran'!$I$5:$I$210,'Existing vs Saran'!$N$5:$N$210,A110)</f>
        <v>0</v>
      </c>
      <c r="N110" s="12" t="s">
        <v>1191</v>
      </c>
      <c r="O110" s="5" t="s">
        <v>954</v>
      </c>
      <c r="P110" s="12"/>
    </row>
    <row r="111" customFormat="false" ht="15" hidden="false" customHeight="false" outlineLevel="0" collapsed="false">
      <c r="A111" s="12" t="n">
        <v>287</v>
      </c>
      <c r="B111" s="12" t="s">
        <v>1192</v>
      </c>
      <c r="C111" s="12" t="s">
        <v>949</v>
      </c>
      <c r="D111" s="12" t="s">
        <v>1089</v>
      </c>
      <c r="E111" s="12" t="n">
        <v>4</v>
      </c>
      <c r="F111" s="12" t="s">
        <v>351</v>
      </c>
      <c r="G111" s="12" t="s">
        <v>1113</v>
      </c>
      <c r="H111" s="12" t="s">
        <v>94</v>
      </c>
      <c r="I111" s="12" t="s">
        <v>339</v>
      </c>
      <c r="J111" s="12"/>
      <c r="K111" s="12"/>
      <c r="L111" s="5" t="s">
        <v>930</v>
      </c>
      <c r="M111" s="33" t="n">
        <f aca="false">SUMIFS('Existing vs Saran'!$I$5:$I$210,'Existing vs Saran'!$N$5:$N$210,A111)</f>
        <v>0</v>
      </c>
      <c r="N111" s="12" t="s">
        <v>1193</v>
      </c>
      <c r="O111" s="5" t="s">
        <v>1012</v>
      </c>
      <c r="P111" s="12"/>
    </row>
    <row r="112" customFormat="false" ht="35.05" hidden="false" customHeight="false" outlineLevel="0" collapsed="false">
      <c r="A112" s="12" t="n">
        <v>376</v>
      </c>
      <c r="B112" s="12" t="s">
        <v>1194</v>
      </c>
      <c r="C112" s="12" t="s">
        <v>949</v>
      </c>
      <c r="D112" s="12" t="s">
        <v>1089</v>
      </c>
      <c r="E112" s="12" t="n">
        <v>5</v>
      </c>
      <c r="F112" s="12" t="s">
        <v>916</v>
      </c>
      <c r="G112" s="12" t="s">
        <v>1143</v>
      </c>
      <c r="H112" s="12" t="s">
        <v>94</v>
      </c>
      <c r="I112" s="12" t="s">
        <v>314</v>
      </c>
      <c r="J112" s="12"/>
      <c r="K112" s="12"/>
      <c r="L112" s="5" t="s">
        <v>930</v>
      </c>
      <c r="M112" s="33" t="n">
        <f aca="false">SUMIFS('Existing vs Saran'!$I$5:$I$210,'Existing vs Saran'!$N$5:$N$210,A112)</f>
        <v>0</v>
      </c>
      <c r="N112" s="12" t="s">
        <v>1195</v>
      </c>
      <c r="O112" s="5" t="s">
        <v>1196</v>
      </c>
      <c r="P112" s="12"/>
    </row>
    <row r="113" customFormat="false" ht="23.85" hidden="false" customHeight="false" outlineLevel="0" collapsed="false">
      <c r="A113" s="12" t="n">
        <v>289</v>
      </c>
      <c r="B113" s="12" t="s">
        <v>1197</v>
      </c>
      <c r="C113" s="12" t="s">
        <v>949</v>
      </c>
      <c r="D113" s="12" t="s">
        <v>1089</v>
      </c>
      <c r="E113" s="12" t="n">
        <v>4</v>
      </c>
      <c r="F113" s="12" t="s">
        <v>351</v>
      </c>
      <c r="G113" s="12" t="s">
        <v>1113</v>
      </c>
      <c r="H113" s="12" t="s">
        <v>94</v>
      </c>
      <c r="I113" s="12" t="s">
        <v>314</v>
      </c>
      <c r="J113" s="12"/>
      <c r="K113" s="12"/>
      <c r="L113" s="5" t="s">
        <v>930</v>
      </c>
      <c r="M113" s="33" t="n">
        <f aca="false">SUMIFS('Existing vs Saran'!$I$5:$I$210,'Existing vs Saran'!$N$5:$N$210,A113)</f>
        <v>0</v>
      </c>
      <c r="N113" s="12" t="s">
        <v>1198</v>
      </c>
      <c r="O113" s="5" t="s">
        <v>1152</v>
      </c>
      <c r="P113" s="12"/>
    </row>
    <row r="114" customFormat="false" ht="23.85" hidden="false" customHeight="false" outlineLevel="0" collapsed="false">
      <c r="A114" s="12" t="n">
        <v>293</v>
      </c>
      <c r="B114" s="12" t="s">
        <v>1199</v>
      </c>
      <c r="C114" s="12" t="s">
        <v>949</v>
      </c>
      <c r="D114" s="12" t="s">
        <v>1089</v>
      </c>
      <c r="E114" s="12" t="n">
        <v>3</v>
      </c>
      <c r="F114" s="12" t="s">
        <v>351</v>
      </c>
      <c r="G114" s="12" t="s">
        <v>960</v>
      </c>
      <c r="H114" s="12" t="s">
        <v>85</v>
      </c>
      <c r="I114" s="12" t="s">
        <v>314</v>
      </c>
      <c r="J114" s="12"/>
      <c r="K114" s="12"/>
      <c r="L114" s="5" t="s">
        <v>1106</v>
      </c>
      <c r="M114" s="33" t="n">
        <f aca="false">SUMIFS('Existing vs Saran'!$I$5:$I$210,'Existing vs Saran'!$N$5:$N$210,A114)</f>
        <v>0</v>
      </c>
      <c r="N114" s="12" t="s">
        <v>1200</v>
      </c>
      <c r="O114" s="5" t="s">
        <v>1201</v>
      </c>
      <c r="P114" s="12"/>
    </row>
    <row r="115" customFormat="false" ht="23.85" hidden="false" customHeight="false" outlineLevel="0" collapsed="false">
      <c r="A115" s="12" t="n">
        <v>140</v>
      </c>
      <c r="B115" s="12" t="s">
        <v>1202</v>
      </c>
      <c r="C115" s="12" t="s">
        <v>949</v>
      </c>
      <c r="D115" s="12" t="s">
        <v>1089</v>
      </c>
      <c r="E115" s="12" t="n">
        <v>4</v>
      </c>
      <c r="F115" s="12" t="s">
        <v>904</v>
      </c>
      <c r="G115" s="12" t="s">
        <v>1203</v>
      </c>
      <c r="H115" s="12" t="s">
        <v>94</v>
      </c>
      <c r="I115" s="12" t="s">
        <v>339</v>
      </c>
      <c r="J115" s="12"/>
      <c r="K115" s="12"/>
      <c r="L115" s="5" t="s">
        <v>930</v>
      </c>
      <c r="M115" s="33" t="n">
        <f aca="false">SUMIFS('Existing vs Saran'!$I$5:$I$210,'Existing vs Saran'!$N$5:$N$210,A115)</f>
        <v>0</v>
      </c>
      <c r="N115" s="12" t="s">
        <v>1204</v>
      </c>
      <c r="O115" s="5" t="s">
        <v>1205</v>
      </c>
      <c r="P115" s="12"/>
    </row>
    <row r="116" customFormat="false" ht="15" hidden="false" customHeight="false" outlineLevel="0" collapsed="false">
      <c r="A116" s="12" t="n">
        <v>61</v>
      </c>
      <c r="B116" s="12" t="s">
        <v>1206</v>
      </c>
      <c r="C116" s="12" t="s">
        <v>949</v>
      </c>
      <c r="D116" s="12" t="s">
        <v>1089</v>
      </c>
      <c r="E116" s="12" t="n">
        <v>5</v>
      </c>
      <c r="F116" s="12" t="s">
        <v>548</v>
      </c>
      <c r="G116" s="12" t="s">
        <v>1134</v>
      </c>
      <c r="H116" s="12" t="s">
        <v>94</v>
      </c>
      <c r="I116" s="12" t="s">
        <v>339</v>
      </c>
      <c r="J116" s="12"/>
      <c r="K116" s="12"/>
      <c r="L116" s="5" t="s">
        <v>930</v>
      </c>
      <c r="M116" s="33" t="n">
        <f aca="false">SUMIFS('Existing vs Saran'!$I$5:$I$210,'Existing vs Saran'!$N$5:$N$210,A116)</f>
        <v>0</v>
      </c>
      <c r="N116" s="12" t="s">
        <v>1207</v>
      </c>
      <c r="O116" s="5" t="s">
        <v>956</v>
      </c>
      <c r="P116" s="12"/>
    </row>
    <row r="117" customFormat="false" ht="15" hidden="false" customHeight="false" outlineLevel="0" collapsed="false">
      <c r="A117" s="12" t="n">
        <v>338</v>
      </c>
      <c r="B117" s="12" t="s">
        <v>1208</v>
      </c>
      <c r="C117" s="12" t="s">
        <v>949</v>
      </c>
      <c r="D117" s="12" t="s">
        <v>1089</v>
      </c>
      <c r="E117" s="12"/>
      <c r="F117" s="12" t="s">
        <v>1209</v>
      </c>
      <c r="G117" s="12" t="s">
        <v>1210</v>
      </c>
      <c r="H117" s="12" t="s">
        <v>1211</v>
      </c>
      <c r="I117" s="12" t="s">
        <v>339</v>
      </c>
      <c r="J117" s="12"/>
      <c r="K117" s="12"/>
      <c r="L117" s="5" t="s">
        <v>930</v>
      </c>
      <c r="M117" s="33" t="n">
        <f aca="false">SUMIFS('Existing vs Saran'!$I$5:$I$210,'Existing vs Saran'!$N$5:$N$210,A117)</f>
        <v>0</v>
      </c>
      <c r="N117" s="12" t="s">
        <v>1212</v>
      </c>
      <c r="O117" s="5"/>
      <c r="P117" s="12"/>
    </row>
    <row r="118" customFormat="false" ht="23.85" hidden="false" customHeight="false" outlineLevel="0" collapsed="false">
      <c r="A118" s="12" t="n">
        <v>378</v>
      </c>
      <c r="B118" s="12" t="s">
        <v>1213</v>
      </c>
      <c r="C118" s="12" t="s">
        <v>949</v>
      </c>
      <c r="D118" s="12" t="s">
        <v>1089</v>
      </c>
      <c r="E118" s="12" t="n">
        <v>5</v>
      </c>
      <c r="F118" s="12" t="s">
        <v>916</v>
      </c>
      <c r="G118" s="12" t="s">
        <v>1143</v>
      </c>
      <c r="H118" s="12" t="s">
        <v>94</v>
      </c>
      <c r="I118" s="12" t="s">
        <v>339</v>
      </c>
      <c r="J118" s="12"/>
      <c r="K118" s="12"/>
      <c r="L118" s="5" t="s">
        <v>930</v>
      </c>
      <c r="M118" s="33" t="n">
        <f aca="false">SUMIFS('Existing vs Saran'!$I$5:$I$210,'Existing vs Saran'!$N$5:$N$210,A118)</f>
        <v>0</v>
      </c>
      <c r="N118" s="12" t="s">
        <v>1214</v>
      </c>
      <c r="O118" s="5" t="s">
        <v>1122</v>
      </c>
      <c r="P118" s="12"/>
    </row>
    <row r="119" customFormat="false" ht="15" hidden="false" customHeight="false" outlineLevel="0" collapsed="false">
      <c r="A119" s="12" t="n">
        <v>38</v>
      </c>
      <c r="B119" s="12" t="s">
        <v>1215</v>
      </c>
      <c r="C119" s="12" t="s">
        <v>949</v>
      </c>
      <c r="D119" s="12" t="s">
        <v>1089</v>
      </c>
      <c r="E119" s="12" t="n">
        <v>4</v>
      </c>
      <c r="F119" s="12" t="s">
        <v>354</v>
      </c>
      <c r="G119" s="12" t="s">
        <v>997</v>
      </c>
      <c r="H119" s="12" t="s">
        <v>94</v>
      </c>
      <c r="I119" s="12" t="s">
        <v>339</v>
      </c>
      <c r="J119" s="12"/>
      <c r="K119" s="12"/>
      <c r="L119" s="5" t="s">
        <v>930</v>
      </c>
      <c r="M119" s="33" t="n">
        <f aca="false">SUMIFS('Existing vs Saran'!$I$5:$I$210,'Existing vs Saran'!$N$5:$N$210,A119)</f>
        <v>0</v>
      </c>
      <c r="N119" s="12" t="s">
        <v>1216</v>
      </c>
      <c r="O119" s="5" t="s">
        <v>1217</v>
      </c>
      <c r="P119" s="12"/>
    </row>
    <row r="120" customFormat="false" ht="15" hidden="false" customHeight="false" outlineLevel="0" collapsed="false">
      <c r="A120" s="12" t="n">
        <v>63</v>
      </c>
      <c r="B120" s="12" t="s">
        <v>1218</v>
      </c>
      <c r="C120" s="12" t="s">
        <v>949</v>
      </c>
      <c r="D120" s="12" t="s">
        <v>1089</v>
      </c>
      <c r="E120" s="12" t="n">
        <v>5</v>
      </c>
      <c r="F120" s="12" t="s">
        <v>548</v>
      </c>
      <c r="G120" s="12" t="s">
        <v>1134</v>
      </c>
      <c r="H120" s="12" t="s">
        <v>94</v>
      </c>
      <c r="I120" s="12" t="s">
        <v>314</v>
      </c>
      <c r="J120" s="12"/>
      <c r="K120" s="12"/>
      <c r="L120" s="5" t="s">
        <v>930</v>
      </c>
      <c r="M120" s="33" t="n">
        <f aca="false">SUMIFS('Existing vs Saran'!$I$5:$I$210,'Existing vs Saran'!$N$5:$N$210,A120)</f>
        <v>0</v>
      </c>
      <c r="N120" s="12" t="s">
        <v>1219</v>
      </c>
      <c r="O120" s="5" t="s">
        <v>956</v>
      </c>
      <c r="P120" s="12"/>
    </row>
    <row r="121" customFormat="false" ht="23.85" hidden="false" customHeight="false" outlineLevel="0" collapsed="false">
      <c r="A121" s="12" t="n">
        <v>299</v>
      </c>
      <c r="B121" s="12" t="s">
        <v>1220</v>
      </c>
      <c r="C121" s="12" t="s">
        <v>949</v>
      </c>
      <c r="D121" s="12" t="s">
        <v>1089</v>
      </c>
      <c r="E121" s="12" t="n">
        <v>1</v>
      </c>
      <c r="F121" s="12" t="s">
        <v>351</v>
      </c>
      <c r="G121" s="12" t="s">
        <v>1172</v>
      </c>
      <c r="H121" s="12" t="s">
        <v>94</v>
      </c>
      <c r="I121" s="12" t="s">
        <v>339</v>
      </c>
      <c r="J121" s="12"/>
      <c r="K121" s="12"/>
      <c r="L121" s="5" t="s">
        <v>930</v>
      </c>
      <c r="M121" s="33" t="n">
        <f aca="false">SUMIFS('Existing vs Saran'!$I$5:$I$210,'Existing vs Saran'!$N$5:$N$210,A121)</f>
        <v>0</v>
      </c>
      <c r="N121" s="12" t="s">
        <v>1221</v>
      </c>
      <c r="O121" s="5" t="s">
        <v>1222</v>
      </c>
      <c r="P121" s="12"/>
    </row>
    <row r="122" customFormat="false" ht="15" hidden="false" customHeight="false" outlineLevel="0" collapsed="false">
      <c r="A122" s="12" t="n">
        <v>404</v>
      </c>
      <c r="B122" s="12" t="s">
        <v>1223</v>
      </c>
      <c r="C122" s="12" t="s">
        <v>949</v>
      </c>
      <c r="D122" s="12" t="s">
        <v>1089</v>
      </c>
      <c r="E122" s="12" t="n">
        <v>5</v>
      </c>
      <c r="F122" s="12" t="s">
        <v>917</v>
      </c>
      <c r="G122" s="12" t="s">
        <v>1004</v>
      </c>
      <c r="H122" s="12" t="s">
        <v>94</v>
      </c>
      <c r="I122" s="12" t="s">
        <v>339</v>
      </c>
      <c r="J122" s="12"/>
      <c r="K122" s="12"/>
      <c r="L122" s="5" t="s">
        <v>930</v>
      </c>
      <c r="M122" s="33" t="n">
        <f aca="false">SUMIFS('Existing vs Saran'!$I$5:$I$210,'Existing vs Saran'!$N$5:$N$210,A122)</f>
        <v>0</v>
      </c>
      <c r="N122" s="12" t="s">
        <v>1224</v>
      </c>
      <c r="O122" s="5" t="s">
        <v>954</v>
      </c>
      <c r="P122" s="12"/>
    </row>
    <row r="123" customFormat="false" ht="15" hidden="false" customHeight="false" outlineLevel="0" collapsed="false">
      <c r="A123" s="12" t="n">
        <v>40</v>
      </c>
      <c r="B123" s="12" t="s">
        <v>1225</v>
      </c>
      <c r="C123" s="12" t="s">
        <v>949</v>
      </c>
      <c r="D123" s="12" t="s">
        <v>1089</v>
      </c>
      <c r="E123" s="12" t="n">
        <v>4</v>
      </c>
      <c r="F123" s="12" t="s">
        <v>354</v>
      </c>
      <c r="G123" s="12" t="s">
        <v>1124</v>
      </c>
      <c r="H123" s="12" t="s">
        <v>94</v>
      </c>
      <c r="I123" s="12" t="s">
        <v>314</v>
      </c>
      <c r="J123" s="12"/>
      <c r="K123" s="12"/>
      <c r="L123" s="5" t="s">
        <v>930</v>
      </c>
      <c r="M123" s="33" t="n">
        <f aca="false">SUMIFS('Existing vs Saran'!$I$5:$I$210,'Existing vs Saran'!$N$5:$N$210,A123)</f>
        <v>0</v>
      </c>
      <c r="N123" s="12" t="s">
        <v>1226</v>
      </c>
      <c r="O123" s="5" t="s">
        <v>1227</v>
      </c>
      <c r="P123" s="12"/>
    </row>
    <row r="124" customFormat="false" ht="23.85" hidden="false" customHeight="false" outlineLevel="0" collapsed="false">
      <c r="A124" s="12" t="n">
        <v>304</v>
      </c>
      <c r="B124" s="12" t="s">
        <v>1228</v>
      </c>
      <c r="C124" s="12" t="s">
        <v>949</v>
      </c>
      <c r="D124" s="12" t="s">
        <v>1089</v>
      </c>
      <c r="E124" s="12" t="n">
        <v>3</v>
      </c>
      <c r="F124" s="12" t="s">
        <v>351</v>
      </c>
      <c r="G124" s="12" t="s">
        <v>1113</v>
      </c>
      <c r="H124" s="12" t="s">
        <v>94</v>
      </c>
      <c r="I124" s="12" t="s">
        <v>314</v>
      </c>
      <c r="J124" s="12"/>
      <c r="K124" s="12"/>
      <c r="L124" s="5" t="s">
        <v>930</v>
      </c>
      <c r="M124" s="33" t="n">
        <f aca="false">SUMIFS('Existing vs Saran'!$I$5:$I$210,'Existing vs Saran'!$N$5:$N$210,A124)</f>
        <v>0</v>
      </c>
      <c r="N124" s="12" t="s">
        <v>1229</v>
      </c>
      <c r="O124" s="5" t="s">
        <v>1230</v>
      </c>
      <c r="P124" s="12"/>
    </row>
    <row r="125" customFormat="false" ht="23.85" hidden="false" customHeight="false" outlineLevel="0" collapsed="false">
      <c r="A125" s="12" t="n">
        <v>143</v>
      </c>
      <c r="B125" s="12" t="s">
        <v>1231</v>
      </c>
      <c r="C125" s="12" t="s">
        <v>949</v>
      </c>
      <c r="D125" s="12" t="s">
        <v>1089</v>
      </c>
      <c r="E125" s="12" t="n">
        <v>5</v>
      </c>
      <c r="F125" s="12" t="s">
        <v>904</v>
      </c>
      <c r="G125" s="12" t="s">
        <v>1120</v>
      </c>
      <c r="H125" s="12" t="s">
        <v>94</v>
      </c>
      <c r="I125" s="12" t="s">
        <v>339</v>
      </c>
      <c r="J125" s="12"/>
      <c r="K125" s="12"/>
      <c r="L125" s="5" t="s">
        <v>930</v>
      </c>
      <c r="M125" s="33" t="n">
        <f aca="false">SUMIFS('Existing vs Saran'!$I$5:$I$210,'Existing vs Saran'!$N$5:$N$210,A125)</f>
        <v>0</v>
      </c>
      <c r="N125" s="12" t="s">
        <v>1232</v>
      </c>
      <c r="O125" s="5" t="s">
        <v>1122</v>
      </c>
      <c r="P125" s="12"/>
    </row>
    <row r="126" customFormat="false" ht="15" hidden="false" customHeight="false" outlineLevel="0" collapsed="false">
      <c r="A126" s="12" t="n">
        <v>461</v>
      </c>
      <c r="B126" s="12" t="s">
        <v>355</v>
      </c>
      <c r="C126" s="12" t="s">
        <v>949</v>
      </c>
      <c r="D126" s="12" t="s">
        <v>1233</v>
      </c>
      <c r="E126" s="12"/>
      <c r="F126" s="12" t="s">
        <v>356</v>
      </c>
      <c r="G126" s="12"/>
      <c r="H126" s="12" t="s">
        <v>1211</v>
      </c>
      <c r="I126" s="12" t="s">
        <v>314</v>
      </c>
      <c r="J126" s="12"/>
      <c r="K126" s="12"/>
      <c r="L126" s="5"/>
      <c r="M126" s="33" t="n">
        <f aca="false">SUMIFS('Existing vs Saran'!$I$5:$I$210,'Existing vs Saran'!$N$5:$N$210,A126)</f>
        <v>0</v>
      </c>
      <c r="N126" s="12"/>
      <c r="O126" s="5"/>
      <c r="P126" s="12"/>
    </row>
    <row r="127" customFormat="false" ht="15" hidden="false" customHeight="false" outlineLevel="0" collapsed="false">
      <c r="A127" s="12" t="n">
        <v>462</v>
      </c>
      <c r="B127" s="12" t="s">
        <v>358</v>
      </c>
      <c r="C127" s="12" t="s">
        <v>949</v>
      </c>
      <c r="D127" s="12" t="s">
        <v>1233</v>
      </c>
      <c r="E127" s="12"/>
      <c r="F127" s="12" t="s">
        <v>20</v>
      </c>
      <c r="G127" s="12"/>
      <c r="H127" s="12" t="s">
        <v>85</v>
      </c>
      <c r="I127" s="12" t="s">
        <v>314</v>
      </c>
      <c r="J127" s="12"/>
      <c r="K127" s="12"/>
      <c r="L127" s="5"/>
      <c r="M127" s="33" t="n">
        <f aca="false">SUMIFS('Existing vs Saran'!$I$5:$I$210,'Existing vs Saran'!$N$5:$N$210,A127)</f>
        <v>0</v>
      </c>
      <c r="N127" s="12"/>
      <c r="O127" s="5"/>
      <c r="P127" s="12" t="s">
        <v>1234</v>
      </c>
    </row>
    <row r="128" customFormat="false" ht="15" hidden="false" customHeight="false" outlineLevel="0" collapsed="false">
      <c r="A128" s="12" t="n">
        <v>463</v>
      </c>
      <c r="B128" s="12" t="s">
        <v>359</v>
      </c>
      <c r="C128" s="12" t="s">
        <v>949</v>
      </c>
      <c r="D128" s="12" t="s">
        <v>1233</v>
      </c>
      <c r="E128" s="12"/>
      <c r="F128" s="12" t="s">
        <v>22</v>
      </c>
      <c r="G128" s="12"/>
      <c r="H128" s="12" t="s">
        <v>85</v>
      </c>
      <c r="I128" s="12" t="s">
        <v>314</v>
      </c>
      <c r="J128" s="12"/>
      <c r="K128" s="12"/>
      <c r="L128" s="5"/>
      <c r="M128" s="33" t="n">
        <f aca="false">SUMIFS('Existing vs Saran'!$I$5:$I$210,'Existing vs Saran'!$N$5:$N$210,A128)</f>
        <v>0</v>
      </c>
      <c r="N128" s="12"/>
      <c r="O128" s="5"/>
      <c r="P128" s="12" t="s">
        <v>1235</v>
      </c>
    </row>
    <row r="129" customFormat="false" ht="15" hidden="false" customHeight="false" outlineLevel="0" collapsed="false">
      <c r="A129" s="12" t="n">
        <v>464</v>
      </c>
      <c r="B129" s="12" t="s">
        <v>360</v>
      </c>
      <c r="C129" s="12" t="s">
        <v>949</v>
      </c>
      <c r="D129" s="12" t="s">
        <v>1233</v>
      </c>
      <c r="E129" s="12"/>
      <c r="F129" s="12" t="s">
        <v>20</v>
      </c>
      <c r="G129" s="12"/>
      <c r="H129" s="12" t="s">
        <v>85</v>
      </c>
      <c r="I129" s="12" t="s">
        <v>314</v>
      </c>
      <c r="J129" s="12"/>
      <c r="K129" s="12"/>
      <c r="L129" s="5"/>
      <c r="M129" s="33" t="n">
        <f aca="false">SUMIFS('Existing vs Saran'!$I$5:$I$210,'Existing vs Saran'!$N$5:$N$210,A129)</f>
        <v>0</v>
      </c>
      <c r="N129" s="12"/>
      <c r="O129" s="5"/>
      <c r="P129" s="12" t="s">
        <v>20</v>
      </c>
    </row>
    <row r="130" customFormat="false" ht="15" hidden="false" customHeight="false" outlineLevel="0" collapsed="false">
      <c r="A130" s="12" t="n">
        <v>465</v>
      </c>
      <c r="B130" s="12" t="s">
        <v>361</v>
      </c>
      <c r="C130" s="12" t="s">
        <v>949</v>
      </c>
      <c r="D130" s="12" t="s">
        <v>1233</v>
      </c>
      <c r="E130" s="12"/>
      <c r="F130" s="12" t="s">
        <v>20</v>
      </c>
      <c r="G130" s="12"/>
      <c r="H130" s="12" t="s">
        <v>85</v>
      </c>
      <c r="I130" s="12" t="s">
        <v>314</v>
      </c>
      <c r="J130" s="12"/>
      <c r="K130" s="12"/>
      <c r="L130" s="5"/>
      <c r="M130" s="33" t="n">
        <f aca="false">SUMIFS('Existing vs Saran'!$I$5:$I$210,'Existing vs Saran'!$N$5:$N$210,A130)</f>
        <v>0</v>
      </c>
      <c r="N130" s="12"/>
      <c r="O130" s="5"/>
      <c r="P130" s="12" t="s">
        <v>20</v>
      </c>
    </row>
    <row r="131" customFormat="false" ht="15" hidden="false" customHeight="false" outlineLevel="0" collapsed="false">
      <c r="A131" s="12" t="n">
        <v>455</v>
      </c>
      <c r="B131" s="12" t="s">
        <v>362</v>
      </c>
      <c r="C131" s="12" t="s">
        <v>949</v>
      </c>
      <c r="D131" s="12" t="s">
        <v>1233</v>
      </c>
      <c r="E131" s="12"/>
      <c r="F131" s="12"/>
      <c r="G131" s="12"/>
      <c r="H131" s="12" t="s">
        <v>1211</v>
      </c>
      <c r="I131" s="12" t="s">
        <v>314</v>
      </c>
      <c r="J131" s="12"/>
      <c r="K131" s="12"/>
      <c r="L131" s="5"/>
      <c r="M131" s="33" t="n">
        <f aca="false">SUMIFS('Existing vs Saran'!$I$5:$I$210,'Existing vs Saran'!$N$5:$N$210,A131)</f>
        <v>0</v>
      </c>
      <c r="N131" s="12" t="s">
        <v>1236</v>
      </c>
      <c r="O131" s="5"/>
      <c r="P131" s="12"/>
    </row>
    <row r="132" customFormat="false" ht="15" hidden="false" customHeight="false" outlineLevel="0" collapsed="false">
      <c r="A132" s="12" t="n">
        <v>467</v>
      </c>
      <c r="B132" s="12" t="s">
        <v>363</v>
      </c>
      <c r="C132" s="12" t="s">
        <v>949</v>
      </c>
      <c r="D132" s="12" t="s">
        <v>1233</v>
      </c>
      <c r="E132" s="12"/>
      <c r="F132" s="12" t="s">
        <v>18</v>
      </c>
      <c r="G132" s="12"/>
      <c r="H132" s="12" t="s">
        <v>85</v>
      </c>
      <c r="I132" s="12" t="s">
        <v>314</v>
      </c>
      <c r="J132" s="12"/>
      <c r="K132" s="12"/>
      <c r="L132" s="5"/>
      <c r="M132" s="33" t="n">
        <f aca="false">SUMIFS('Existing vs Saran'!$I$5:$I$210,'Existing vs Saran'!$N$5:$N$210,A132)</f>
        <v>0</v>
      </c>
      <c r="N132" s="12"/>
      <c r="O132" s="5"/>
      <c r="P132" s="12" t="s">
        <v>1235</v>
      </c>
    </row>
    <row r="133" customFormat="false" ht="15" hidden="false" customHeight="false" outlineLevel="0" collapsed="false">
      <c r="A133" s="12" t="n">
        <v>298</v>
      </c>
      <c r="B133" s="12" t="s">
        <v>350</v>
      </c>
      <c r="C133" s="12" t="s">
        <v>949</v>
      </c>
      <c r="D133" s="12" t="s">
        <v>1233</v>
      </c>
      <c r="E133" s="12" t="n">
        <v>2</v>
      </c>
      <c r="F133" s="12" t="s">
        <v>351</v>
      </c>
      <c r="G133" s="12" t="s">
        <v>960</v>
      </c>
      <c r="H133" s="12" t="s">
        <v>85</v>
      </c>
      <c r="I133" s="12" t="s">
        <v>314</v>
      </c>
      <c r="J133" s="12"/>
      <c r="K133" s="12"/>
      <c r="L133" s="5" t="s">
        <v>952</v>
      </c>
      <c r="M133" s="33" t="n">
        <f aca="false">SUMIFS('Existing vs Saran'!$I$5:$I$210,'Existing vs Saran'!$N$5:$N$210,A133)</f>
        <v>0</v>
      </c>
      <c r="N133" s="12" t="s">
        <v>1237</v>
      </c>
      <c r="O133" s="5" t="s">
        <v>1238</v>
      </c>
      <c r="P133" s="12"/>
    </row>
    <row r="134" customFormat="false" ht="23.85" hidden="false" customHeight="false" outlineLevel="0" collapsed="false">
      <c r="A134" s="12" t="n">
        <v>41</v>
      </c>
      <c r="B134" s="12" t="s">
        <v>353</v>
      </c>
      <c r="C134" s="12" t="s">
        <v>949</v>
      </c>
      <c r="D134" s="12" t="s">
        <v>1233</v>
      </c>
      <c r="E134" s="12" t="n">
        <v>1</v>
      </c>
      <c r="F134" s="12" t="s">
        <v>354</v>
      </c>
      <c r="G134" s="12" t="s">
        <v>997</v>
      </c>
      <c r="H134" s="12" t="s">
        <v>1211</v>
      </c>
      <c r="I134" s="12" t="s">
        <v>314</v>
      </c>
      <c r="J134" s="12"/>
      <c r="K134" s="12"/>
      <c r="L134" s="5"/>
      <c r="M134" s="33" t="n">
        <f aca="false">SUMIFS('Existing vs Saran'!$I$5:$I$210,'Existing vs Saran'!$N$5:$N$210,A134)</f>
        <v>0</v>
      </c>
      <c r="N134" s="12" t="s">
        <v>1239</v>
      </c>
      <c r="O134" s="5" t="s">
        <v>1240</v>
      </c>
      <c r="P134" s="12"/>
    </row>
    <row r="135" customFormat="false" ht="23.85" hidden="false" customHeight="false" outlineLevel="0" collapsed="false">
      <c r="A135" s="12" t="n">
        <v>415</v>
      </c>
      <c r="B135" s="12" t="s">
        <v>1241</v>
      </c>
      <c r="C135" s="12" t="s">
        <v>949</v>
      </c>
      <c r="D135" s="12" t="s">
        <v>1242</v>
      </c>
      <c r="E135" s="12" t="n">
        <v>5</v>
      </c>
      <c r="F135" s="12" t="s">
        <v>22</v>
      </c>
      <c r="G135" s="12" t="s">
        <v>810</v>
      </c>
      <c r="H135" s="12" t="s">
        <v>94</v>
      </c>
      <c r="I135" s="12" t="s">
        <v>339</v>
      </c>
      <c r="J135" s="12" t="s">
        <v>314</v>
      </c>
      <c r="K135" s="12"/>
      <c r="L135" s="5" t="s">
        <v>930</v>
      </c>
      <c r="M135" s="33" t="n">
        <f aca="false">SUMIFS('Existing vs Saran'!$I$5:$I$210,'Existing vs Saran'!$N$5:$N$210,A135)</f>
        <v>0</v>
      </c>
      <c r="N135" s="12" t="s">
        <v>1243</v>
      </c>
      <c r="O135" s="5" t="s">
        <v>1016</v>
      </c>
      <c r="P135" s="12"/>
    </row>
    <row r="136" customFormat="false" ht="23.85" hidden="false" customHeight="false" outlineLevel="0" collapsed="false">
      <c r="A136" s="12" t="n">
        <v>187</v>
      </c>
      <c r="B136" s="12" t="s">
        <v>1244</v>
      </c>
      <c r="C136" s="12" t="s">
        <v>949</v>
      </c>
      <c r="D136" s="12" t="s">
        <v>1242</v>
      </c>
      <c r="E136" s="12" t="n">
        <v>5</v>
      </c>
      <c r="F136" s="12" t="s">
        <v>20</v>
      </c>
      <c r="G136" s="12" t="s">
        <v>707</v>
      </c>
      <c r="H136" s="12" t="s">
        <v>94</v>
      </c>
      <c r="I136" s="12" t="s">
        <v>314</v>
      </c>
      <c r="J136" s="12" t="s">
        <v>314</v>
      </c>
      <c r="K136" s="12"/>
      <c r="L136" s="5" t="s">
        <v>1245</v>
      </c>
      <c r="M136" s="33" t="n">
        <f aca="false">SUMIFS('Existing vs Saran'!$I$5:$I$210,'Existing vs Saran'!$N$5:$N$210,A136)</f>
        <v>0</v>
      </c>
      <c r="N136" s="12" t="s">
        <v>1246</v>
      </c>
      <c r="O136" s="5" t="s">
        <v>1247</v>
      </c>
      <c r="P136" s="12"/>
    </row>
    <row r="137" customFormat="false" ht="15" hidden="false" customHeight="false" outlineLevel="0" collapsed="false">
      <c r="A137" s="12" t="n">
        <v>431</v>
      </c>
      <c r="B137" s="12" t="s">
        <v>1248</v>
      </c>
      <c r="C137" s="12" t="s">
        <v>949</v>
      </c>
      <c r="D137" s="12" t="s">
        <v>1242</v>
      </c>
      <c r="E137" s="12" t="n">
        <v>4</v>
      </c>
      <c r="F137" s="12" t="s">
        <v>22</v>
      </c>
      <c r="G137" s="12" t="s">
        <v>881</v>
      </c>
      <c r="H137" s="12" t="s">
        <v>94</v>
      </c>
      <c r="I137" s="12" t="s">
        <v>314</v>
      </c>
      <c r="J137" s="12" t="s">
        <v>314</v>
      </c>
      <c r="K137" s="12"/>
      <c r="L137" s="5" t="s">
        <v>1249</v>
      </c>
      <c r="M137" s="33" t="n">
        <f aca="false">SUMIFS('Existing vs Saran'!$I$5:$I$210,'Existing vs Saran'!$N$5:$N$210,A137)</f>
        <v>0</v>
      </c>
      <c r="N137" s="12" t="s">
        <v>1250</v>
      </c>
      <c r="O137" s="5" t="s">
        <v>986</v>
      </c>
      <c r="P137" s="12"/>
    </row>
    <row r="138" customFormat="false" ht="15" hidden="false" customHeight="false" outlineLevel="0" collapsed="false">
      <c r="A138" s="12" t="n">
        <v>204</v>
      </c>
      <c r="B138" s="12" t="s">
        <v>1251</v>
      </c>
      <c r="C138" s="12" t="s">
        <v>949</v>
      </c>
      <c r="D138" s="12" t="s">
        <v>1242</v>
      </c>
      <c r="E138" s="12" t="n">
        <v>5</v>
      </c>
      <c r="F138" s="12" t="s">
        <v>20</v>
      </c>
      <c r="G138" s="12" t="s">
        <v>139</v>
      </c>
      <c r="H138" s="12" t="s">
        <v>94</v>
      </c>
      <c r="I138" s="12" t="s">
        <v>314</v>
      </c>
      <c r="J138" s="12" t="s">
        <v>314</v>
      </c>
      <c r="K138" s="12"/>
      <c r="L138" s="5" t="s">
        <v>930</v>
      </c>
      <c r="M138" s="33" t="n">
        <f aca="false">SUMIFS('Existing vs Saran'!$I$5:$I$210,'Existing vs Saran'!$N$5:$N$210,A138)</f>
        <v>0</v>
      </c>
      <c r="N138" s="12" t="s">
        <v>1252</v>
      </c>
      <c r="O138" s="5" t="s">
        <v>1253</v>
      </c>
      <c r="P138" s="12"/>
    </row>
    <row r="139" customFormat="false" ht="23.85" hidden="false" customHeight="false" outlineLevel="0" collapsed="false">
      <c r="A139" s="12" t="n">
        <v>163</v>
      </c>
      <c r="B139" s="12" t="s">
        <v>1254</v>
      </c>
      <c r="C139" s="12" t="s">
        <v>949</v>
      </c>
      <c r="D139" s="12" t="s">
        <v>1242</v>
      </c>
      <c r="E139" s="12" t="n">
        <v>5</v>
      </c>
      <c r="F139" s="12" t="s">
        <v>18</v>
      </c>
      <c r="G139" s="12" t="s">
        <v>82</v>
      </c>
      <c r="H139" s="12" t="s">
        <v>94</v>
      </c>
      <c r="I139" s="12" t="s">
        <v>314</v>
      </c>
      <c r="J139" s="12" t="s">
        <v>314</v>
      </c>
      <c r="K139" s="12"/>
      <c r="L139" s="5" t="s">
        <v>930</v>
      </c>
      <c r="M139" s="33" t="n">
        <f aca="false">SUMIFS('Existing vs Saran'!$I$5:$I$210,'Existing vs Saran'!$N$5:$N$210,A139)</f>
        <v>0</v>
      </c>
      <c r="N139" s="12" t="s">
        <v>1255</v>
      </c>
      <c r="O139" s="5" t="s">
        <v>1256</v>
      </c>
      <c r="P139" s="12"/>
    </row>
    <row r="140" customFormat="false" ht="15" hidden="false" customHeight="false" outlineLevel="0" collapsed="false">
      <c r="A140" s="12" t="n">
        <v>449</v>
      </c>
      <c r="B140" s="12" t="s">
        <v>1257</v>
      </c>
      <c r="C140" s="12" t="s">
        <v>949</v>
      </c>
      <c r="D140" s="12" t="s">
        <v>1242</v>
      </c>
      <c r="E140" s="12" t="n">
        <v>4</v>
      </c>
      <c r="F140" s="12" t="s">
        <v>22</v>
      </c>
      <c r="G140" s="12" t="s">
        <v>810</v>
      </c>
      <c r="H140" s="12" t="s">
        <v>94</v>
      </c>
      <c r="I140" s="12" t="s">
        <v>314</v>
      </c>
      <c r="J140" s="12" t="s">
        <v>314</v>
      </c>
      <c r="K140" s="12"/>
      <c r="L140" s="5" t="s">
        <v>930</v>
      </c>
      <c r="M140" s="33" t="n">
        <f aca="false">SUMIFS('Existing vs Saran'!$I$5:$I$210,'Existing vs Saran'!$N$5:$N$210,A140)</f>
        <v>0</v>
      </c>
      <c r="N140" s="12" t="s">
        <v>1258</v>
      </c>
      <c r="O140" s="5" t="s">
        <v>1259</v>
      </c>
      <c r="P140" s="12"/>
    </row>
    <row r="141" customFormat="false" ht="15" hidden="false" customHeight="false" outlineLevel="0" collapsed="false">
      <c r="A141" s="12" t="n">
        <v>234</v>
      </c>
      <c r="B141" s="12" t="s">
        <v>1260</v>
      </c>
      <c r="C141" s="12" t="s">
        <v>949</v>
      </c>
      <c r="D141" s="12" t="s">
        <v>1242</v>
      </c>
      <c r="E141" s="12" t="n">
        <v>4</v>
      </c>
      <c r="F141" s="12" t="s">
        <v>20</v>
      </c>
      <c r="G141" s="12" t="s">
        <v>1261</v>
      </c>
      <c r="H141" s="12" t="s">
        <v>94</v>
      </c>
      <c r="I141" s="12" t="s">
        <v>314</v>
      </c>
      <c r="J141" s="12" t="s">
        <v>314</v>
      </c>
      <c r="K141" s="12"/>
      <c r="L141" s="5" t="s">
        <v>930</v>
      </c>
      <c r="M141" s="33" t="n">
        <f aca="false">SUMIFS('Existing vs Saran'!$I$5:$I$210,'Existing vs Saran'!$N$5:$N$210,A141)</f>
        <v>0</v>
      </c>
      <c r="N141" s="12" t="s">
        <v>1262</v>
      </c>
      <c r="O141" s="5" t="s">
        <v>1263</v>
      </c>
      <c r="P141" s="12"/>
    </row>
    <row r="142" customFormat="false" ht="15" hidden="false" customHeight="false" outlineLevel="0" collapsed="false">
      <c r="A142" s="12" t="n">
        <v>242</v>
      </c>
      <c r="B142" s="12" t="s">
        <v>1264</v>
      </c>
      <c r="C142" s="12" t="s">
        <v>949</v>
      </c>
      <c r="D142" s="12" t="s">
        <v>1242</v>
      </c>
      <c r="E142" s="12" t="n">
        <v>5</v>
      </c>
      <c r="F142" s="12" t="s">
        <v>20</v>
      </c>
      <c r="G142" s="12" t="s">
        <v>139</v>
      </c>
      <c r="H142" s="12" t="s">
        <v>94</v>
      </c>
      <c r="I142" s="12" t="s">
        <v>314</v>
      </c>
      <c r="J142" s="12" t="s">
        <v>314</v>
      </c>
      <c r="K142" s="12"/>
      <c r="L142" s="5" t="s">
        <v>930</v>
      </c>
      <c r="M142" s="33" t="n">
        <f aca="false">SUMIFS('Existing vs Saran'!$I$5:$I$210,'Existing vs Saran'!$N$5:$N$210,A142)</f>
        <v>0</v>
      </c>
      <c r="N142" s="12" t="s">
        <v>1265</v>
      </c>
      <c r="O142" s="5" t="s">
        <v>1266</v>
      </c>
      <c r="P142" s="12"/>
    </row>
    <row r="143" customFormat="false" ht="15" hidden="false" customHeight="false" outlineLevel="0" collapsed="false">
      <c r="A143" s="12" t="n">
        <v>200</v>
      </c>
      <c r="B143" s="12" t="s">
        <v>1267</v>
      </c>
      <c r="C143" s="12" t="s">
        <v>949</v>
      </c>
      <c r="D143" s="12" t="s">
        <v>1268</v>
      </c>
      <c r="E143" s="12" t="n">
        <v>5</v>
      </c>
      <c r="F143" s="12" t="s">
        <v>20</v>
      </c>
      <c r="G143" s="12" t="s">
        <v>687</v>
      </c>
      <c r="H143" s="12" t="s">
        <v>94</v>
      </c>
      <c r="I143" s="12" t="s">
        <v>314</v>
      </c>
      <c r="J143" s="12" t="s">
        <v>314</v>
      </c>
      <c r="K143" s="12"/>
      <c r="L143" s="5"/>
      <c r="M143" s="33" t="n">
        <f aca="false">SUMIFS('Existing vs Saran'!$I$5:$I$210,'Existing vs Saran'!$N$5:$N$210,A143)</f>
        <v>0</v>
      </c>
      <c r="N143" s="12" t="s">
        <v>1269</v>
      </c>
      <c r="O143" s="5" t="s">
        <v>1270</v>
      </c>
      <c r="P143" s="12"/>
    </row>
    <row r="144" customFormat="false" ht="35.05" hidden="false" customHeight="false" outlineLevel="0" collapsed="false">
      <c r="A144" s="12" t="n">
        <v>100</v>
      </c>
      <c r="B144" s="12" t="s">
        <v>1271</v>
      </c>
      <c r="C144" s="12" t="s">
        <v>949</v>
      </c>
      <c r="D144" s="12" t="s">
        <v>1268</v>
      </c>
      <c r="E144" s="12" t="n">
        <v>5</v>
      </c>
      <c r="F144" s="12" t="s">
        <v>379</v>
      </c>
      <c r="G144" s="12" t="s">
        <v>613</v>
      </c>
      <c r="H144" s="12" t="s">
        <v>94</v>
      </c>
      <c r="I144" s="12" t="s">
        <v>314</v>
      </c>
      <c r="J144" s="12" t="s">
        <v>314</v>
      </c>
      <c r="K144" s="12"/>
      <c r="L144" s="5" t="s">
        <v>952</v>
      </c>
      <c r="M144" s="33" t="n">
        <f aca="false">SUMIFS('Existing vs Saran'!$I$5:$I$210,'Existing vs Saran'!$N$5:$N$210,A144)</f>
        <v>0</v>
      </c>
      <c r="N144" s="12" t="s">
        <v>1272</v>
      </c>
      <c r="O144" s="5" t="s">
        <v>1273</v>
      </c>
      <c r="P144" s="12"/>
    </row>
    <row r="145" customFormat="false" ht="23.85" hidden="false" customHeight="false" outlineLevel="0" collapsed="false">
      <c r="A145" s="12" t="n">
        <v>220</v>
      </c>
      <c r="B145" s="12" t="s">
        <v>1274</v>
      </c>
      <c r="C145" s="12" t="s">
        <v>949</v>
      </c>
      <c r="D145" s="12" t="s">
        <v>1268</v>
      </c>
      <c r="E145" s="12" t="n">
        <v>5</v>
      </c>
      <c r="F145" s="12" t="s">
        <v>20</v>
      </c>
      <c r="G145" s="12" t="s">
        <v>1000</v>
      </c>
      <c r="H145" s="12" t="s">
        <v>94</v>
      </c>
      <c r="I145" s="12" t="s">
        <v>314</v>
      </c>
      <c r="J145" s="12" t="s">
        <v>314</v>
      </c>
      <c r="K145" s="12"/>
      <c r="L145" s="5" t="s">
        <v>952</v>
      </c>
      <c r="M145" s="33" t="n">
        <f aca="false">SUMIFS('Existing vs Saran'!$I$5:$I$210,'Existing vs Saran'!$N$5:$N$210,A145)</f>
        <v>0</v>
      </c>
      <c r="N145" s="12" t="s">
        <v>1275</v>
      </c>
      <c r="O145" s="5" t="s">
        <v>1276</v>
      </c>
      <c r="P145" s="12"/>
    </row>
    <row r="146" customFormat="false" ht="23.85" hidden="false" customHeight="false" outlineLevel="0" collapsed="false">
      <c r="A146" s="12" t="n">
        <v>224</v>
      </c>
      <c r="B146" s="12" t="s">
        <v>1277</v>
      </c>
      <c r="C146" s="12" t="s">
        <v>949</v>
      </c>
      <c r="D146" s="12" t="s">
        <v>1268</v>
      </c>
      <c r="E146" s="12" t="n">
        <v>3</v>
      </c>
      <c r="F146" s="12" t="s">
        <v>20</v>
      </c>
      <c r="G146" s="12" t="s">
        <v>1000</v>
      </c>
      <c r="H146" s="12" t="s">
        <v>94</v>
      </c>
      <c r="I146" s="12" t="s">
        <v>339</v>
      </c>
      <c r="J146" s="12" t="s">
        <v>314</v>
      </c>
      <c r="K146" s="12"/>
      <c r="L146" s="5"/>
      <c r="M146" s="33" t="n">
        <f aca="false">SUMIFS('Existing vs Saran'!$I$5:$I$210,'Existing vs Saran'!$N$5:$N$210,A146)</f>
        <v>0</v>
      </c>
      <c r="N146" s="12" t="s">
        <v>1278</v>
      </c>
      <c r="O146" s="5" t="s">
        <v>1279</v>
      </c>
      <c r="P146" s="12"/>
    </row>
    <row r="147" customFormat="false" ht="15" hidden="false" customHeight="false" outlineLevel="0" collapsed="false">
      <c r="A147" s="12" t="n">
        <v>236</v>
      </c>
      <c r="B147" s="12" t="s">
        <v>1280</v>
      </c>
      <c r="C147" s="12" t="s">
        <v>949</v>
      </c>
      <c r="D147" s="12" t="s">
        <v>1268</v>
      </c>
      <c r="E147" s="12" t="n">
        <v>4</v>
      </c>
      <c r="F147" s="12" t="s">
        <v>20</v>
      </c>
      <c r="G147" s="12" t="s">
        <v>687</v>
      </c>
      <c r="H147" s="12" t="s">
        <v>106</v>
      </c>
      <c r="I147" s="12" t="s">
        <v>314</v>
      </c>
      <c r="J147" s="12" t="s">
        <v>314</v>
      </c>
      <c r="K147" s="12"/>
      <c r="L147" s="5"/>
      <c r="M147" s="33" t="n">
        <f aca="false">SUMIFS('Existing vs Saran'!$I$5:$I$210,'Existing vs Saran'!$N$5:$N$210,A147)</f>
        <v>0</v>
      </c>
      <c r="N147" s="12" t="s">
        <v>1281</v>
      </c>
      <c r="O147" s="5" t="s">
        <v>1282</v>
      </c>
      <c r="P147" s="12"/>
    </row>
    <row r="148" customFormat="false" ht="15" hidden="false" customHeight="false" outlineLevel="0" collapsed="false">
      <c r="A148" s="12" t="n">
        <v>14</v>
      </c>
      <c r="B148" s="12" t="s">
        <v>1283</v>
      </c>
      <c r="C148" s="12" t="s">
        <v>1284</v>
      </c>
      <c r="D148" s="12" t="s">
        <v>1285</v>
      </c>
      <c r="E148" s="12"/>
      <c r="F148" s="12"/>
      <c r="G148" s="12"/>
      <c r="H148" s="12" t="s">
        <v>1211</v>
      </c>
      <c r="I148" s="12" t="s">
        <v>339</v>
      </c>
      <c r="J148" s="12"/>
      <c r="K148" s="12"/>
      <c r="L148" s="5"/>
      <c r="M148" s="33" t="n">
        <f aca="false">SUMIFS('Existing vs Saran'!$I$5:$I$210,'Existing vs Saran'!$N$5:$N$210,A148)</f>
        <v>0</v>
      </c>
      <c r="N148" s="12"/>
      <c r="O148" s="5"/>
      <c r="P148" s="12"/>
    </row>
    <row r="149" customFormat="false" ht="15" hidden="false" customHeight="false" outlineLevel="0" collapsed="false">
      <c r="A149" s="12" t="n">
        <v>5</v>
      </c>
      <c r="B149" s="12" t="s">
        <v>1286</v>
      </c>
      <c r="C149" s="12" t="s">
        <v>1284</v>
      </c>
      <c r="D149" s="12" t="s">
        <v>1285</v>
      </c>
      <c r="E149" s="12"/>
      <c r="F149" s="12"/>
      <c r="G149" s="12"/>
      <c r="H149" s="12" t="s">
        <v>1211</v>
      </c>
      <c r="I149" s="12" t="s">
        <v>339</v>
      </c>
      <c r="J149" s="12"/>
      <c r="K149" s="12"/>
      <c r="L149" s="5"/>
      <c r="M149" s="33" t="n">
        <f aca="false">SUMIFS('Existing vs Saran'!$I$5:$I$210,'Existing vs Saran'!$N$5:$N$210,A149)</f>
        <v>0</v>
      </c>
      <c r="N149" s="12"/>
      <c r="O149" s="5"/>
      <c r="P149" s="12"/>
    </row>
    <row r="150" customFormat="false" ht="15" hidden="false" customHeight="false" outlineLevel="0" collapsed="false">
      <c r="A150" s="12" t="n">
        <v>11</v>
      </c>
      <c r="B150" s="12" t="s">
        <v>1287</v>
      </c>
      <c r="C150" s="12" t="s">
        <v>1284</v>
      </c>
      <c r="D150" s="12" t="s">
        <v>1285</v>
      </c>
      <c r="E150" s="12"/>
      <c r="F150" s="12"/>
      <c r="G150" s="12"/>
      <c r="H150" s="12" t="s">
        <v>1211</v>
      </c>
      <c r="I150" s="12" t="s">
        <v>339</v>
      </c>
      <c r="J150" s="12"/>
      <c r="K150" s="12"/>
      <c r="L150" s="5"/>
      <c r="M150" s="33" t="n">
        <f aca="false">SUMIFS('Existing vs Saran'!$I$5:$I$210,'Existing vs Saran'!$N$5:$N$210,A150)</f>
        <v>0</v>
      </c>
      <c r="N150" s="12"/>
      <c r="O150" s="5"/>
      <c r="P150" s="12"/>
    </row>
    <row r="151" customFormat="false" ht="15" hidden="false" customHeight="false" outlineLevel="0" collapsed="false">
      <c r="A151" s="12" t="n">
        <v>3</v>
      </c>
      <c r="B151" s="12" t="s">
        <v>1288</v>
      </c>
      <c r="C151" s="12" t="s">
        <v>1284</v>
      </c>
      <c r="D151" s="12" t="s">
        <v>1285</v>
      </c>
      <c r="E151" s="12"/>
      <c r="F151" s="12"/>
      <c r="G151" s="12"/>
      <c r="H151" s="12" t="s">
        <v>1211</v>
      </c>
      <c r="I151" s="12" t="s">
        <v>339</v>
      </c>
      <c r="J151" s="12"/>
      <c r="K151" s="12"/>
      <c r="L151" s="5"/>
      <c r="M151" s="33" t="n">
        <f aca="false">SUMIFS('Existing vs Saran'!$I$5:$I$210,'Existing vs Saran'!$N$5:$N$210,A151)</f>
        <v>0</v>
      </c>
      <c r="N151" s="12"/>
      <c r="O151" s="5"/>
      <c r="P151" s="12"/>
    </row>
    <row r="152" customFormat="false" ht="15" hidden="false" customHeight="false" outlineLevel="0" collapsed="false">
      <c r="A152" s="12" t="n">
        <v>13</v>
      </c>
      <c r="B152" s="12" t="s">
        <v>1289</v>
      </c>
      <c r="C152" s="12" t="s">
        <v>1284</v>
      </c>
      <c r="D152" s="12" t="s">
        <v>1285</v>
      </c>
      <c r="E152" s="12"/>
      <c r="F152" s="12"/>
      <c r="G152" s="12"/>
      <c r="H152" s="12" t="s">
        <v>1211</v>
      </c>
      <c r="I152" s="12" t="s">
        <v>339</v>
      </c>
      <c r="J152" s="12"/>
      <c r="K152" s="12"/>
      <c r="L152" s="5"/>
      <c r="M152" s="33" t="n">
        <f aca="false">SUMIFS('Existing vs Saran'!$I$5:$I$210,'Existing vs Saran'!$N$5:$N$210,A152)</f>
        <v>0</v>
      </c>
      <c r="N152" s="12"/>
      <c r="O152" s="5"/>
      <c r="P152" s="12"/>
    </row>
    <row r="153" customFormat="false" ht="15" hidden="false" customHeight="false" outlineLevel="0" collapsed="false">
      <c r="A153" s="12" t="n">
        <v>1</v>
      </c>
      <c r="B153" s="12" t="s">
        <v>413</v>
      </c>
      <c r="C153" s="12" t="s">
        <v>1284</v>
      </c>
      <c r="D153" s="12" t="s">
        <v>1285</v>
      </c>
      <c r="E153" s="12"/>
      <c r="F153" s="12"/>
      <c r="G153" s="12"/>
      <c r="H153" s="12" t="s">
        <v>1211</v>
      </c>
      <c r="I153" s="12" t="s">
        <v>339</v>
      </c>
      <c r="J153" s="12"/>
      <c r="K153" s="12"/>
      <c r="L153" s="5"/>
      <c r="M153" s="33" t="n">
        <f aca="false">SUMIFS('Existing vs Saran'!$I$5:$I$210,'Existing vs Saran'!$N$5:$N$210,A153)</f>
        <v>0</v>
      </c>
      <c r="N153" s="12"/>
      <c r="O153" s="5"/>
      <c r="P153" s="12"/>
    </row>
    <row r="154" customFormat="false" ht="15" hidden="false" customHeight="false" outlineLevel="0" collapsed="false">
      <c r="A154" s="12" t="n">
        <v>2</v>
      </c>
      <c r="B154" s="12" t="s">
        <v>381</v>
      </c>
      <c r="C154" s="12" t="s">
        <v>1284</v>
      </c>
      <c r="D154" s="12" t="s">
        <v>1285</v>
      </c>
      <c r="E154" s="12"/>
      <c r="F154" s="12"/>
      <c r="G154" s="12"/>
      <c r="H154" s="12" t="s">
        <v>1211</v>
      </c>
      <c r="I154" s="12" t="s">
        <v>339</v>
      </c>
      <c r="J154" s="12"/>
      <c r="K154" s="12"/>
      <c r="L154" s="5"/>
      <c r="M154" s="33" t="n">
        <f aca="false">SUMIFS('Existing vs Saran'!$I$5:$I$210,'Existing vs Saran'!$N$5:$N$210,A154)</f>
        <v>0</v>
      </c>
      <c r="N154" s="12"/>
      <c r="O154" s="5"/>
      <c r="P154" s="12"/>
    </row>
    <row r="155" customFormat="false" ht="15" hidden="false" customHeight="false" outlineLevel="0" collapsed="false">
      <c r="A155" s="12" t="n">
        <v>4</v>
      </c>
      <c r="B155" s="12" t="s">
        <v>1290</v>
      </c>
      <c r="C155" s="12" t="s">
        <v>1284</v>
      </c>
      <c r="D155" s="12" t="s">
        <v>1285</v>
      </c>
      <c r="E155" s="12"/>
      <c r="F155" s="12"/>
      <c r="G155" s="12"/>
      <c r="H155" s="12" t="s">
        <v>1211</v>
      </c>
      <c r="I155" s="12" t="s">
        <v>339</v>
      </c>
      <c r="J155" s="12"/>
      <c r="K155" s="12"/>
      <c r="L155" s="5"/>
      <c r="M155" s="33" t="n">
        <f aca="false">SUMIFS('Existing vs Saran'!$I$5:$I$210,'Existing vs Saran'!$N$5:$N$210,A155)</f>
        <v>0</v>
      </c>
      <c r="N155" s="12"/>
      <c r="O155" s="5"/>
      <c r="P155" s="12"/>
    </row>
    <row r="156" customFormat="false" ht="15" hidden="false" customHeight="false" outlineLevel="0" collapsed="false">
      <c r="A156" s="12" t="n">
        <v>7</v>
      </c>
      <c r="B156" s="12" t="s">
        <v>1291</v>
      </c>
      <c r="C156" s="12" t="s">
        <v>1284</v>
      </c>
      <c r="D156" s="12" t="s">
        <v>1285</v>
      </c>
      <c r="E156" s="12"/>
      <c r="F156" s="12"/>
      <c r="G156" s="12"/>
      <c r="H156" s="12" t="s">
        <v>1211</v>
      </c>
      <c r="I156" s="12" t="s">
        <v>339</v>
      </c>
      <c r="J156" s="12"/>
      <c r="K156" s="12"/>
      <c r="L156" s="5"/>
      <c r="M156" s="33" t="n">
        <f aca="false">SUMIFS('Existing vs Saran'!$I$5:$I$210,'Existing vs Saran'!$N$5:$N$210,A156)</f>
        <v>0</v>
      </c>
      <c r="N156" s="12"/>
      <c r="O156" s="5"/>
      <c r="P156" s="12"/>
    </row>
    <row r="157" customFormat="false" ht="15" hidden="false" customHeight="false" outlineLevel="0" collapsed="false">
      <c r="A157" s="12" t="n">
        <v>12</v>
      </c>
      <c r="B157" s="12" t="s">
        <v>1292</v>
      </c>
      <c r="C157" s="12" t="s">
        <v>1284</v>
      </c>
      <c r="D157" s="12" t="s">
        <v>1285</v>
      </c>
      <c r="E157" s="12"/>
      <c r="F157" s="12"/>
      <c r="G157" s="12"/>
      <c r="H157" s="12" t="s">
        <v>1211</v>
      </c>
      <c r="I157" s="12" t="s">
        <v>339</v>
      </c>
      <c r="J157" s="12"/>
      <c r="K157" s="12"/>
      <c r="L157" s="5"/>
      <c r="M157" s="33" t="n">
        <f aca="false">SUMIFS('Existing vs Saran'!$I$5:$I$210,'Existing vs Saran'!$N$5:$N$210,A157)</f>
        <v>0</v>
      </c>
      <c r="N157" s="12"/>
      <c r="O157" s="5"/>
      <c r="P157" s="12"/>
    </row>
    <row r="158" customFormat="false" ht="15" hidden="false" customHeight="false" outlineLevel="0" collapsed="false">
      <c r="A158" s="12" t="n">
        <v>6</v>
      </c>
      <c r="B158" s="12" t="s">
        <v>1293</v>
      </c>
      <c r="C158" s="12" t="s">
        <v>1284</v>
      </c>
      <c r="D158" s="12" t="s">
        <v>1285</v>
      </c>
      <c r="E158" s="12"/>
      <c r="F158" s="12"/>
      <c r="G158" s="12"/>
      <c r="H158" s="12" t="s">
        <v>1211</v>
      </c>
      <c r="I158" s="12" t="s">
        <v>339</v>
      </c>
      <c r="J158" s="12"/>
      <c r="K158" s="12"/>
      <c r="L158" s="5"/>
      <c r="M158" s="33" t="n">
        <f aca="false">SUMIFS('Existing vs Saran'!$I$5:$I$210,'Existing vs Saran'!$N$5:$N$210,A158)</f>
        <v>0</v>
      </c>
      <c r="N158" s="12"/>
      <c r="O158" s="5"/>
      <c r="P158" s="12"/>
    </row>
    <row r="159" customFormat="false" ht="15" hidden="false" customHeight="false" outlineLevel="0" collapsed="false">
      <c r="A159" s="12" t="n">
        <v>8</v>
      </c>
      <c r="B159" s="12" t="s">
        <v>1294</v>
      </c>
      <c r="C159" s="12" t="s">
        <v>1284</v>
      </c>
      <c r="D159" s="12" t="s">
        <v>1285</v>
      </c>
      <c r="E159" s="12"/>
      <c r="F159" s="12"/>
      <c r="G159" s="12"/>
      <c r="H159" s="12" t="s">
        <v>1211</v>
      </c>
      <c r="I159" s="12" t="s">
        <v>339</v>
      </c>
      <c r="J159" s="12"/>
      <c r="K159" s="12"/>
      <c r="L159" s="5"/>
      <c r="M159" s="33" t="n">
        <f aca="false">SUMIFS('Existing vs Saran'!$I$5:$I$210,'Existing vs Saran'!$N$5:$N$210,A159)</f>
        <v>0</v>
      </c>
      <c r="N159" s="12"/>
      <c r="O159" s="5"/>
      <c r="P159" s="12"/>
    </row>
    <row r="160" customFormat="false" ht="15" hidden="false" customHeight="false" outlineLevel="0" collapsed="false">
      <c r="A160" s="12" t="n">
        <v>9</v>
      </c>
      <c r="B160" s="12" t="s">
        <v>1295</v>
      </c>
      <c r="C160" s="12" t="s">
        <v>1284</v>
      </c>
      <c r="D160" s="12" t="s">
        <v>1285</v>
      </c>
      <c r="E160" s="12"/>
      <c r="F160" s="12"/>
      <c r="G160" s="12"/>
      <c r="H160" s="12" t="s">
        <v>1211</v>
      </c>
      <c r="I160" s="12" t="s">
        <v>339</v>
      </c>
      <c r="J160" s="12"/>
      <c r="K160" s="12"/>
      <c r="L160" s="5"/>
      <c r="M160" s="33" t="n">
        <f aca="false">SUMIFS('Existing vs Saran'!$I$5:$I$210,'Existing vs Saran'!$N$5:$N$210,A160)</f>
        <v>0</v>
      </c>
      <c r="N160" s="12"/>
      <c r="O160" s="5"/>
      <c r="P160" s="12"/>
    </row>
    <row r="161" customFormat="false" ht="15" hidden="false" customHeight="false" outlineLevel="0" collapsed="false">
      <c r="A161" s="12" t="n">
        <v>10</v>
      </c>
      <c r="B161" s="12" t="s">
        <v>1296</v>
      </c>
      <c r="C161" s="12" t="s">
        <v>1284</v>
      </c>
      <c r="D161" s="12" t="s">
        <v>1285</v>
      </c>
      <c r="E161" s="12"/>
      <c r="F161" s="12"/>
      <c r="G161" s="12"/>
      <c r="H161" s="12" t="s">
        <v>1211</v>
      </c>
      <c r="I161" s="12" t="s">
        <v>339</v>
      </c>
      <c r="J161" s="12"/>
      <c r="K161" s="12"/>
      <c r="L161" s="5"/>
      <c r="M161" s="33" t="n">
        <f aca="false">SUMIFS('Existing vs Saran'!$I$5:$I$210,'Existing vs Saran'!$N$5:$N$210,A161)</f>
        <v>0</v>
      </c>
      <c r="N161" s="12"/>
      <c r="O161" s="5"/>
      <c r="P161" s="12"/>
    </row>
    <row r="162" customFormat="false" ht="23.85" hidden="false" customHeight="false" outlineLevel="0" collapsed="false">
      <c r="A162" s="12" t="n">
        <v>371</v>
      </c>
      <c r="B162" s="12" t="s">
        <v>1297</v>
      </c>
      <c r="C162" s="12" t="s">
        <v>949</v>
      </c>
      <c r="D162" s="12" t="s">
        <v>1298</v>
      </c>
      <c r="E162" s="12" t="n">
        <v>4</v>
      </c>
      <c r="F162" s="12" t="s">
        <v>916</v>
      </c>
      <c r="G162" s="12" t="s">
        <v>1299</v>
      </c>
      <c r="H162" s="12" t="s">
        <v>94</v>
      </c>
      <c r="I162" s="12" t="s">
        <v>339</v>
      </c>
      <c r="J162" s="12"/>
      <c r="K162" s="12"/>
      <c r="L162" s="5"/>
      <c r="M162" s="33" t="n">
        <f aca="false">SUMIFS('Existing vs Saran'!$I$5:$I$210,'Existing vs Saran'!$N$5:$N$210,A162)</f>
        <v>0</v>
      </c>
      <c r="N162" s="12" t="s">
        <v>1300</v>
      </c>
      <c r="O162" s="5" t="s">
        <v>1301</v>
      </c>
      <c r="P162" s="12"/>
    </row>
    <row r="163" customFormat="false" ht="15" hidden="false" customHeight="false" outlineLevel="0" collapsed="false">
      <c r="A163" s="12" t="n">
        <v>69</v>
      </c>
      <c r="B163" s="12" t="s">
        <v>1302</v>
      </c>
      <c r="C163" s="12" t="s">
        <v>949</v>
      </c>
      <c r="D163" s="12" t="s">
        <v>1298</v>
      </c>
      <c r="E163" s="12" t="n">
        <v>4</v>
      </c>
      <c r="F163" s="12" t="s">
        <v>379</v>
      </c>
      <c r="G163" s="12" t="s">
        <v>585</v>
      </c>
      <c r="H163" s="12" t="s">
        <v>94</v>
      </c>
      <c r="I163" s="12" t="s">
        <v>339</v>
      </c>
      <c r="J163" s="12"/>
      <c r="K163" s="12"/>
      <c r="L163" s="5"/>
      <c r="M163" s="33" t="n">
        <f aca="false">SUMIFS('Existing vs Saran'!$I$5:$I$210,'Existing vs Saran'!$N$5:$N$210,A163)</f>
        <v>0</v>
      </c>
      <c r="N163" s="12" t="s">
        <v>1303</v>
      </c>
      <c r="O163" s="5" t="s">
        <v>1304</v>
      </c>
      <c r="P163" s="12"/>
    </row>
    <row r="164" customFormat="false" ht="15" hidden="false" customHeight="false" outlineLevel="0" collapsed="false">
      <c r="A164" s="12" t="n">
        <v>15</v>
      </c>
      <c r="B164" s="12" t="s">
        <v>1305</v>
      </c>
      <c r="C164" s="12" t="s">
        <v>949</v>
      </c>
      <c r="D164" s="12" t="s">
        <v>1298</v>
      </c>
      <c r="E164" s="12" t="n">
        <v>4</v>
      </c>
      <c r="F164" s="12" t="s">
        <v>354</v>
      </c>
      <c r="G164" s="12" t="s">
        <v>1306</v>
      </c>
      <c r="H164" s="12" t="s">
        <v>94</v>
      </c>
      <c r="I164" s="12" t="s">
        <v>339</v>
      </c>
      <c r="J164" s="12"/>
      <c r="K164" s="12"/>
      <c r="L164" s="5"/>
      <c r="M164" s="33" t="n">
        <f aca="false">SUMIFS('Existing vs Saran'!$I$5:$I$210,'Existing vs Saran'!$N$5:$N$210,A164)</f>
        <v>0</v>
      </c>
      <c r="N164" s="12" t="s">
        <v>1307</v>
      </c>
      <c r="O164" s="5" t="s">
        <v>1126</v>
      </c>
      <c r="P164" s="12"/>
    </row>
    <row r="165" customFormat="false" ht="23.85" hidden="false" customHeight="false" outlineLevel="0" collapsed="false">
      <c r="A165" s="12" t="n">
        <v>70</v>
      </c>
      <c r="B165" s="12" t="s">
        <v>1308</v>
      </c>
      <c r="C165" s="12" t="s">
        <v>949</v>
      </c>
      <c r="D165" s="12" t="s">
        <v>1298</v>
      </c>
      <c r="E165" s="12" t="n">
        <v>4</v>
      </c>
      <c r="F165" s="12" t="s">
        <v>379</v>
      </c>
      <c r="G165" s="12" t="s">
        <v>596</v>
      </c>
      <c r="H165" s="12" t="s">
        <v>94</v>
      </c>
      <c r="I165" s="12" t="s">
        <v>339</v>
      </c>
      <c r="J165" s="12"/>
      <c r="K165" s="12"/>
      <c r="L165" s="5"/>
      <c r="M165" s="33" t="n">
        <f aca="false">SUMIFS('Existing vs Saran'!$I$5:$I$210,'Existing vs Saran'!$N$5:$N$210,A165)</f>
        <v>0</v>
      </c>
      <c r="N165" s="12" t="s">
        <v>1309</v>
      </c>
      <c r="O165" s="5" t="s">
        <v>1310</v>
      </c>
      <c r="P165" s="12"/>
    </row>
    <row r="166" customFormat="false" ht="15" hidden="false" customHeight="false" outlineLevel="0" collapsed="false">
      <c r="A166" s="12" t="n">
        <v>246</v>
      </c>
      <c r="B166" s="12" t="s">
        <v>1311</v>
      </c>
      <c r="C166" s="12" t="s">
        <v>949</v>
      </c>
      <c r="D166" s="12" t="s">
        <v>1298</v>
      </c>
      <c r="E166" s="12" t="n">
        <v>4</v>
      </c>
      <c r="F166" s="12" t="s">
        <v>351</v>
      </c>
      <c r="G166" s="12" t="s">
        <v>1113</v>
      </c>
      <c r="H166" s="12" t="s">
        <v>94</v>
      </c>
      <c r="I166" s="12" t="s">
        <v>339</v>
      </c>
      <c r="J166" s="12"/>
      <c r="K166" s="12"/>
      <c r="L166" s="5"/>
      <c r="M166" s="33" t="n">
        <f aca="false">SUMIFS('Existing vs Saran'!$I$5:$I$210,'Existing vs Saran'!$N$5:$N$210,A166)</f>
        <v>0</v>
      </c>
      <c r="N166" s="12" t="s">
        <v>1312</v>
      </c>
      <c r="O166" s="5" t="s">
        <v>1012</v>
      </c>
      <c r="P166" s="12"/>
    </row>
    <row r="167" customFormat="false" ht="23.85" hidden="false" customHeight="false" outlineLevel="0" collapsed="false">
      <c r="A167" s="12" t="n">
        <v>131</v>
      </c>
      <c r="B167" s="12" t="s">
        <v>1313</v>
      </c>
      <c r="C167" s="12" t="s">
        <v>949</v>
      </c>
      <c r="D167" s="12" t="s">
        <v>1298</v>
      </c>
      <c r="E167" s="12" t="n">
        <v>5</v>
      </c>
      <c r="F167" s="12" t="s">
        <v>904</v>
      </c>
      <c r="G167" s="12" t="s">
        <v>1203</v>
      </c>
      <c r="H167" s="12" t="s">
        <v>94</v>
      </c>
      <c r="I167" s="12" t="s">
        <v>339</v>
      </c>
      <c r="J167" s="12"/>
      <c r="K167" s="12"/>
      <c r="L167" s="5"/>
      <c r="M167" s="33" t="n">
        <f aca="false">SUMIFS('Existing vs Saran'!$I$5:$I$210,'Existing vs Saran'!$N$5:$N$210,A167)</f>
        <v>0</v>
      </c>
      <c r="N167" s="12" t="s">
        <v>1314</v>
      </c>
      <c r="O167" s="5" t="s">
        <v>1122</v>
      </c>
      <c r="P167" s="12"/>
    </row>
    <row r="168" customFormat="false" ht="23.85" hidden="false" customHeight="false" outlineLevel="0" collapsed="false">
      <c r="A168" s="12" t="n">
        <v>247</v>
      </c>
      <c r="B168" s="12" t="s">
        <v>1315</v>
      </c>
      <c r="C168" s="12" t="s">
        <v>949</v>
      </c>
      <c r="D168" s="12" t="s">
        <v>1298</v>
      </c>
      <c r="E168" s="12" t="n">
        <v>4</v>
      </c>
      <c r="F168" s="12" t="s">
        <v>351</v>
      </c>
      <c r="G168" s="12" t="s">
        <v>1113</v>
      </c>
      <c r="H168" s="12" t="s">
        <v>94</v>
      </c>
      <c r="I168" s="12" t="s">
        <v>339</v>
      </c>
      <c r="J168" s="12"/>
      <c r="K168" s="12"/>
      <c r="L168" s="5"/>
      <c r="M168" s="33" t="n">
        <f aca="false">SUMIFS('Existing vs Saran'!$I$5:$I$210,'Existing vs Saran'!$N$5:$N$210,A168)</f>
        <v>0</v>
      </c>
      <c r="N168" s="12" t="s">
        <v>1316</v>
      </c>
      <c r="O168" s="5" t="s">
        <v>1317</v>
      </c>
      <c r="P168" s="12"/>
    </row>
    <row r="169" customFormat="false" ht="23.85" hidden="false" customHeight="false" outlineLevel="0" collapsed="false">
      <c r="A169" s="12" t="n">
        <v>71</v>
      </c>
      <c r="B169" s="12" t="s">
        <v>1318</v>
      </c>
      <c r="C169" s="12" t="s">
        <v>949</v>
      </c>
      <c r="D169" s="12" t="s">
        <v>1298</v>
      </c>
      <c r="E169" s="12" t="n">
        <v>5</v>
      </c>
      <c r="F169" s="12" t="s">
        <v>379</v>
      </c>
      <c r="G169" s="12" t="s">
        <v>982</v>
      </c>
      <c r="H169" s="12" t="s">
        <v>94</v>
      </c>
      <c r="I169" s="12" t="s">
        <v>339</v>
      </c>
      <c r="J169" s="12"/>
      <c r="K169" s="12"/>
      <c r="L169" s="5"/>
      <c r="M169" s="33" t="n">
        <f aca="false">SUMIFS('Existing vs Saran'!$I$5:$I$210,'Existing vs Saran'!$N$5:$N$210,A169)</f>
        <v>0</v>
      </c>
      <c r="N169" s="12" t="s">
        <v>1319</v>
      </c>
      <c r="O169" s="5" t="s">
        <v>1320</v>
      </c>
      <c r="P169" s="12"/>
    </row>
    <row r="170" customFormat="false" ht="15" hidden="false" customHeight="false" outlineLevel="0" collapsed="false">
      <c r="A170" s="12" t="n">
        <v>384</v>
      </c>
      <c r="B170" s="12" t="s">
        <v>1321</v>
      </c>
      <c r="C170" s="12" t="s">
        <v>949</v>
      </c>
      <c r="D170" s="12" t="s">
        <v>1298</v>
      </c>
      <c r="E170" s="12" t="n">
        <v>5</v>
      </c>
      <c r="F170" s="12" t="s">
        <v>917</v>
      </c>
      <c r="G170" s="12" t="s">
        <v>1322</v>
      </c>
      <c r="H170" s="12" t="s">
        <v>94</v>
      </c>
      <c r="I170" s="12" t="s">
        <v>339</v>
      </c>
      <c r="J170" s="12"/>
      <c r="K170" s="12"/>
      <c r="L170" s="5"/>
      <c r="M170" s="33" t="n">
        <f aca="false">SUMIFS('Existing vs Saran'!$I$5:$I$210,'Existing vs Saran'!$N$5:$N$210,A170)</f>
        <v>0</v>
      </c>
      <c r="N170" s="12" t="s">
        <v>1323</v>
      </c>
      <c r="O170" s="5" t="s">
        <v>954</v>
      </c>
      <c r="P170" s="12"/>
    </row>
    <row r="171" customFormat="false" ht="15" hidden="false" customHeight="false" outlineLevel="0" collapsed="false">
      <c r="A171" s="12" t="n">
        <v>178</v>
      </c>
      <c r="B171" s="12" t="s">
        <v>1324</v>
      </c>
      <c r="C171" s="12" t="s">
        <v>949</v>
      </c>
      <c r="D171" s="12" t="s">
        <v>1298</v>
      </c>
      <c r="E171" s="12" t="n">
        <v>4</v>
      </c>
      <c r="F171" s="12" t="s">
        <v>20</v>
      </c>
      <c r="G171" s="12" t="s">
        <v>707</v>
      </c>
      <c r="H171" s="12" t="s">
        <v>94</v>
      </c>
      <c r="I171" s="12" t="s">
        <v>339</v>
      </c>
      <c r="J171" s="12"/>
      <c r="K171" s="12"/>
      <c r="L171" s="5"/>
      <c r="M171" s="33" t="n">
        <f aca="false">SUMIFS('Existing vs Saran'!$I$5:$I$210,'Existing vs Saran'!$N$5:$N$210,A171)</f>
        <v>0</v>
      </c>
      <c r="N171" s="12" t="s">
        <v>1325</v>
      </c>
      <c r="O171" s="5" t="s">
        <v>1039</v>
      </c>
      <c r="P171" s="12"/>
    </row>
    <row r="172" customFormat="false" ht="35.05" hidden="false" customHeight="false" outlineLevel="0" collapsed="false">
      <c r="A172" s="12" t="n">
        <v>146</v>
      </c>
      <c r="B172" s="12" t="s">
        <v>1326</v>
      </c>
      <c r="C172" s="12" t="s">
        <v>949</v>
      </c>
      <c r="D172" s="12" t="s">
        <v>1298</v>
      </c>
      <c r="E172" s="12" t="n">
        <v>5</v>
      </c>
      <c r="F172" s="12" t="s">
        <v>905</v>
      </c>
      <c r="G172" s="12" t="s">
        <v>967</v>
      </c>
      <c r="H172" s="12" t="s">
        <v>94</v>
      </c>
      <c r="I172" s="12" t="s">
        <v>339</v>
      </c>
      <c r="J172" s="12"/>
      <c r="K172" s="12"/>
      <c r="L172" s="5"/>
      <c r="M172" s="33" t="n">
        <f aca="false">SUMIFS('Existing vs Saran'!$I$5:$I$210,'Existing vs Saran'!$N$5:$N$210,A172)</f>
        <v>0</v>
      </c>
      <c r="N172" s="12" t="s">
        <v>1327</v>
      </c>
      <c r="O172" s="5" t="s">
        <v>1328</v>
      </c>
      <c r="P172" s="12"/>
    </row>
    <row r="173" customFormat="false" ht="15" hidden="false" customHeight="false" outlineLevel="0" collapsed="false">
      <c r="A173" s="12" t="n">
        <v>387</v>
      </c>
      <c r="B173" s="12" t="s">
        <v>1329</v>
      </c>
      <c r="C173" s="12" t="s">
        <v>949</v>
      </c>
      <c r="D173" s="12" t="s">
        <v>1298</v>
      </c>
      <c r="E173" s="12" t="n">
        <v>5</v>
      </c>
      <c r="F173" s="12" t="s">
        <v>917</v>
      </c>
      <c r="G173" s="12" t="s">
        <v>1056</v>
      </c>
      <c r="H173" s="12" t="s">
        <v>94</v>
      </c>
      <c r="I173" s="12" t="s">
        <v>339</v>
      </c>
      <c r="J173" s="12"/>
      <c r="K173" s="12"/>
      <c r="L173" s="5"/>
      <c r="M173" s="33" t="n">
        <f aca="false">SUMIFS('Existing vs Saran'!$I$5:$I$210,'Existing vs Saran'!$N$5:$N$210,A173)</f>
        <v>0</v>
      </c>
      <c r="N173" s="12" t="s">
        <v>1330</v>
      </c>
      <c r="O173" s="5" t="s">
        <v>954</v>
      </c>
      <c r="P173" s="12"/>
    </row>
    <row r="174" customFormat="false" ht="15" hidden="false" customHeight="false" outlineLevel="0" collapsed="false">
      <c r="A174" s="12" t="n">
        <v>388</v>
      </c>
      <c r="B174" s="12" t="s">
        <v>1331</v>
      </c>
      <c r="C174" s="12" t="s">
        <v>949</v>
      </c>
      <c r="D174" s="12" t="s">
        <v>1298</v>
      </c>
      <c r="E174" s="12" t="n">
        <v>4</v>
      </c>
      <c r="F174" s="12" t="s">
        <v>917</v>
      </c>
      <c r="G174" s="12" t="s">
        <v>1332</v>
      </c>
      <c r="H174" s="12" t="s">
        <v>1211</v>
      </c>
      <c r="I174" s="12" t="s">
        <v>339</v>
      </c>
      <c r="J174" s="12"/>
      <c r="K174" s="12"/>
      <c r="L174" s="5"/>
      <c r="M174" s="33" t="n">
        <f aca="false">SUMIFS('Existing vs Saran'!$I$5:$I$210,'Existing vs Saran'!$N$5:$N$210,A174)</f>
        <v>0</v>
      </c>
      <c r="N174" s="12" t="s">
        <v>1333</v>
      </c>
      <c r="O174" s="5" t="s">
        <v>954</v>
      </c>
      <c r="P174" s="12"/>
    </row>
    <row r="175" customFormat="false" ht="23.85" hidden="false" customHeight="false" outlineLevel="0" collapsed="false">
      <c r="A175" s="12" t="n">
        <v>76</v>
      </c>
      <c r="B175" s="12" t="s">
        <v>1334</v>
      </c>
      <c r="C175" s="12" t="s">
        <v>949</v>
      </c>
      <c r="D175" s="12" t="s">
        <v>1298</v>
      </c>
      <c r="E175" s="12" t="n">
        <v>5</v>
      </c>
      <c r="F175" s="12" t="s">
        <v>379</v>
      </c>
      <c r="G175" s="12" t="s">
        <v>982</v>
      </c>
      <c r="H175" s="12" t="s">
        <v>94</v>
      </c>
      <c r="I175" s="12" t="s">
        <v>339</v>
      </c>
      <c r="J175" s="12"/>
      <c r="K175" s="12"/>
      <c r="L175" s="5"/>
      <c r="M175" s="33" t="n">
        <f aca="false">SUMIFS('Existing vs Saran'!$I$5:$I$210,'Existing vs Saran'!$N$5:$N$210,A175)</f>
        <v>0</v>
      </c>
      <c r="N175" s="12" t="s">
        <v>1335</v>
      </c>
      <c r="O175" s="5" t="s">
        <v>1336</v>
      </c>
      <c r="P175" s="12"/>
    </row>
    <row r="176" customFormat="false" ht="23.85" hidden="false" customHeight="false" outlineLevel="0" collapsed="false">
      <c r="A176" s="12" t="n">
        <v>372</v>
      </c>
      <c r="B176" s="12" t="s">
        <v>1337</v>
      </c>
      <c r="C176" s="12" t="s">
        <v>949</v>
      </c>
      <c r="D176" s="12" t="s">
        <v>1298</v>
      </c>
      <c r="E176" s="12" t="n">
        <v>5</v>
      </c>
      <c r="F176" s="12" t="s">
        <v>916</v>
      </c>
      <c r="G176" s="12" t="s">
        <v>1338</v>
      </c>
      <c r="H176" s="12" t="s">
        <v>94</v>
      </c>
      <c r="I176" s="12" t="s">
        <v>339</v>
      </c>
      <c r="J176" s="12"/>
      <c r="K176" s="12"/>
      <c r="L176" s="5"/>
      <c r="M176" s="33" t="n">
        <f aca="false">SUMIFS('Existing vs Saran'!$I$5:$I$210,'Existing vs Saran'!$N$5:$N$210,A176)</f>
        <v>0</v>
      </c>
      <c r="N176" s="12" t="s">
        <v>1339</v>
      </c>
      <c r="O176" s="5" t="s">
        <v>1122</v>
      </c>
      <c r="P176" s="12"/>
    </row>
    <row r="177" customFormat="false" ht="23.85" hidden="false" customHeight="false" outlineLevel="0" collapsed="false">
      <c r="A177" s="12" t="n">
        <v>79</v>
      </c>
      <c r="B177" s="12" t="s">
        <v>1340</v>
      </c>
      <c r="C177" s="12" t="s">
        <v>949</v>
      </c>
      <c r="D177" s="12" t="s">
        <v>1298</v>
      </c>
      <c r="E177" s="12" t="n">
        <v>4</v>
      </c>
      <c r="F177" s="12" t="s">
        <v>379</v>
      </c>
      <c r="G177" s="12" t="s">
        <v>571</v>
      </c>
      <c r="H177" s="12" t="s">
        <v>94</v>
      </c>
      <c r="I177" s="12" t="s">
        <v>339</v>
      </c>
      <c r="J177" s="12"/>
      <c r="K177" s="12"/>
      <c r="L177" s="5"/>
      <c r="M177" s="33" t="n">
        <f aca="false">SUMIFS('Existing vs Saran'!$I$5:$I$210,'Existing vs Saran'!$N$5:$N$210,A177)</f>
        <v>0</v>
      </c>
      <c r="N177" s="12" t="s">
        <v>1341</v>
      </c>
      <c r="O177" s="5" t="s">
        <v>1342</v>
      </c>
      <c r="P177" s="12"/>
    </row>
    <row r="178" customFormat="false" ht="35.05" hidden="false" customHeight="false" outlineLevel="0" collapsed="false">
      <c r="A178" s="12" t="n">
        <v>80</v>
      </c>
      <c r="B178" s="12" t="s">
        <v>1343</v>
      </c>
      <c r="C178" s="12" t="s">
        <v>949</v>
      </c>
      <c r="D178" s="12" t="s">
        <v>1298</v>
      </c>
      <c r="E178" s="12" t="n">
        <v>4</v>
      </c>
      <c r="F178" s="12" t="s">
        <v>379</v>
      </c>
      <c r="G178" s="12" t="s">
        <v>1344</v>
      </c>
      <c r="H178" s="12" t="s">
        <v>94</v>
      </c>
      <c r="I178" s="12" t="s">
        <v>339</v>
      </c>
      <c r="J178" s="12"/>
      <c r="K178" s="12"/>
      <c r="L178" s="5"/>
      <c r="M178" s="33" t="n">
        <f aca="false">SUMIFS('Existing vs Saran'!$I$5:$I$210,'Existing vs Saran'!$N$5:$N$210,A178)</f>
        <v>0</v>
      </c>
      <c r="N178" s="12" t="s">
        <v>1345</v>
      </c>
      <c r="O178" s="5" t="s">
        <v>1346</v>
      </c>
      <c r="P178" s="12"/>
    </row>
    <row r="179" customFormat="false" ht="15" hidden="false" customHeight="false" outlineLevel="0" collapsed="false">
      <c r="A179" s="12" t="n">
        <v>253</v>
      </c>
      <c r="B179" s="12" t="s">
        <v>1347</v>
      </c>
      <c r="C179" s="12" t="s">
        <v>949</v>
      </c>
      <c r="D179" s="12" t="s">
        <v>1298</v>
      </c>
      <c r="E179" s="12" t="n">
        <v>4</v>
      </c>
      <c r="F179" s="12" t="s">
        <v>351</v>
      </c>
      <c r="G179" s="12" t="s">
        <v>960</v>
      </c>
      <c r="H179" s="12" t="s">
        <v>94</v>
      </c>
      <c r="I179" s="12" t="s">
        <v>339</v>
      </c>
      <c r="J179" s="12"/>
      <c r="K179" s="12"/>
      <c r="L179" s="5"/>
      <c r="M179" s="33" t="n">
        <f aca="false">SUMIFS('Existing vs Saran'!$I$5:$I$210,'Existing vs Saran'!$N$5:$N$210,A179)</f>
        <v>0</v>
      </c>
      <c r="N179" s="12" t="s">
        <v>1348</v>
      </c>
      <c r="O179" s="5" t="s">
        <v>1012</v>
      </c>
      <c r="P179" s="12"/>
    </row>
    <row r="180" customFormat="false" ht="23.85" hidden="false" customHeight="false" outlineLevel="0" collapsed="false">
      <c r="A180" s="12" t="n">
        <v>81</v>
      </c>
      <c r="B180" s="12" t="s">
        <v>1349</v>
      </c>
      <c r="C180" s="12" t="s">
        <v>949</v>
      </c>
      <c r="D180" s="12" t="s">
        <v>1298</v>
      </c>
      <c r="E180" s="12" t="n">
        <v>4</v>
      </c>
      <c r="F180" s="12" t="s">
        <v>379</v>
      </c>
      <c r="G180" s="12" t="s">
        <v>585</v>
      </c>
      <c r="H180" s="12" t="s">
        <v>94</v>
      </c>
      <c r="I180" s="12" t="s">
        <v>339</v>
      </c>
      <c r="J180" s="12"/>
      <c r="K180" s="12"/>
      <c r="L180" s="5"/>
      <c r="M180" s="33" t="n">
        <f aca="false">SUMIFS('Existing vs Saran'!$I$5:$I$210,'Existing vs Saran'!$N$5:$N$210,A180)</f>
        <v>0</v>
      </c>
      <c r="N180" s="12" t="s">
        <v>1350</v>
      </c>
      <c r="O180" s="5" t="s">
        <v>1351</v>
      </c>
      <c r="P180" s="12"/>
    </row>
    <row r="181" customFormat="false" ht="23.85" hidden="false" customHeight="false" outlineLevel="0" collapsed="false">
      <c r="A181" s="12" t="n">
        <v>421</v>
      </c>
      <c r="B181" s="12" t="s">
        <v>1352</v>
      </c>
      <c r="C181" s="12" t="s">
        <v>949</v>
      </c>
      <c r="D181" s="12" t="s">
        <v>1298</v>
      </c>
      <c r="E181" s="12" t="n">
        <v>4</v>
      </c>
      <c r="F181" s="12" t="s">
        <v>22</v>
      </c>
      <c r="G181" s="12" t="s">
        <v>209</v>
      </c>
      <c r="H181" s="12" t="s">
        <v>94</v>
      </c>
      <c r="I181" s="12" t="s">
        <v>339</v>
      </c>
      <c r="J181" s="12"/>
      <c r="K181" s="12"/>
      <c r="L181" s="5"/>
      <c r="M181" s="33" t="n">
        <f aca="false">SUMIFS('Existing vs Saran'!$I$5:$I$210,'Existing vs Saran'!$N$5:$N$210,A181)</f>
        <v>0</v>
      </c>
      <c r="N181" s="12" t="s">
        <v>1353</v>
      </c>
      <c r="O181" s="5" t="s">
        <v>1016</v>
      </c>
      <c r="P181" s="12"/>
    </row>
    <row r="182" customFormat="false" ht="15" hidden="false" customHeight="false" outlineLevel="0" collapsed="false">
      <c r="A182" s="12" t="n">
        <v>182</v>
      </c>
      <c r="B182" s="12" t="s">
        <v>1354</v>
      </c>
      <c r="C182" s="12" t="s">
        <v>949</v>
      </c>
      <c r="D182" s="12" t="s">
        <v>1298</v>
      </c>
      <c r="E182" s="12" t="n">
        <v>4</v>
      </c>
      <c r="F182" s="12" t="s">
        <v>20</v>
      </c>
      <c r="G182" s="12" t="s">
        <v>707</v>
      </c>
      <c r="H182" s="12" t="s">
        <v>94</v>
      </c>
      <c r="I182" s="12" t="s">
        <v>339</v>
      </c>
      <c r="J182" s="12"/>
      <c r="K182" s="12"/>
      <c r="L182" s="5"/>
      <c r="M182" s="33" t="n">
        <f aca="false">SUMIFS('Existing vs Saran'!$I$5:$I$210,'Existing vs Saran'!$N$5:$N$210,A182)</f>
        <v>0</v>
      </c>
      <c r="N182" s="12" t="s">
        <v>1355</v>
      </c>
      <c r="O182" s="5" t="s">
        <v>1039</v>
      </c>
      <c r="P182" s="12"/>
    </row>
    <row r="183" customFormat="false" ht="23.85" hidden="false" customHeight="false" outlineLevel="0" collapsed="false">
      <c r="A183" s="12" t="n">
        <v>254</v>
      </c>
      <c r="B183" s="12" t="s">
        <v>1356</v>
      </c>
      <c r="C183" s="12" t="s">
        <v>949</v>
      </c>
      <c r="D183" s="12" t="s">
        <v>1298</v>
      </c>
      <c r="E183" s="12" t="n">
        <v>4</v>
      </c>
      <c r="F183" s="12" t="s">
        <v>351</v>
      </c>
      <c r="G183" s="12" t="s">
        <v>1172</v>
      </c>
      <c r="H183" s="12" t="s">
        <v>94</v>
      </c>
      <c r="I183" s="12" t="s">
        <v>339</v>
      </c>
      <c r="J183" s="12"/>
      <c r="K183" s="12"/>
      <c r="L183" s="5"/>
      <c r="M183" s="33" t="n">
        <f aca="false">SUMIFS('Existing vs Saran'!$I$5:$I$210,'Existing vs Saran'!$N$5:$N$210,A183)</f>
        <v>0</v>
      </c>
      <c r="N183" s="12" t="s">
        <v>1357</v>
      </c>
      <c r="O183" s="5" t="s">
        <v>1152</v>
      </c>
      <c r="P183" s="12"/>
    </row>
    <row r="184" customFormat="false" ht="23.85" hidden="false" customHeight="false" outlineLevel="0" collapsed="false">
      <c r="A184" s="12" t="n">
        <v>451</v>
      </c>
      <c r="B184" s="12" t="s">
        <v>1358</v>
      </c>
      <c r="C184" s="12" t="s">
        <v>949</v>
      </c>
      <c r="D184" s="12" t="s">
        <v>1298</v>
      </c>
      <c r="E184" s="12" t="n">
        <v>5</v>
      </c>
      <c r="F184" s="12"/>
      <c r="G184" s="12"/>
      <c r="H184" s="12" t="s">
        <v>94</v>
      </c>
      <c r="I184" s="12" t="s">
        <v>339</v>
      </c>
      <c r="J184" s="12"/>
      <c r="K184" s="12"/>
      <c r="L184" s="5"/>
      <c r="M184" s="33" t="n">
        <f aca="false">SUMIFS('Existing vs Saran'!$I$5:$I$210,'Existing vs Saran'!$N$5:$N$210,A184)</f>
        <v>0</v>
      </c>
      <c r="N184" s="12" t="s">
        <v>1359</v>
      </c>
      <c r="O184" s="5" t="s">
        <v>1360</v>
      </c>
      <c r="P184" s="12"/>
    </row>
    <row r="185" customFormat="false" ht="23.85" hidden="false" customHeight="false" outlineLevel="0" collapsed="false">
      <c r="A185" s="12" t="n">
        <v>423</v>
      </c>
      <c r="B185" s="12" t="s">
        <v>1361</v>
      </c>
      <c r="C185" s="12" t="s">
        <v>949</v>
      </c>
      <c r="D185" s="12" t="s">
        <v>1298</v>
      </c>
      <c r="E185" s="12" t="n">
        <v>4</v>
      </c>
      <c r="F185" s="12" t="s">
        <v>22</v>
      </c>
      <c r="G185" s="12" t="s">
        <v>810</v>
      </c>
      <c r="H185" s="12" t="s">
        <v>94</v>
      </c>
      <c r="I185" s="12" t="s">
        <v>339</v>
      </c>
      <c r="J185" s="12"/>
      <c r="K185" s="12"/>
      <c r="L185" s="5"/>
      <c r="M185" s="33" t="n">
        <f aca="false">SUMIFS('Existing vs Saran'!$I$5:$I$210,'Existing vs Saran'!$N$5:$N$210,A185)</f>
        <v>0</v>
      </c>
      <c r="N185" s="12" t="s">
        <v>1362</v>
      </c>
      <c r="O185" s="5" t="s">
        <v>1016</v>
      </c>
      <c r="P185" s="12"/>
    </row>
    <row r="186" customFormat="false" ht="15" hidden="false" customHeight="false" outlineLevel="0" collapsed="false">
      <c r="A186" s="12" t="n">
        <v>19</v>
      </c>
      <c r="B186" s="12" t="s">
        <v>1363</v>
      </c>
      <c r="C186" s="12" t="s">
        <v>949</v>
      </c>
      <c r="D186" s="12" t="s">
        <v>1298</v>
      </c>
      <c r="E186" s="12" t="n">
        <v>4</v>
      </c>
      <c r="F186" s="12" t="s">
        <v>354</v>
      </c>
      <c r="G186" s="12" t="s">
        <v>997</v>
      </c>
      <c r="H186" s="12" t="s">
        <v>94</v>
      </c>
      <c r="I186" s="12" t="s">
        <v>339</v>
      </c>
      <c r="J186" s="12"/>
      <c r="K186" s="12"/>
      <c r="L186" s="5"/>
      <c r="M186" s="33" t="n">
        <f aca="false">SUMIFS('Existing vs Saran'!$I$5:$I$210,'Existing vs Saran'!$N$5:$N$210,A186)</f>
        <v>0</v>
      </c>
      <c r="N186" s="12" t="s">
        <v>1364</v>
      </c>
      <c r="O186" s="5" t="s">
        <v>1365</v>
      </c>
      <c r="P186" s="12"/>
    </row>
    <row r="187" customFormat="false" ht="23.85" hidden="false" customHeight="false" outlineLevel="0" collapsed="false">
      <c r="A187" s="12" t="n">
        <v>84</v>
      </c>
      <c r="B187" s="12" t="s">
        <v>1366</v>
      </c>
      <c r="C187" s="12" t="s">
        <v>949</v>
      </c>
      <c r="D187" s="12" t="s">
        <v>1298</v>
      </c>
      <c r="E187" s="12" t="n">
        <v>5</v>
      </c>
      <c r="F187" s="12" t="s">
        <v>379</v>
      </c>
      <c r="G187" s="12" t="s">
        <v>613</v>
      </c>
      <c r="H187" s="12" t="s">
        <v>94</v>
      </c>
      <c r="I187" s="12" t="s">
        <v>339</v>
      </c>
      <c r="J187" s="12"/>
      <c r="K187" s="12"/>
      <c r="L187" s="5"/>
      <c r="M187" s="33" t="n">
        <f aca="false">SUMIFS('Existing vs Saran'!$I$5:$I$210,'Existing vs Saran'!$N$5:$N$210,A187)</f>
        <v>0</v>
      </c>
      <c r="N187" s="12" t="s">
        <v>1367</v>
      </c>
      <c r="O187" s="5" t="s">
        <v>1368</v>
      </c>
      <c r="P187" s="12"/>
    </row>
    <row r="188" customFormat="false" ht="15" hidden="false" customHeight="false" outlineLevel="0" collapsed="false">
      <c r="A188" s="12" t="n">
        <v>85</v>
      </c>
      <c r="B188" s="12" t="s">
        <v>1369</v>
      </c>
      <c r="C188" s="12" t="s">
        <v>949</v>
      </c>
      <c r="D188" s="12" t="s">
        <v>1298</v>
      </c>
      <c r="E188" s="12" t="n">
        <v>5</v>
      </c>
      <c r="F188" s="12" t="s">
        <v>379</v>
      </c>
      <c r="G188" s="12" t="s">
        <v>982</v>
      </c>
      <c r="H188" s="12" t="s">
        <v>94</v>
      </c>
      <c r="I188" s="12" t="s">
        <v>339</v>
      </c>
      <c r="J188" s="12"/>
      <c r="K188" s="12"/>
      <c r="L188" s="5"/>
      <c r="M188" s="33" t="n">
        <f aca="false">SUMIFS('Existing vs Saran'!$I$5:$I$210,'Existing vs Saran'!$N$5:$N$210,A188)</f>
        <v>0</v>
      </c>
      <c r="N188" s="12" t="s">
        <v>1370</v>
      </c>
      <c r="O188" s="5" t="s">
        <v>1371</v>
      </c>
      <c r="P188" s="12"/>
    </row>
    <row r="189" customFormat="false" ht="35.05" hidden="false" customHeight="false" outlineLevel="0" collapsed="false">
      <c r="A189" s="12" t="n">
        <v>147</v>
      </c>
      <c r="B189" s="12" t="s">
        <v>1372</v>
      </c>
      <c r="C189" s="12" t="s">
        <v>949</v>
      </c>
      <c r="D189" s="12" t="s">
        <v>1298</v>
      </c>
      <c r="E189" s="12" t="n">
        <v>5</v>
      </c>
      <c r="F189" s="12" t="s">
        <v>905</v>
      </c>
      <c r="G189" s="12" t="s">
        <v>1373</v>
      </c>
      <c r="H189" s="12" t="s">
        <v>94</v>
      </c>
      <c r="I189" s="12" t="s">
        <v>339</v>
      </c>
      <c r="J189" s="12"/>
      <c r="K189" s="12"/>
      <c r="L189" s="5"/>
      <c r="M189" s="33" t="n">
        <f aca="false">SUMIFS('Existing vs Saran'!$I$5:$I$210,'Existing vs Saran'!$N$5:$N$210,A189)</f>
        <v>0</v>
      </c>
      <c r="N189" s="12" t="s">
        <v>1374</v>
      </c>
      <c r="O189" s="5" t="s">
        <v>1375</v>
      </c>
      <c r="P189" s="12"/>
    </row>
    <row r="190" customFormat="false" ht="15" hidden="false" customHeight="false" outlineLevel="0" collapsed="false">
      <c r="A190" s="12" t="n">
        <v>46</v>
      </c>
      <c r="B190" s="12" t="s">
        <v>1376</v>
      </c>
      <c r="C190" s="12" t="s">
        <v>949</v>
      </c>
      <c r="D190" s="12" t="s">
        <v>1298</v>
      </c>
      <c r="E190" s="12" t="n">
        <v>5</v>
      </c>
      <c r="F190" s="12" t="s">
        <v>548</v>
      </c>
      <c r="G190" s="12" t="s">
        <v>549</v>
      </c>
      <c r="H190" s="12" t="s">
        <v>94</v>
      </c>
      <c r="I190" s="12" t="s">
        <v>339</v>
      </c>
      <c r="J190" s="12"/>
      <c r="K190" s="12"/>
      <c r="L190" s="5"/>
      <c r="M190" s="33" t="n">
        <f aca="false">SUMIFS('Existing vs Saran'!$I$5:$I$210,'Existing vs Saran'!$N$5:$N$210,A190)</f>
        <v>0</v>
      </c>
      <c r="N190" s="12" t="s">
        <v>1377</v>
      </c>
      <c r="O190" s="5" t="s">
        <v>1378</v>
      </c>
      <c r="P190" s="12"/>
    </row>
    <row r="191" customFormat="false" ht="15" hidden="false" customHeight="false" outlineLevel="0" collapsed="false">
      <c r="A191" s="12" t="n">
        <v>47</v>
      </c>
      <c r="B191" s="12" t="s">
        <v>1379</v>
      </c>
      <c r="C191" s="12" t="s">
        <v>949</v>
      </c>
      <c r="D191" s="12" t="s">
        <v>1298</v>
      </c>
      <c r="E191" s="12" t="n">
        <v>5</v>
      </c>
      <c r="F191" s="12" t="s">
        <v>548</v>
      </c>
      <c r="G191" s="12" t="s">
        <v>1134</v>
      </c>
      <c r="H191" s="12" t="s">
        <v>94</v>
      </c>
      <c r="I191" s="12" t="s">
        <v>339</v>
      </c>
      <c r="J191" s="12"/>
      <c r="K191" s="12"/>
      <c r="L191" s="5"/>
      <c r="M191" s="33" t="n">
        <f aca="false">SUMIFS('Existing vs Saran'!$I$5:$I$210,'Existing vs Saran'!$N$5:$N$210,A191)</f>
        <v>0</v>
      </c>
      <c r="N191" s="12" t="s">
        <v>1380</v>
      </c>
      <c r="O191" s="5" t="s">
        <v>956</v>
      </c>
      <c r="P191" s="12"/>
    </row>
    <row r="192" customFormat="false" ht="15" hidden="false" customHeight="false" outlineLevel="0" collapsed="false">
      <c r="A192" s="12" t="n">
        <v>256</v>
      </c>
      <c r="B192" s="12" t="s">
        <v>1381</v>
      </c>
      <c r="C192" s="12" t="s">
        <v>949</v>
      </c>
      <c r="D192" s="12" t="s">
        <v>1298</v>
      </c>
      <c r="E192" s="12" t="n">
        <v>4</v>
      </c>
      <c r="F192" s="12" t="s">
        <v>351</v>
      </c>
      <c r="G192" s="12" t="s">
        <v>777</v>
      </c>
      <c r="H192" s="12" t="s">
        <v>94</v>
      </c>
      <c r="I192" s="12" t="s">
        <v>339</v>
      </c>
      <c r="J192" s="12"/>
      <c r="K192" s="12"/>
      <c r="L192" s="5"/>
      <c r="M192" s="33" t="n">
        <f aca="false">SUMIFS('Existing vs Saran'!$I$5:$I$210,'Existing vs Saran'!$N$5:$N$210,A192)</f>
        <v>0</v>
      </c>
      <c r="N192" s="12" t="s">
        <v>1382</v>
      </c>
      <c r="O192" s="5" t="s">
        <v>1012</v>
      </c>
      <c r="P192" s="12"/>
    </row>
    <row r="193" customFormat="false" ht="23.85" hidden="false" customHeight="false" outlineLevel="0" collapsed="false">
      <c r="A193" s="12" t="n">
        <v>452</v>
      </c>
      <c r="B193" s="12" t="s">
        <v>1383</v>
      </c>
      <c r="C193" s="12" t="s">
        <v>949</v>
      </c>
      <c r="D193" s="12" t="s">
        <v>1298</v>
      </c>
      <c r="E193" s="12" t="n">
        <v>4</v>
      </c>
      <c r="F193" s="12" t="s">
        <v>22</v>
      </c>
      <c r="G193" s="12"/>
      <c r="H193" s="12" t="s">
        <v>94</v>
      </c>
      <c r="I193" s="12" t="s">
        <v>339</v>
      </c>
      <c r="J193" s="12"/>
      <c r="K193" s="12"/>
      <c r="L193" s="5"/>
      <c r="M193" s="33" t="n">
        <f aca="false">SUMIFS('Existing vs Saran'!$I$5:$I$210,'Existing vs Saran'!$N$5:$N$210,A193)</f>
        <v>0</v>
      </c>
      <c r="N193" s="12" t="s">
        <v>1384</v>
      </c>
      <c r="O193" s="5" t="s">
        <v>1016</v>
      </c>
      <c r="P193" s="12"/>
    </row>
    <row r="194" customFormat="false" ht="15" hidden="false" customHeight="false" outlineLevel="0" collapsed="false">
      <c r="A194" s="12" t="n">
        <v>148</v>
      </c>
      <c r="B194" s="12" t="s">
        <v>1385</v>
      </c>
      <c r="C194" s="12" t="s">
        <v>949</v>
      </c>
      <c r="D194" s="12" t="s">
        <v>1298</v>
      </c>
      <c r="E194" s="12" t="n">
        <v>5</v>
      </c>
      <c r="F194" s="12" t="s">
        <v>905</v>
      </c>
      <c r="G194" s="12" t="s">
        <v>1386</v>
      </c>
      <c r="H194" s="12" t="s">
        <v>94</v>
      </c>
      <c r="I194" s="12" t="s">
        <v>339</v>
      </c>
      <c r="J194" s="12"/>
      <c r="K194" s="12"/>
      <c r="L194" s="5"/>
      <c r="M194" s="33" t="n">
        <f aca="false">SUMIFS('Existing vs Saran'!$I$5:$I$210,'Existing vs Saran'!$N$5:$N$210,A194)</f>
        <v>0</v>
      </c>
      <c r="N194" s="12" t="s">
        <v>1387</v>
      </c>
      <c r="O194" s="5" t="s">
        <v>954</v>
      </c>
      <c r="P194" s="12"/>
    </row>
    <row r="195" customFormat="false" ht="23.85" hidden="false" customHeight="false" outlineLevel="0" collapsed="false">
      <c r="A195" s="12" t="n">
        <v>258</v>
      </c>
      <c r="B195" s="12" t="s">
        <v>1388</v>
      </c>
      <c r="C195" s="12" t="s">
        <v>949</v>
      </c>
      <c r="D195" s="12" t="s">
        <v>1298</v>
      </c>
      <c r="E195" s="12" t="n">
        <v>5</v>
      </c>
      <c r="F195" s="12" t="s">
        <v>351</v>
      </c>
      <c r="G195" s="12" t="s">
        <v>1172</v>
      </c>
      <c r="H195" s="12" t="s">
        <v>94</v>
      </c>
      <c r="I195" s="12" t="s">
        <v>339</v>
      </c>
      <c r="J195" s="12"/>
      <c r="K195" s="12"/>
      <c r="L195" s="5"/>
      <c r="M195" s="33" t="n">
        <f aca="false">SUMIFS('Existing vs Saran'!$I$5:$I$210,'Existing vs Saran'!$N$5:$N$210,A195)</f>
        <v>0</v>
      </c>
      <c r="N195" s="12" t="s">
        <v>1389</v>
      </c>
      <c r="O195" s="5" t="s">
        <v>1122</v>
      </c>
      <c r="P195" s="12"/>
    </row>
    <row r="196" customFormat="false" ht="15" hidden="false" customHeight="false" outlineLevel="0" collapsed="false">
      <c r="A196" s="12" t="n">
        <v>48</v>
      </c>
      <c r="B196" s="12" t="s">
        <v>1390</v>
      </c>
      <c r="C196" s="12" t="s">
        <v>949</v>
      </c>
      <c r="D196" s="12" t="s">
        <v>1298</v>
      </c>
      <c r="E196" s="12" t="n">
        <v>5</v>
      </c>
      <c r="F196" s="12" t="s">
        <v>548</v>
      </c>
      <c r="G196" s="12" t="s">
        <v>549</v>
      </c>
      <c r="H196" s="12" t="s">
        <v>106</v>
      </c>
      <c r="I196" s="12" t="s">
        <v>339</v>
      </c>
      <c r="J196" s="12"/>
      <c r="K196" s="12"/>
      <c r="L196" s="5"/>
      <c r="M196" s="33" t="n">
        <f aca="false">SUMIFS('Existing vs Saran'!$I$5:$I$210,'Existing vs Saran'!$N$5:$N$210,A196)</f>
        <v>0</v>
      </c>
      <c r="N196" s="12" t="s">
        <v>1391</v>
      </c>
      <c r="O196" s="5" t="s">
        <v>1392</v>
      </c>
      <c r="P196" s="12"/>
    </row>
    <row r="197" customFormat="false" ht="15" hidden="false" customHeight="false" outlineLevel="0" collapsed="false">
      <c r="A197" s="12" t="n">
        <v>88</v>
      </c>
      <c r="B197" s="12" t="s">
        <v>1393</v>
      </c>
      <c r="C197" s="12" t="s">
        <v>949</v>
      </c>
      <c r="D197" s="12" t="s">
        <v>1298</v>
      </c>
      <c r="E197" s="12" t="n">
        <v>4</v>
      </c>
      <c r="F197" s="12" t="s">
        <v>379</v>
      </c>
      <c r="G197" s="12" t="s">
        <v>585</v>
      </c>
      <c r="H197" s="12" t="s">
        <v>94</v>
      </c>
      <c r="I197" s="12" t="s">
        <v>339</v>
      </c>
      <c r="J197" s="12"/>
      <c r="K197" s="12"/>
      <c r="L197" s="5"/>
      <c r="M197" s="33" t="n">
        <f aca="false">SUMIFS('Existing vs Saran'!$I$5:$I$210,'Existing vs Saran'!$N$5:$N$210,A197)</f>
        <v>0</v>
      </c>
      <c r="N197" s="12" t="s">
        <v>1394</v>
      </c>
      <c r="O197" s="5" t="s">
        <v>1395</v>
      </c>
      <c r="P197" s="12"/>
    </row>
    <row r="198" customFormat="false" ht="15" hidden="false" customHeight="false" outlineLevel="0" collapsed="false">
      <c r="A198" s="12" t="n">
        <v>260</v>
      </c>
      <c r="B198" s="12" t="s">
        <v>1396</v>
      </c>
      <c r="C198" s="12" t="s">
        <v>949</v>
      </c>
      <c r="D198" s="12" t="s">
        <v>1298</v>
      </c>
      <c r="E198" s="12" t="n">
        <v>4</v>
      </c>
      <c r="F198" s="12" t="s">
        <v>351</v>
      </c>
      <c r="G198" s="12" t="s">
        <v>1113</v>
      </c>
      <c r="H198" s="12" t="s">
        <v>94</v>
      </c>
      <c r="I198" s="12" t="s">
        <v>339</v>
      </c>
      <c r="J198" s="12"/>
      <c r="K198" s="12"/>
      <c r="L198" s="5"/>
      <c r="M198" s="33" t="n">
        <f aca="false">SUMIFS('Existing vs Saran'!$I$5:$I$210,'Existing vs Saran'!$N$5:$N$210,A198)</f>
        <v>0</v>
      </c>
      <c r="N198" s="12" t="s">
        <v>1397</v>
      </c>
      <c r="O198" s="5" t="s">
        <v>1012</v>
      </c>
      <c r="P198" s="12"/>
    </row>
    <row r="199" customFormat="false" ht="15" hidden="false" customHeight="false" outlineLevel="0" collapsed="false">
      <c r="A199" s="12" t="n">
        <v>50</v>
      </c>
      <c r="B199" s="12" t="s">
        <v>1398</v>
      </c>
      <c r="C199" s="12" t="s">
        <v>949</v>
      </c>
      <c r="D199" s="12" t="s">
        <v>1298</v>
      </c>
      <c r="E199" s="12" t="n">
        <v>5</v>
      </c>
      <c r="F199" s="12" t="s">
        <v>548</v>
      </c>
      <c r="G199" s="12" t="s">
        <v>1134</v>
      </c>
      <c r="H199" s="12" t="s">
        <v>94</v>
      </c>
      <c r="I199" s="12" t="s">
        <v>339</v>
      </c>
      <c r="J199" s="12"/>
      <c r="K199" s="12"/>
      <c r="L199" s="5"/>
      <c r="M199" s="33" t="n">
        <f aca="false">SUMIFS('Existing vs Saran'!$I$5:$I$210,'Existing vs Saran'!$N$5:$N$210,A199)</f>
        <v>0</v>
      </c>
      <c r="N199" s="12" t="s">
        <v>1399</v>
      </c>
      <c r="O199" s="5" t="s">
        <v>956</v>
      </c>
      <c r="P199" s="12"/>
    </row>
    <row r="200" customFormat="false" ht="15" hidden="false" customHeight="false" outlineLevel="0" collapsed="false">
      <c r="A200" s="12" t="n">
        <v>263</v>
      </c>
      <c r="B200" s="12" t="s">
        <v>1400</v>
      </c>
      <c r="C200" s="12" t="s">
        <v>949</v>
      </c>
      <c r="D200" s="12" t="s">
        <v>1298</v>
      </c>
      <c r="E200" s="12" t="n">
        <v>4</v>
      </c>
      <c r="F200" s="12" t="s">
        <v>351</v>
      </c>
      <c r="G200" s="12" t="s">
        <v>1113</v>
      </c>
      <c r="H200" s="12" t="s">
        <v>94</v>
      </c>
      <c r="I200" s="12" t="s">
        <v>339</v>
      </c>
      <c r="J200" s="12"/>
      <c r="K200" s="12"/>
      <c r="L200" s="5"/>
      <c r="M200" s="33" t="n">
        <f aca="false">SUMIFS('Existing vs Saran'!$I$5:$I$210,'Existing vs Saran'!$N$5:$N$210,A200)</f>
        <v>0</v>
      </c>
      <c r="N200" s="12" t="s">
        <v>1401</v>
      </c>
      <c r="O200" s="5" t="s">
        <v>1012</v>
      </c>
      <c r="P200" s="12"/>
    </row>
    <row r="201" customFormat="false" ht="15" hidden="false" customHeight="false" outlineLevel="0" collapsed="false">
      <c r="A201" s="12" t="n">
        <v>343</v>
      </c>
      <c r="B201" s="12" t="s">
        <v>1402</v>
      </c>
      <c r="C201" s="12" t="s">
        <v>949</v>
      </c>
      <c r="D201" s="12" t="s">
        <v>1298</v>
      </c>
      <c r="E201" s="12" t="n">
        <v>5</v>
      </c>
      <c r="F201" s="12" t="s">
        <v>797</v>
      </c>
      <c r="G201" s="12" t="s">
        <v>995</v>
      </c>
      <c r="H201" s="12" t="s">
        <v>94</v>
      </c>
      <c r="I201" s="12" t="s">
        <v>339</v>
      </c>
      <c r="J201" s="12"/>
      <c r="K201" s="12"/>
      <c r="L201" s="5"/>
      <c r="M201" s="33" t="n">
        <f aca="false">SUMIFS('Existing vs Saran'!$I$5:$I$210,'Existing vs Saran'!$N$5:$N$210,A201)</f>
        <v>0</v>
      </c>
      <c r="N201" s="12" t="s">
        <v>1403</v>
      </c>
      <c r="O201" s="5" t="s">
        <v>956</v>
      </c>
      <c r="P201" s="12"/>
    </row>
    <row r="202" customFormat="false" ht="23.85" hidden="false" customHeight="false" outlineLevel="0" collapsed="false">
      <c r="A202" s="12" t="n">
        <v>425</v>
      </c>
      <c r="B202" s="12" t="s">
        <v>1404</v>
      </c>
      <c r="C202" s="12" t="s">
        <v>949</v>
      </c>
      <c r="D202" s="12" t="s">
        <v>1298</v>
      </c>
      <c r="E202" s="12" t="n">
        <v>4</v>
      </c>
      <c r="F202" s="12" t="s">
        <v>22</v>
      </c>
      <c r="G202" s="12" t="s">
        <v>970</v>
      </c>
      <c r="H202" s="12" t="s">
        <v>85</v>
      </c>
      <c r="I202" s="12" t="s">
        <v>339</v>
      </c>
      <c r="J202" s="12"/>
      <c r="K202" s="12"/>
      <c r="L202" s="5"/>
      <c r="M202" s="33" t="n">
        <f aca="false">SUMIFS('Existing vs Saran'!$I$5:$I$210,'Existing vs Saran'!$N$5:$N$210,A202)</f>
        <v>0</v>
      </c>
      <c r="N202" s="12" t="s">
        <v>1405</v>
      </c>
      <c r="O202" s="5" t="s">
        <v>1016</v>
      </c>
      <c r="P202" s="12"/>
    </row>
    <row r="203" customFormat="false" ht="15" hidden="false" customHeight="false" outlineLevel="0" collapsed="false">
      <c r="A203" s="12" t="n">
        <v>265</v>
      </c>
      <c r="B203" s="12" t="s">
        <v>1406</v>
      </c>
      <c r="C203" s="12" t="s">
        <v>949</v>
      </c>
      <c r="D203" s="12" t="s">
        <v>1298</v>
      </c>
      <c r="E203" s="12" t="n">
        <v>4</v>
      </c>
      <c r="F203" s="12" t="s">
        <v>351</v>
      </c>
      <c r="G203" s="12" t="s">
        <v>1113</v>
      </c>
      <c r="H203" s="12" t="s">
        <v>94</v>
      </c>
      <c r="I203" s="12" t="s">
        <v>339</v>
      </c>
      <c r="J203" s="12"/>
      <c r="K203" s="12"/>
      <c r="L203" s="5"/>
      <c r="M203" s="33" t="n">
        <f aca="false">SUMIFS('Existing vs Saran'!$I$5:$I$210,'Existing vs Saran'!$N$5:$N$210,A203)</f>
        <v>0</v>
      </c>
      <c r="N203" s="12" t="s">
        <v>1407</v>
      </c>
      <c r="O203" s="5" t="s">
        <v>1012</v>
      </c>
      <c r="P203" s="12"/>
    </row>
    <row r="204" customFormat="false" ht="15" hidden="false" customHeight="false" outlineLevel="0" collapsed="false">
      <c r="A204" s="12" t="n">
        <v>189</v>
      </c>
      <c r="B204" s="12" t="s">
        <v>1408</v>
      </c>
      <c r="C204" s="12" t="s">
        <v>949</v>
      </c>
      <c r="D204" s="12" t="s">
        <v>1298</v>
      </c>
      <c r="E204" s="12" t="n">
        <v>5</v>
      </c>
      <c r="F204" s="12" t="s">
        <v>20</v>
      </c>
      <c r="G204" s="12" t="s">
        <v>687</v>
      </c>
      <c r="H204" s="12" t="s">
        <v>94</v>
      </c>
      <c r="I204" s="12" t="s">
        <v>339</v>
      </c>
      <c r="J204" s="12"/>
      <c r="K204" s="12"/>
      <c r="L204" s="5"/>
      <c r="M204" s="33" t="n">
        <f aca="false">SUMIFS('Existing vs Saran'!$I$5:$I$210,'Existing vs Saran'!$N$5:$N$210,A204)</f>
        <v>0</v>
      </c>
      <c r="N204" s="12" t="s">
        <v>1409</v>
      </c>
      <c r="O204" s="5" t="s">
        <v>1410</v>
      </c>
      <c r="P204" s="12"/>
    </row>
    <row r="205" customFormat="false" ht="23.85" hidden="false" customHeight="false" outlineLevel="0" collapsed="false">
      <c r="A205" s="12" t="n">
        <v>266</v>
      </c>
      <c r="B205" s="12" t="s">
        <v>1411</v>
      </c>
      <c r="C205" s="12" t="s">
        <v>949</v>
      </c>
      <c r="D205" s="12" t="s">
        <v>1298</v>
      </c>
      <c r="E205" s="12" t="n">
        <v>4</v>
      </c>
      <c r="F205" s="12" t="s">
        <v>351</v>
      </c>
      <c r="G205" s="12" t="s">
        <v>1113</v>
      </c>
      <c r="H205" s="12" t="s">
        <v>94</v>
      </c>
      <c r="I205" s="12" t="s">
        <v>339</v>
      </c>
      <c r="J205" s="12"/>
      <c r="K205" s="12"/>
      <c r="L205" s="5"/>
      <c r="M205" s="33" t="n">
        <f aca="false">SUMIFS('Existing vs Saran'!$I$5:$I$210,'Existing vs Saran'!$N$5:$N$210,A205)</f>
        <v>0</v>
      </c>
      <c r="N205" s="12" t="s">
        <v>1412</v>
      </c>
      <c r="O205" s="5" t="s">
        <v>1152</v>
      </c>
      <c r="P205" s="12"/>
    </row>
    <row r="206" customFormat="false" ht="15" hidden="false" customHeight="false" outlineLevel="0" collapsed="false">
      <c r="A206" s="12" t="n">
        <v>191</v>
      </c>
      <c r="B206" s="12" t="s">
        <v>1413</v>
      </c>
      <c r="C206" s="12" t="s">
        <v>949</v>
      </c>
      <c r="D206" s="12" t="s">
        <v>1298</v>
      </c>
      <c r="E206" s="12" t="n">
        <v>5</v>
      </c>
      <c r="F206" s="12" t="s">
        <v>20</v>
      </c>
      <c r="G206" s="12" t="s">
        <v>707</v>
      </c>
      <c r="H206" s="12" t="s">
        <v>94</v>
      </c>
      <c r="I206" s="12" t="s">
        <v>339</v>
      </c>
      <c r="J206" s="12"/>
      <c r="K206" s="12"/>
      <c r="L206" s="5"/>
      <c r="M206" s="33" t="n">
        <f aca="false">SUMIFS('Existing vs Saran'!$I$5:$I$210,'Existing vs Saran'!$N$5:$N$210,A206)</f>
        <v>0</v>
      </c>
      <c r="N206" s="12" t="s">
        <v>1414</v>
      </c>
      <c r="O206" s="5" t="s">
        <v>1415</v>
      </c>
      <c r="P206" s="12"/>
    </row>
    <row r="207" customFormat="false" ht="15" hidden="false" customHeight="false" outlineLevel="0" collapsed="false">
      <c r="A207" s="12" t="n">
        <v>162</v>
      </c>
      <c r="B207" s="12" t="s">
        <v>1416</v>
      </c>
      <c r="C207" s="12" t="s">
        <v>949</v>
      </c>
      <c r="D207" s="12" t="s">
        <v>1298</v>
      </c>
      <c r="E207" s="12" t="n">
        <v>5</v>
      </c>
      <c r="F207" s="12" t="s">
        <v>18</v>
      </c>
      <c r="G207" s="12" t="s">
        <v>116</v>
      </c>
      <c r="H207" s="12" t="s">
        <v>94</v>
      </c>
      <c r="I207" s="12" t="s">
        <v>339</v>
      </c>
      <c r="J207" s="12"/>
      <c r="K207" s="12"/>
      <c r="L207" s="5"/>
      <c r="M207" s="33" t="n">
        <f aca="false">SUMIFS('Existing vs Saran'!$I$5:$I$210,'Existing vs Saran'!$N$5:$N$210,A207)</f>
        <v>0</v>
      </c>
      <c r="N207" s="12" t="s">
        <v>1417</v>
      </c>
      <c r="O207" s="5" t="s">
        <v>954</v>
      </c>
      <c r="P207" s="12"/>
    </row>
    <row r="208" customFormat="false" ht="15" hidden="false" customHeight="false" outlineLevel="0" collapsed="false">
      <c r="A208" s="12" t="n">
        <v>453</v>
      </c>
      <c r="B208" s="12" t="s">
        <v>1418</v>
      </c>
      <c r="C208" s="12" t="s">
        <v>949</v>
      </c>
      <c r="D208" s="12" t="s">
        <v>1298</v>
      </c>
      <c r="E208" s="12" t="n">
        <v>4</v>
      </c>
      <c r="F208" s="12" t="s">
        <v>797</v>
      </c>
      <c r="G208" s="12" t="s">
        <v>995</v>
      </c>
      <c r="H208" s="12" t="s">
        <v>94</v>
      </c>
      <c r="I208" s="12" t="s">
        <v>339</v>
      </c>
      <c r="J208" s="12"/>
      <c r="K208" s="12"/>
      <c r="L208" s="5"/>
      <c r="M208" s="33" t="n">
        <f aca="false">SUMIFS('Existing vs Saran'!$I$5:$I$210,'Existing vs Saran'!$N$5:$N$210,A208)</f>
        <v>0</v>
      </c>
      <c r="N208" s="12" t="s">
        <v>1419</v>
      </c>
      <c r="O208" s="5" t="s">
        <v>956</v>
      </c>
      <c r="P208" s="12"/>
    </row>
    <row r="209" customFormat="false" ht="15" hidden="false" customHeight="false" outlineLevel="0" collapsed="false">
      <c r="A209" s="12" t="n">
        <v>93</v>
      </c>
      <c r="B209" s="12" t="s">
        <v>1420</v>
      </c>
      <c r="C209" s="12" t="s">
        <v>949</v>
      </c>
      <c r="D209" s="12" t="s">
        <v>1298</v>
      </c>
      <c r="E209" s="12" t="n">
        <v>4</v>
      </c>
      <c r="F209" s="12" t="s">
        <v>379</v>
      </c>
      <c r="G209" s="12" t="s">
        <v>585</v>
      </c>
      <c r="H209" s="12" t="s">
        <v>94</v>
      </c>
      <c r="I209" s="12" t="s">
        <v>339</v>
      </c>
      <c r="J209" s="12"/>
      <c r="K209" s="12"/>
      <c r="L209" s="5"/>
      <c r="M209" s="33" t="n">
        <f aca="false">SUMIFS('Existing vs Saran'!$I$5:$I$210,'Existing vs Saran'!$N$5:$N$210,A209)</f>
        <v>0</v>
      </c>
      <c r="N209" s="12" t="s">
        <v>1421</v>
      </c>
      <c r="O209" s="5" t="s">
        <v>1422</v>
      </c>
      <c r="P209" s="12"/>
    </row>
    <row r="210" customFormat="false" ht="23.85" hidden="false" customHeight="false" outlineLevel="0" collapsed="false">
      <c r="A210" s="12" t="n">
        <v>273</v>
      </c>
      <c r="B210" s="12" t="s">
        <v>1423</v>
      </c>
      <c r="C210" s="12" t="s">
        <v>949</v>
      </c>
      <c r="D210" s="12" t="s">
        <v>1298</v>
      </c>
      <c r="E210" s="12" t="n">
        <v>4</v>
      </c>
      <c r="F210" s="12" t="s">
        <v>351</v>
      </c>
      <c r="G210" s="12" t="s">
        <v>960</v>
      </c>
      <c r="H210" s="12" t="s">
        <v>85</v>
      </c>
      <c r="I210" s="12" t="s">
        <v>339</v>
      </c>
      <c r="J210" s="12"/>
      <c r="K210" s="12"/>
      <c r="L210" s="5"/>
      <c r="M210" s="33" t="n">
        <f aca="false">SUMIFS('Existing vs Saran'!$I$5:$I$210,'Existing vs Saran'!$N$5:$N$210,A210)</f>
        <v>0</v>
      </c>
      <c r="N210" s="12" t="s">
        <v>1424</v>
      </c>
      <c r="O210" s="5" t="s">
        <v>1425</v>
      </c>
      <c r="P210" s="12"/>
    </row>
    <row r="211" customFormat="false" ht="23.85" hidden="false" customHeight="false" outlineLevel="0" collapsed="false">
      <c r="A211" s="12" t="n">
        <v>95</v>
      </c>
      <c r="B211" s="12" t="s">
        <v>1426</v>
      </c>
      <c r="C211" s="12" t="s">
        <v>949</v>
      </c>
      <c r="D211" s="12" t="s">
        <v>1298</v>
      </c>
      <c r="E211" s="12" t="n">
        <v>5</v>
      </c>
      <c r="F211" s="12" t="s">
        <v>379</v>
      </c>
      <c r="G211" s="12" t="s">
        <v>596</v>
      </c>
      <c r="H211" s="12" t="s">
        <v>94</v>
      </c>
      <c r="I211" s="12" t="s">
        <v>339</v>
      </c>
      <c r="J211" s="12"/>
      <c r="K211" s="12"/>
      <c r="L211" s="5"/>
      <c r="M211" s="33" t="n">
        <f aca="false">SUMIFS('Existing vs Saran'!$I$5:$I$210,'Existing vs Saran'!$N$5:$N$210,A211)</f>
        <v>0</v>
      </c>
      <c r="N211" s="12" t="s">
        <v>1427</v>
      </c>
      <c r="O211" s="5" t="s">
        <v>1428</v>
      </c>
      <c r="P211" s="12"/>
    </row>
    <row r="212" customFormat="false" ht="15" hidden="false" customHeight="false" outlineLevel="0" collapsed="false">
      <c r="A212" s="12" t="n">
        <v>149</v>
      </c>
      <c r="B212" s="12" t="s">
        <v>1429</v>
      </c>
      <c r="C212" s="12" t="s">
        <v>949</v>
      </c>
      <c r="D212" s="12" t="s">
        <v>1298</v>
      </c>
      <c r="E212" s="12" t="n">
        <v>5</v>
      </c>
      <c r="F212" s="12" t="s">
        <v>905</v>
      </c>
      <c r="G212" s="12" t="s">
        <v>1430</v>
      </c>
      <c r="H212" s="12" t="s">
        <v>94</v>
      </c>
      <c r="I212" s="12" t="s">
        <v>339</v>
      </c>
      <c r="J212" s="12"/>
      <c r="K212" s="12"/>
      <c r="L212" s="5"/>
      <c r="M212" s="33" t="n">
        <f aca="false">SUMIFS('Existing vs Saran'!$I$5:$I$210,'Existing vs Saran'!$N$5:$N$210,A212)</f>
        <v>0</v>
      </c>
      <c r="N212" s="12" t="s">
        <v>1431</v>
      </c>
      <c r="O212" s="5" t="s">
        <v>954</v>
      </c>
      <c r="P212" s="12"/>
    </row>
    <row r="213" customFormat="false" ht="23.85" hidden="false" customHeight="false" outlineLevel="0" collapsed="false">
      <c r="A213" s="12" t="n">
        <v>427</v>
      </c>
      <c r="B213" s="12" t="s">
        <v>1432</v>
      </c>
      <c r="C213" s="12" t="s">
        <v>949</v>
      </c>
      <c r="D213" s="12" t="s">
        <v>1298</v>
      </c>
      <c r="E213" s="12" t="n">
        <v>4</v>
      </c>
      <c r="F213" s="12" t="s">
        <v>22</v>
      </c>
      <c r="G213" s="12" t="s">
        <v>810</v>
      </c>
      <c r="H213" s="12" t="s">
        <v>106</v>
      </c>
      <c r="I213" s="12" t="s">
        <v>339</v>
      </c>
      <c r="J213" s="12"/>
      <c r="K213" s="12"/>
      <c r="L213" s="5"/>
      <c r="M213" s="33" t="n">
        <f aca="false">SUMIFS('Existing vs Saran'!$I$5:$I$210,'Existing vs Saran'!$N$5:$N$210,A213)</f>
        <v>0</v>
      </c>
      <c r="N213" s="12" t="s">
        <v>1433</v>
      </c>
      <c r="O213" s="5" t="s">
        <v>1016</v>
      </c>
      <c r="P213" s="12"/>
    </row>
    <row r="214" customFormat="false" ht="23.85" hidden="false" customHeight="false" outlineLevel="0" collapsed="false">
      <c r="A214" s="12" t="n">
        <v>134</v>
      </c>
      <c r="B214" s="12" t="s">
        <v>1434</v>
      </c>
      <c r="C214" s="12" t="s">
        <v>949</v>
      </c>
      <c r="D214" s="12" t="s">
        <v>1298</v>
      </c>
      <c r="E214" s="12" t="n">
        <v>5</v>
      </c>
      <c r="F214" s="12" t="s">
        <v>904</v>
      </c>
      <c r="G214" s="12" t="s">
        <v>1120</v>
      </c>
      <c r="H214" s="12" t="s">
        <v>94</v>
      </c>
      <c r="I214" s="12" t="s">
        <v>339</v>
      </c>
      <c r="J214" s="12"/>
      <c r="K214" s="12"/>
      <c r="L214" s="5"/>
      <c r="M214" s="33" t="n">
        <f aca="false">SUMIFS('Existing vs Saran'!$I$5:$I$210,'Existing vs Saran'!$N$5:$N$210,A214)</f>
        <v>0</v>
      </c>
      <c r="N214" s="12" t="s">
        <v>1435</v>
      </c>
      <c r="O214" s="5" t="s">
        <v>1122</v>
      </c>
      <c r="P214" s="12"/>
    </row>
    <row r="215" customFormat="false" ht="15" hidden="false" customHeight="false" outlineLevel="0" collapsed="false">
      <c r="A215" s="12" t="n">
        <v>274</v>
      </c>
      <c r="B215" s="12" t="s">
        <v>1436</v>
      </c>
      <c r="C215" s="12" t="s">
        <v>949</v>
      </c>
      <c r="D215" s="12" t="s">
        <v>1298</v>
      </c>
      <c r="E215" s="12" t="n">
        <v>4</v>
      </c>
      <c r="F215" s="12" t="s">
        <v>351</v>
      </c>
      <c r="G215" s="12" t="s">
        <v>1113</v>
      </c>
      <c r="H215" s="12" t="s">
        <v>94</v>
      </c>
      <c r="I215" s="12" t="s">
        <v>339</v>
      </c>
      <c r="J215" s="12"/>
      <c r="K215" s="12"/>
      <c r="L215" s="5"/>
      <c r="M215" s="33" t="n">
        <f aca="false">SUMIFS('Existing vs Saran'!$I$5:$I$210,'Existing vs Saran'!$N$5:$N$210,A215)</f>
        <v>0</v>
      </c>
      <c r="N215" s="12" t="s">
        <v>1437</v>
      </c>
      <c r="O215" s="5" t="s">
        <v>1012</v>
      </c>
      <c r="P215" s="12"/>
    </row>
    <row r="216" customFormat="false" ht="23.85" hidden="false" customHeight="false" outlineLevel="0" collapsed="false">
      <c r="A216" s="12" t="n">
        <v>98</v>
      </c>
      <c r="B216" s="12" t="s">
        <v>1438</v>
      </c>
      <c r="C216" s="12" t="s">
        <v>949</v>
      </c>
      <c r="D216" s="12" t="s">
        <v>1298</v>
      </c>
      <c r="E216" s="12" t="n">
        <v>5</v>
      </c>
      <c r="F216" s="12" t="s">
        <v>379</v>
      </c>
      <c r="G216" s="12" t="s">
        <v>596</v>
      </c>
      <c r="H216" s="12" t="s">
        <v>94</v>
      </c>
      <c r="I216" s="12" t="s">
        <v>339</v>
      </c>
      <c r="J216" s="12"/>
      <c r="K216" s="12"/>
      <c r="L216" s="5"/>
      <c r="M216" s="33" t="n">
        <f aca="false">SUMIFS('Existing vs Saran'!$I$5:$I$210,'Existing vs Saran'!$N$5:$N$210,A216)</f>
        <v>0</v>
      </c>
      <c r="N216" s="12" t="s">
        <v>1439</v>
      </c>
      <c r="O216" s="5" t="s">
        <v>1440</v>
      </c>
      <c r="P216" s="12"/>
    </row>
    <row r="217" customFormat="false" ht="23.85" hidden="false" customHeight="false" outlineLevel="0" collapsed="false">
      <c r="A217" s="12" t="n">
        <v>280</v>
      </c>
      <c r="B217" s="12" t="s">
        <v>1441</v>
      </c>
      <c r="C217" s="12" t="s">
        <v>949</v>
      </c>
      <c r="D217" s="12" t="s">
        <v>1298</v>
      </c>
      <c r="E217" s="12" t="n">
        <v>4</v>
      </c>
      <c r="F217" s="12" t="s">
        <v>351</v>
      </c>
      <c r="G217" s="12" t="s">
        <v>960</v>
      </c>
      <c r="H217" s="12" t="s">
        <v>94</v>
      </c>
      <c r="I217" s="12" t="s">
        <v>339</v>
      </c>
      <c r="J217" s="12"/>
      <c r="K217" s="12"/>
      <c r="L217" s="5"/>
      <c r="M217" s="33" t="n">
        <f aca="false">SUMIFS('Existing vs Saran'!$I$5:$I$210,'Existing vs Saran'!$N$5:$N$210,A217)</f>
        <v>0</v>
      </c>
      <c r="N217" s="12" t="s">
        <v>1442</v>
      </c>
      <c r="O217" s="5" t="s">
        <v>1152</v>
      </c>
      <c r="P217" s="12"/>
    </row>
    <row r="218" customFormat="false" ht="23.85" hidden="false" customHeight="false" outlineLevel="0" collapsed="false">
      <c r="A218" s="12" t="n">
        <v>135</v>
      </c>
      <c r="B218" s="12" t="s">
        <v>1443</v>
      </c>
      <c r="C218" s="12" t="s">
        <v>949</v>
      </c>
      <c r="D218" s="12" t="s">
        <v>1298</v>
      </c>
      <c r="E218" s="12" t="n">
        <v>5</v>
      </c>
      <c r="F218" s="12" t="s">
        <v>904</v>
      </c>
      <c r="G218" s="12" t="s">
        <v>1444</v>
      </c>
      <c r="H218" s="12" t="s">
        <v>94</v>
      </c>
      <c r="I218" s="12" t="s">
        <v>339</v>
      </c>
      <c r="J218" s="12"/>
      <c r="K218" s="12"/>
      <c r="L218" s="5"/>
      <c r="M218" s="33" t="n">
        <f aca="false">SUMIFS('Existing vs Saran'!$I$5:$I$210,'Existing vs Saran'!$N$5:$N$210,A218)</f>
        <v>0</v>
      </c>
      <c r="N218" s="12" t="s">
        <v>1445</v>
      </c>
      <c r="O218" s="5" t="s">
        <v>1122</v>
      </c>
      <c r="P218" s="12"/>
    </row>
    <row r="219" customFormat="false" ht="15" hidden="false" customHeight="false" outlineLevel="0" collapsed="false">
      <c r="A219" s="12" t="n">
        <v>393</v>
      </c>
      <c r="B219" s="12" t="s">
        <v>1446</v>
      </c>
      <c r="C219" s="12" t="s">
        <v>949</v>
      </c>
      <c r="D219" s="12" t="s">
        <v>1298</v>
      </c>
      <c r="E219" s="12" t="n">
        <v>4</v>
      </c>
      <c r="F219" s="12" t="s">
        <v>917</v>
      </c>
      <c r="G219" s="12" t="s">
        <v>1004</v>
      </c>
      <c r="H219" s="12" t="s">
        <v>94</v>
      </c>
      <c r="I219" s="12" t="s">
        <v>339</v>
      </c>
      <c r="J219" s="12"/>
      <c r="K219" s="12"/>
      <c r="L219" s="5"/>
      <c r="M219" s="33" t="n">
        <f aca="false">SUMIFS('Existing vs Saran'!$I$5:$I$210,'Existing vs Saran'!$N$5:$N$210,A219)</f>
        <v>0</v>
      </c>
      <c r="N219" s="12" t="s">
        <v>1447</v>
      </c>
      <c r="O219" s="5" t="s">
        <v>954</v>
      </c>
      <c r="P219" s="12"/>
    </row>
    <row r="220" customFormat="false" ht="15" hidden="false" customHeight="false" outlineLevel="0" collapsed="false">
      <c r="A220" s="12" t="n">
        <v>151</v>
      </c>
      <c r="B220" s="12" t="s">
        <v>1448</v>
      </c>
      <c r="C220" s="12" t="s">
        <v>949</v>
      </c>
      <c r="D220" s="12" t="s">
        <v>1298</v>
      </c>
      <c r="E220" s="12" t="n">
        <v>5</v>
      </c>
      <c r="F220" s="12" t="s">
        <v>905</v>
      </c>
      <c r="G220" s="12" t="s">
        <v>1430</v>
      </c>
      <c r="H220" s="12" t="s">
        <v>94</v>
      </c>
      <c r="I220" s="12" t="s">
        <v>339</v>
      </c>
      <c r="J220" s="12"/>
      <c r="K220" s="12"/>
      <c r="L220" s="5"/>
      <c r="M220" s="33" t="n">
        <f aca="false">SUMIFS('Existing vs Saran'!$I$5:$I$210,'Existing vs Saran'!$N$5:$N$210,A220)</f>
        <v>0</v>
      </c>
      <c r="N220" s="12" t="s">
        <v>1449</v>
      </c>
      <c r="O220" s="5" t="s">
        <v>954</v>
      </c>
      <c r="P220" s="12"/>
    </row>
    <row r="221" customFormat="false" ht="23.85" hidden="false" customHeight="false" outlineLevel="0" collapsed="false">
      <c r="A221" s="12" t="n">
        <v>281</v>
      </c>
      <c r="B221" s="12" t="s">
        <v>1450</v>
      </c>
      <c r="C221" s="12" t="s">
        <v>949</v>
      </c>
      <c r="D221" s="12" t="s">
        <v>1298</v>
      </c>
      <c r="E221" s="12" t="n">
        <v>4</v>
      </c>
      <c r="F221" s="12" t="s">
        <v>351</v>
      </c>
      <c r="G221" s="12" t="s">
        <v>1113</v>
      </c>
      <c r="H221" s="12" t="s">
        <v>94</v>
      </c>
      <c r="I221" s="12" t="s">
        <v>339</v>
      </c>
      <c r="J221" s="12"/>
      <c r="K221" s="12"/>
      <c r="L221" s="5"/>
      <c r="M221" s="33" t="n">
        <f aca="false">SUMIFS('Existing vs Saran'!$I$5:$I$210,'Existing vs Saran'!$N$5:$N$210,A221)</f>
        <v>0</v>
      </c>
      <c r="N221" s="12" t="s">
        <v>1451</v>
      </c>
      <c r="O221" s="5" t="s">
        <v>1152</v>
      </c>
      <c r="P221" s="12"/>
    </row>
    <row r="222" customFormat="false" ht="23.85" hidden="false" customHeight="false" outlineLevel="0" collapsed="false">
      <c r="A222" s="12" t="n">
        <v>366</v>
      </c>
      <c r="B222" s="12" t="s">
        <v>1452</v>
      </c>
      <c r="C222" s="12" t="s">
        <v>949</v>
      </c>
      <c r="D222" s="12" t="s">
        <v>1298</v>
      </c>
      <c r="E222" s="12" t="n">
        <v>5</v>
      </c>
      <c r="F222" s="12" t="s">
        <v>914</v>
      </c>
      <c r="G222" s="12" t="s">
        <v>1128</v>
      </c>
      <c r="H222" s="12" t="s">
        <v>94</v>
      </c>
      <c r="I222" s="12" t="s">
        <v>339</v>
      </c>
      <c r="J222" s="12"/>
      <c r="K222" s="12"/>
      <c r="L222" s="5"/>
      <c r="M222" s="33" t="n">
        <f aca="false">SUMIFS('Existing vs Saran'!$I$5:$I$210,'Existing vs Saran'!$N$5:$N$210,A222)</f>
        <v>0</v>
      </c>
      <c r="N222" s="12" t="s">
        <v>1453</v>
      </c>
      <c r="O222" s="5" t="s">
        <v>1122</v>
      </c>
      <c r="P222" s="12"/>
    </row>
    <row r="223" customFormat="false" ht="23.85" hidden="false" customHeight="false" outlineLevel="0" collapsed="false">
      <c r="A223" s="12" t="n">
        <v>435</v>
      </c>
      <c r="B223" s="12" t="s">
        <v>1454</v>
      </c>
      <c r="C223" s="12" t="s">
        <v>949</v>
      </c>
      <c r="D223" s="12" t="s">
        <v>1298</v>
      </c>
      <c r="E223" s="12" t="n">
        <v>4</v>
      </c>
      <c r="F223" s="12" t="s">
        <v>22</v>
      </c>
      <c r="G223" s="12" t="s">
        <v>1044</v>
      </c>
      <c r="H223" s="12" t="s">
        <v>94</v>
      </c>
      <c r="I223" s="12" t="s">
        <v>339</v>
      </c>
      <c r="J223" s="12"/>
      <c r="K223" s="12"/>
      <c r="L223" s="5"/>
      <c r="M223" s="33" t="n">
        <f aca="false">SUMIFS('Existing vs Saran'!$I$5:$I$210,'Existing vs Saran'!$N$5:$N$210,A223)</f>
        <v>0</v>
      </c>
      <c r="N223" s="12" t="s">
        <v>1455</v>
      </c>
      <c r="O223" s="5" t="s">
        <v>1016</v>
      </c>
      <c r="P223" s="12"/>
    </row>
    <row r="224" customFormat="false" ht="15" hidden="false" customHeight="false" outlineLevel="0" collapsed="false">
      <c r="A224" s="12" t="n">
        <v>103</v>
      </c>
      <c r="B224" s="12" t="s">
        <v>1456</v>
      </c>
      <c r="C224" s="12" t="s">
        <v>949</v>
      </c>
      <c r="D224" s="12" t="s">
        <v>1298</v>
      </c>
      <c r="E224" s="12" t="n">
        <v>4</v>
      </c>
      <c r="F224" s="12" t="s">
        <v>379</v>
      </c>
      <c r="G224" s="12" t="s">
        <v>613</v>
      </c>
      <c r="H224" s="12" t="s">
        <v>94</v>
      </c>
      <c r="I224" s="12" t="s">
        <v>339</v>
      </c>
      <c r="J224" s="12"/>
      <c r="K224" s="12"/>
      <c r="L224" s="5"/>
      <c r="M224" s="33" t="n">
        <f aca="false">SUMIFS('Existing vs Saran'!$I$5:$I$210,'Existing vs Saran'!$N$5:$N$210,A224)</f>
        <v>0</v>
      </c>
      <c r="N224" s="12" t="s">
        <v>1457</v>
      </c>
      <c r="O224" s="5" t="s">
        <v>1458</v>
      </c>
      <c r="P224" s="12"/>
    </row>
    <row r="225" customFormat="false" ht="15" hidden="false" customHeight="false" outlineLevel="0" collapsed="false">
      <c r="A225" s="12" t="n">
        <v>54</v>
      </c>
      <c r="B225" s="12" t="s">
        <v>1459</v>
      </c>
      <c r="C225" s="12" t="s">
        <v>949</v>
      </c>
      <c r="D225" s="12" t="s">
        <v>1298</v>
      </c>
      <c r="E225" s="12" t="n">
        <v>4</v>
      </c>
      <c r="F225" s="12" t="s">
        <v>548</v>
      </c>
      <c r="G225" s="12" t="s">
        <v>549</v>
      </c>
      <c r="H225" s="12" t="s">
        <v>94</v>
      </c>
      <c r="I225" s="12" t="s">
        <v>339</v>
      </c>
      <c r="J225" s="12"/>
      <c r="K225" s="12"/>
      <c r="L225" s="5"/>
      <c r="M225" s="33" t="n">
        <f aca="false">SUMIFS('Existing vs Saran'!$I$5:$I$210,'Existing vs Saran'!$N$5:$N$210,A225)</f>
        <v>0</v>
      </c>
      <c r="N225" s="12" t="s">
        <v>1460</v>
      </c>
      <c r="O225" s="5" t="s">
        <v>956</v>
      </c>
      <c r="P225" s="12"/>
    </row>
    <row r="226" customFormat="false" ht="23.85" hidden="false" customHeight="false" outlineLevel="0" collapsed="false">
      <c r="A226" s="12" t="n">
        <v>367</v>
      </c>
      <c r="B226" s="12" t="s">
        <v>1461</v>
      </c>
      <c r="C226" s="12" t="s">
        <v>949</v>
      </c>
      <c r="D226" s="12" t="s">
        <v>1298</v>
      </c>
      <c r="E226" s="12" t="n">
        <v>4</v>
      </c>
      <c r="F226" s="12" t="s">
        <v>914</v>
      </c>
      <c r="G226" s="12" t="s">
        <v>1128</v>
      </c>
      <c r="H226" s="12" t="s">
        <v>94</v>
      </c>
      <c r="I226" s="12" t="s">
        <v>339</v>
      </c>
      <c r="J226" s="12"/>
      <c r="K226" s="12"/>
      <c r="L226" s="5"/>
      <c r="M226" s="33" t="n">
        <f aca="false">SUMIFS('Existing vs Saran'!$I$5:$I$210,'Existing vs Saran'!$N$5:$N$210,A226)</f>
        <v>0</v>
      </c>
      <c r="N226" s="12" t="s">
        <v>1462</v>
      </c>
      <c r="O226" s="5" t="s">
        <v>1463</v>
      </c>
      <c r="P226" s="12"/>
    </row>
    <row r="227" customFormat="false" ht="15" hidden="false" customHeight="false" outlineLevel="0" collapsed="false">
      <c r="A227" s="12" t="n">
        <v>206</v>
      </c>
      <c r="B227" s="12" t="s">
        <v>1464</v>
      </c>
      <c r="C227" s="12" t="s">
        <v>949</v>
      </c>
      <c r="D227" s="12" t="s">
        <v>1298</v>
      </c>
      <c r="E227" s="12" t="n">
        <v>4</v>
      </c>
      <c r="F227" s="12" t="s">
        <v>20</v>
      </c>
      <c r="G227" s="12" t="s">
        <v>707</v>
      </c>
      <c r="H227" s="12" t="s">
        <v>94</v>
      </c>
      <c r="I227" s="12" t="s">
        <v>339</v>
      </c>
      <c r="J227" s="12"/>
      <c r="K227" s="12"/>
      <c r="L227" s="5"/>
      <c r="M227" s="33" t="n">
        <f aca="false">SUMIFS('Existing vs Saran'!$I$5:$I$210,'Existing vs Saran'!$N$5:$N$210,A227)</f>
        <v>0</v>
      </c>
      <c r="N227" s="12" t="s">
        <v>1465</v>
      </c>
      <c r="O227" s="5" t="s">
        <v>1466</v>
      </c>
      <c r="P227" s="12"/>
    </row>
    <row r="228" customFormat="false" ht="23.85" hidden="false" customHeight="false" outlineLevel="0" collapsed="false">
      <c r="A228" s="12" t="n">
        <v>104</v>
      </c>
      <c r="B228" s="12" t="s">
        <v>1467</v>
      </c>
      <c r="C228" s="12" t="s">
        <v>949</v>
      </c>
      <c r="D228" s="12" t="s">
        <v>1298</v>
      </c>
      <c r="E228" s="12" t="n">
        <v>5</v>
      </c>
      <c r="F228" s="12" t="s">
        <v>379</v>
      </c>
      <c r="G228" s="12" t="s">
        <v>571</v>
      </c>
      <c r="H228" s="12" t="s">
        <v>94</v>
      </c>
      <c r="I228" s="12" t="s">
        <v>339</v>
      </c>
      <c r="J228" s="12"/>
      <c r="K228" s="12"/>
      <c r="L228" s="5"/>
      <c r="M228" s="33" t="n">
        <f aca="false">SUMIFS('Existing vs Saran'!$I$5:$I$210,'Existing vs Saran'!$N$5:$N$210,A228)</f>
        <v>0</v>
      </c>
      <c r="N228" s="12" t="s">
        <v>1468</v>
      </c>
      <c r="O228" s="5" t="s">
        <v>1469</v>
      </c>
      <c r="P228" s="12"/>
    </row>
    <row r="229" customFormat="false" ht="15" hidden="false" customHeight="false" outlineLevel="0" collapsed="false">
      <c r="A229" s="12" t="n">
        <v>105</v>
      </c>
      <c r="B229" s="12" t="s">
        <v>1470</v>
      </c>
      <c r="C229" s="12" t="s">
        <v>949</v>
      </c>
      <c r="D229" s="12" t="s">
        <v>1298</v>
      </c>
      <c r="E229" s="12" t="n">
        <v>5</v>
      </c>
      <c r="F229" s="12" t="s">
        <v>379</v>
      </c>
      <c r="G229" s="12" t="s">
        <v>585</v>
      </c>
      <c r="H229" s="12" t="s">
        <v>94</v>
      </c>
      <c r="I229" s="12" t="s">
        <v>339</v>
      </c>
      <c r="J229" s="12"/>
      <c r="K229" s="12"/>
      <c r="L229" s="5"/>
      <c r="M229" s="33" t="n">
        <f aca="false">SUMIFS('Existing vs Saran'!$I$5:$I$210,'Existing vs Saran'!$N$5:$N$210,A229)</f>
        <v>0</v>
      </c>
      <c r="N229" s="12" t="s">
        <v>1471</v>
      </c>
      <c r="O229" s="5" t="s">
        <v>1472</v>
      </c>
      <c r="P229" s="12"/>
    </row>
    <row r="230" customFormat="false" ht="15" hidden="false" customHeight="false" outlineLevel="0" collapsed="false">
      <c r="A230" s="12" t="n">
        <v>55</v>
      </c>
      <c r="B230" s="12" t="s">
        <v>1473</v>
      </c>
      <c r="C230" s="12" t="s">
        <v>949</v>
      </c>
      <c r="D230" s="12" t="s">
        <v>1298</v>
      </c>
      <c r="E230" s="12" t="n">
        <v>5</v>
      </c>
      <c r="F230" s="12" t="s">
        <v>548</v>
      </c>
      <c r="G230" s="12" t="s">
        <v>549</v>
      </c>
      <c r="H230" s="12" t="s">
        <v>94</v>
      </c>
      <c r="I230" s="12" t="s">
        <v>339</v>
      </c>
      <c r="J230" s="12"/>
      <c r="K230" s="12"/>
      <c r="L230" s="5"/>
      <c r="M230" s="33" t="n">
        <f aca="false">SUMIFS('Existing vs Saran'!$I$5:$I$210,'Existing vs Saran'!$N$5:$N$210,A230)</f>
        <v>0</v>
      </c>
      <c r="N230" s="12" t="s">
        <v>1474</v>
      </c>
      <c r="O230" s="5" t="s">
        <v>956</v>
      </c>
      <c r="P230" s="12"/>
    </row>
    <row r="231" customFormat="false" ht="15" hidden="false" customHeight="false" outlineLevel="0" collapsed="false">
      <c r="A231" s="12" t="n">
        <v>28</v>
      </c>
      <c r="B231" s="12" t="s">
        <v>1475</v>
      </c>
      <c r="C231" s="12" t="s">
        <v>949</v>
      </c>
      <c r="D231" s="12" t="s">
        <v>1298</v>
      </c>
      <c r="E231" s="12" t="n">
        <v>4</v>
      </c>
      <c r="F231" s="12" t="s">
        <v>354</v>
      </c>
      <c r="G231" s="12" t="s">
        <v>997</v>
      </c>
      <c r="H231" s="12" t="s">
        <v>1211</v>
      </c>
      <c r="I231" s="12" t="s">
        <v>339</v>
      </c>
      <c r="J231" s="12"/>
      <c r="K231" s="12"/>
      <c r="L231" s="5"/>
      <c r="M231" s="33" t="n">
        <f aca="false">SUMIFS('Existing vs Saran'!$I$5:$I$210,'Existing vs Saran'!$N$5:$N$210,A231)</f>
        <v>0</v>
      </c>
      <c r="N231" s="12" t="s">
        <v>1476</v>
      </c>
      <c r="O231" s="5" t="s">
        <v>1126</v>
      </c>
      <c r="P231" s="12"/>
    </row>
    <row r="232" customFormat="false" ht="68.65" hidden="false" customHeight="false" outlineLevel="0" collapsed="false">
      <c r="A232" s="12" t="n">
        <v>323</v>
      </c>
      <c r="B232" s="12" t="s">
        <v>1477</v>
      </c>
      <c r="C232" s="12" t="s">
        <v>949</v>
      </c>
      <c r="D232" s="12" t="s">
        <v>1298</v>
      </c>
      <c r="E232" s="12" t="n">
        <v>4</v>
      </c>
      <c r="F232" s="12" t="s">
        <v>356</v>
      </c>
      <c r="G232" s="12" t="s">
        <v>1478</v>
      </c>
      <c r="H232" s="12" t="s">
        <v>94</v>
      </c>
      <c r="I232" s="12" t="s">
        <v>339</v>
      </c>
      <c r="J232" s="12"/>
      <c r="K232" s="12"/>
      <c r="L232" s="5"/>
      <c r="M232" s="33" t="n">
        <f aca="false">SUMIFS('Existing vs Saran'!$I$5:$I$210,'Existing vs Saran'!$N$5:$N$210,A232)</f>
        <v>0</v>
      </c>
      <c r="N232" s="12" t="s">
        <v>1479</v>
      </c>
      <c r="O232" s="5" t="s">
        <v>1480</v>
      </c>
      <c r="P232" s="12"/>
    </row>
    <row r="233" customFormat="false" ht="15" hidden="false" customHeight="false" outlineLevel="0" collapsed="false">
      <c r="A233" s="12" t="n">
        <v>29</v>
      </c>
      <c r="B233" s="12" t="s">
        <v>1481</v>
      </c>
      <c r="C233" s="12" t="s">
        <v>949</v>
      </c>
      <c r="D233" s="12" t="s">
        <v>1298</v>
      </c>
      <c r="E233" s="12" t="n">
        <v>4</v>
      </c>
      <c r="F233" s="12" t="s">
        <v>354</v>
      </c>
      <c r="G233" s="12" t="s">
        <v>1482</v>
      </c>
      <c r="H233" s="12" t="s">
        <v>94</v>
      </c>
      <c r="I233" s="12" t="s">
        <v>339</v>
      </c>
      <c r="J233" s="12"/>
      <c r="K233" s="12"/>
      <c r="L233" s="5"/>
      <c r="M233" s="33" t="n">
        <f aca="false">SUMIFS('Existing vs Saran'!$I$5:$I$210,'Existing vs Saran'!$N$5:$N$210,A233)</f>
        <v>0</v>
      </c>
      <c r="N233" s="12" t="s">
        <v>1483</v>
      </c>
      <c r="O233" s="5" t="s">
        <v>1126</v>
      </c>
      <c r="P233" s="12"/>
    </row>
    <row r="234" customFormat="false" ht="15" hidden="false" customHeight="false" outlineLevel="0" collapsed="false">
      <c r="A234" s="12" t="n">
        <v>208</v>
      </c>
      <c r="B234" s="12" t="s">
        <v>1484</v>
      </c>
      <c r="C234" s="12" t="s">
        <v>949</v>
      </c>
      <c r="D234" s="12" t="s">
        <v>1298</v>
      </c>
      <c r="E234" s="12" t="n">
        <v>5</v>
      </c>
      <c r="F234" s="12" t="s">
        <v>20</v>
      </c>
      <c r="G234" s="12" t="s">
        <v>707</v>
      </c>
      <c r="H234" s="12" t="s">
        <v>94</v>
      </c>
      <c r="I234" s="12" t="s">
        <v>339</v>
      </c>
      <c r="J234" s="12"/>
      <c r="K234" s="12"/>
      <c r="L234" s="5"/>
      <c r="M234" s="33" t="n">
        <f aca="false">SUMIFS('Existing vs Saran'!$I$5:$I$210,'Existing vs Saran'!$N$5:$N$210,A234)</f>
        <v>0</v>
      </c>
      <c r="N234" s="12" t="s">
        <v>1485</v>
      </c>
      <c r="O234" s="5" t="s">
        <v>1486</v>
      </c>
      <c r="P234" s="12"/>
    </row>
    <row r="235" customFormat="false" ht="35.05" hidden="false" customHeight="false" outlineLevel="0" collapsed="false">
      <c r="A235" s="12" t="n">
        <v>136</v>
      </c>
      <c r="B235" s="12" t="s">
        <v>1487</v>
      </c>
      <c r="C235" s="12" t="s">
        <v>949</v>
      </c>
      <c r="D235" s="12" t="s">
        <v>1298</v>
      </c>
      <c r="E235" s="12" t="n">
        <v>5</v>
      </c>
      <c r="F235" s="12" t="s">
        <v>904</v>
      </c>
      <c r="G235" s="12" t="s">
        <v>1120</v>
      </c>
      <c r="H235" s="12" t="s">
        <v>94</v>
      </c>
      <c r="I235" s="12" t="s">
        <v>339</v>
      </c>
      <c r="J235" s="12"/>
      <c r="K235" s="12"/>
      <c r="L235" s="5"/>
      <c r="M235" s="33" t="n">
        <f aca="false">SUMIFS('Existing vs Saran'!$I$5:$I$210,'Existing vs Saran'!$N$5:$N$210,A235)</f>
        <v>0</v>
      </c>
      <c r="N235" s="12" t="s">
        <v>1488</v>
      </c>
      <c r="O235" s="5" t="s">
        <v>1489</v>
      </c>
      <c r="P235" s="12"/>
    </row>
    <row r="236" customFormat="false" ht="15" hidden="false" customHeight="false" outlineLevel="0" collapsed="false">
      <c r="A236" s="12" t="n">
        <v>32</v>
      </c>
      <c r="B236" s="12" t="s">
        <v>1490</v>
      </c>
      <c r="C236" s="12" t="s">
        <v>949</v>
      </c>
      <c r="D236" s="12" t="s">
        <v>1298</v>
      </c>
      <c r="E236" s="12" t="n">
        <v>5</v>
      </c>
      <c r="F236" s="12" t="s">
        <v>354</v>
      </c>
      <c r="G236" s="12" t="s">
        <v>1026</v>
      </c>
      <c r="H236" s="12" t="s">
        <v>94</v>
      </c>
      <c r="I236" s="12" t="s">
        <v>339</v>
      </c>
      <c r="J236" s="12"/>
      <c r="K236" s="12"/>
      <c r="L236" s="5"/>
      <c r="M236" s="33" t="n">
        <f aca="false">SUMIFS('Existing vs Saran'!$I$5:$I$210,'Existing vs Saran'!$N$5:$N$210,A236)</f>
        <v>0</v>
      </c>
      <c r="N236" s="12" t="s">
        <v>1491</v>
      </c>
      <c r="O236" s="5" t="s">
        <v>1492</v>
      </c>
      <c r="P236" s="12"/>
    </row>
    <row r="237" customFormat="false" ht="15" hidden="false" customHeight="false" outlineLevel="0" collapsed="false">
      <c r="A237" s="12" t="n">
        <v>56</v>
      </c>
      <c r="B237" s="12" t="s">
        <v>1493</v>
      </c>
      <c r="C237" s="12" t="s">
        <v>949</v>
      </c>
      <c r="D237" s="12" t="s">
        <v>1298</v>
      </c>
      <c r="E237" s="12" t="n">
        <v>5</v>
      </c>
      <c r="F237" s="12" t="s">
        <v>548</v>
      </c>
      <c r="G237" s="12" t="s">
        <v>549</v>
      </c>
      <c r="H237" s="12" t="s">
        <v>94</v>
      </c>
      <c r="I237" s="12" t="s">
        <v>339</v>
      </c>
      <c r="J237" s="12"/>
      <c r="K237" s="12"/>
      <c r="L237" s="5"/>
      <c r="M237" s="33" t="n">
        <f aca="false">SUMIFS('Existing vs Saran'!$I$5:$I$210,'Existing vs Saran'!$N$5:$N$210,A237)</f>
        <v>0</v>
      </c>
      <c r="N237" s="12" t="s">
        <v>1494</v>
      </c>
      <c r="O237" s="5" t="s">
        <v>956</v>
      </c>
      <c r="P237" s="12"/>
    </row>
    <row r="238" customFormat="false" ht="15" hidden="false" customHeight="false" outlineLevel="0" collapsed="false">
      <c r="A238" s="12" t="n">
        <v>346</v>
      </c>
      <c r="B238" s="12" t="s">
        <v>1495</v>
      </c>
      <c r="C238" s="12" t="s">
        <v>949</v>
      </c>
      <c r="D238" s="12" t="s">
        <v>1298</v>
      </c>
      <c r="E238" s="12" t="n">
        <v>5</v>
      </c>
      <c r="F238" s="12" t="s">
        <v>797</v>
      </c>
      <c r="G238" s="12" t="s">
        <v>995</v>
      </c>
      <c r="H238" s="12" t="s">
        <v>85</v>
      </c>
      <c r="I238" s="12" t="s">
        <v>339</v>
      </c>
      <c r="J238" s="12"/>
      <c r="K238" s="12"/>
      <c r="L238" s="5"/>
      <c r="M238" s="33" t="n">
        <f aca="false">SUMIFS('Existing vs Saran'!$I$5:$I$210,'Existing vs Saran'!$N$5:$N$210,A238)</f>
        <v>0</v>
      </c>
      <c r="N238" s="12" t="s">
        <v>1496</v>
      </c>
      <c r="O238" s="5" t="s">
        <v>956</v>
      </c>
      <c r="P238" s="12"/>
    </row>
    <row r="239" customFormat="false" ht="23.85" hidden="false" customHeight="false" outlineLevel="0" collapsed="false">
      <c r="A239" s="12" t="n">
        <v>211</v>
      </c>
      <c r="B239" s="12" t="s">
        <v>1497</v>
      </c>
      <c r="C239" s="12" t="s">
        <v>949</v>
      </c>
      <c r="D239" s="12" t="s">
        <v>1298</v>
      </c>
      <c r="E239" s="12" t="n">
        <v>4</v>
      </c>
      <c r="F239" s="12" t="s">
        <v>20</v>
      </c>
      <c r="G239" s="12" t="s">
        <v>707</v>
      </c>
      <c r="H239" s="12" t="s">
        <v>94</v>
      </c>
      <c r="I239" s="12" t="s">
        <v>339</v>
      </c>
      <c r="J239" s="12"/>
      <c r="K239" s="12"/>
      <c r="L239" s="5"/>
      <c r="M239" s="33" t="n">
        <f aca="false">SUMIFS('Existing vs Saran'!$I$5:$I$210,'Existing vs Saran'!$N$5:$N$210,A239)</f>
        <v>0</v>
      </c>
      <c r="N239" s="12" t="s">
        <v>1498</v>
      </c>
      <c r="O239" s="5" t="s">
        <v>1499</v>
      </c>
      <c r="P239" s="12"/>
    </row>
    <row r="240" customFormat="false" ht="15" hidden="false" customHeight="false" outlineLevel="0" collapsed="false">
      <c r="A240" s="12" t="n">
        <v>347</v>
      </c>
      <c r="B240" s="12" t="s">
        <v>1500</v>
      </c>
      <c r="C240" s="12" t="s">
        <v>949</v>
      </c>
      <c r="D240" s="12" t="s">
        <v>1298</v>
      </c>
      <c r="E240" s="12" t="n">
        <v>5</v>
      </c>
      <c r="F240" s="12" t="s">
        <v>797</v>
      </c>
      <c r="G240" s="12" t="s">
        <v>798</v>
      </c>
      <c r="H240" s="12" t="s">
        <v>94</v>
      </c>
      <c r="I240" s="12" t="s">
        <v>339</v>
      </c>
      <c r="J240" s="12"/>
      <c r="K240" s="12"/>
      <c r="L240" s="5"/>
      <c r="M240" s="33" t="n">
        <f aca="false">SUMIFS('Existing vs Saran'!$I$5:$I$210,'Existing vs Saran'!$N$5:$N$210,A240)</f>
        <v>0</v>
      </c>
      <c r="N240" s="12" t="s">
        <v>1501</v>
      </c>
      <c r="O240" s="5" t="s">
        <v>956</v>
      </c>
      <c r="P240" s="12"/>
    </row>
    <row r="241" customFormat="false" ht="15" hidden="false" customHeight="false" outlineLevel="0" collapsed="false">
      <c r="A241" s="12" t="n">
        <v>348</v>
      </c>
      <c r="B241" s="12" t="s">
        <v>1502</v>
      </c>
      <c r="C241" s="12" t="s">
        <v>949</v>
      </c>
      <c r="D241" s="12" t="s">
        <v>1298</v>
      </c>
      <c r="E241" s="12" t="n">
        <v>5</v>
      </c>
      <c r="F241" s="12" t="s">
        <v>797</v>
      </c>
      <c r="G241" s="12" t="s">
        <v>798</v>
      </c>
      <c r="H241" s="12" t="s">
        <v>94</v>
      </c>
      <c r="I241" s="12" t="s">
        <v>339</v>
      </c>
      <c r="J241" s="12"/>
      <c r="K241" s="12"/>
      <c r="L241" s="5"/>
      <c r="M241" s="33" t="n">
        <f aca="false">SUMIFS('Existing vs Saran'!$I$5:$I$210,'Existing vs Saran'!$N$5:$N$210,A241)</f>
        <v>0</v>
      </c>
      <c r="N241" s="12" t="s">
        <v>1503</v>
      </c>
      <c r="O241" s="5" t="s">
        <v>956</v>
      </c>
      <c r="P241" s="12"/>
    </row>
    <row r="242" customFormat="false" ht="15" hidden="false" customHeight="false" outlineLevel="0" collapsed="false">
      <c r="A242" s="12" t="n">
        <v>454</v>
      </c>
      <c r="B242" s="12" t="s">
        <v>1504</v>
      </c>
      <c r="C242" s="12" t="s">
        <v>949</v>
      </c>
      <c r="D242" s="12" t="s">
        <v>1298</v>
      </c>
      <c r="E242" s="12" t="n">
        <v>4</v>
      </c>
      <c r="F242" s="12"/>
      <c r="G242" s="12"/>
      <c r="H242" s="12" t="s">
        <v>1211</v>
      </c>
      <c r="I242" s="12" t="s">
        <v>339</v>
      </c>
      <c r="J242" s="12"/>
      <c r="K242" s="12"/>
      <c r="L242" s="5"/>
      <c r="M242" s="33" t="n">
        <f aca="false">SUMIFS('Existing vs Saran'!$I$5:$I$210,'Existing vs Saran'!$N$5:$N$210,A242)</f>
        <v>0</v>
      </c>
      <c r="N242" s="12" t="s">
        <v>1505</v>
      </c>
      <c r="O242" s="5" t="s">
        <v>1506</v>
      </c>
      <c r="P242" s="12"/>
    </row>
    <row r="243" customFormat="false" ht="23.85" hidden="false" customHeight="false" outlineLevel="0" collapsed="false">
      <c r="A243" s="12" t="n">
        <v>137</v>
      </c>
      <c r="B243" s="12" t="s">
        <v>1507</v>
      </c>
      <c r="C243" s="12" t="s">
        <v>949</v>
      </c>
      <c r="D243" s="12" t="s">
        <v>1298</v>
      </c>
      <c r="E243" s="12" t="n">
        <v>5</v>
      </c>
      <c r="F243" s="12" t="s">
        <v>904</v>
      </c>
      <c r="G243" s="12" t="s">
        <v>1203</v>
      </c>
      <c r="H243" s="12" t="s">
        <v>1211</v>
      </c>
      <c r="I243" s="12" t="s">
        <v>339</v>
      </c>
      <c r="J243" s="12"/>
      <c r="K243" s="12"/>
      <c r="L243" s="5"/>
      <c r="M243" s="33" t="n">
        <f aca="false">SUMIFS('Existing vs Saran'!$I$5:$I$210,'Existing vs Saran'!$N$5:$N$210,A243)</f>
        <v>0</v>
      </c>
      <c r="N243" s="12" t="s">
        <v>1508</v>
      </c>
      <c r="O243" s="5" t="s">
        <v>1122</v>
      </c>
      <c r="P243" s="12"/>
    </row>
    <row r="244" customFormat="false" ht="23.85" hidden="false" customHeight="false" outlineLevel="0" collapsed="false">
      <c r="A244" s="12" t="n">
        <v>286</v>
      </c>
      <c r="B244" s="12" t="s">
        <v>1509</v>
      </c>
      <c r="C244" s="12" t="s">
        <v>949</v>
      </c>
      <c r="D244" s="12" t="s">
        <v>1298</v>
      </c>
      <c r="E244" s="12" t="n">
        <v>4</v>
      </c>
      <c r="F244" s="12" t="s">
        <v>351</v>
      </c>
      <c r="G244" s="12" t="s">
        <v>960</v>
      </c>
      <c r="H244" s="12" t="s">
        <v>94</v>
      </c>
      <c r="I244" s="12" t="s">
        <v>339</v>
      </c>
      <c r="J244" s="12"/>
      <c r="K244" s="12"/>
      <c r="L244" s="5"/>
      <c r="M244" s="33" t="n">
        <f aca="false">SUMIFS('Existing vs Saran'!$I$5:$I$210,'Existing vs Saran'!$N$5:$N$210,A244)</f>
        <v>0</v>
      </c>
      <c r="N244" s="12" t="s">
        <v>1510</v>
      </c>
      <c r="O244" s="5" t="s">
        <v>1152</v>
      </c>
      <c r="P244" s="12"/>
    </row>
    <row r="245" customFormat="false" ht="23.85" hidden="false" customHeight="false" outlineLevel="0" collapsed="false">
      <c r="A245" s="12" t="n">
        <v>113</v>
      </c>
      <c r="B245" s="12" t="s">
        <v>1511</v>
      </c>
      <c r="C245" s="12" t="s">
        <v>949</v>
      </c>
      <c r="D245" s="12" t="s">
        <v>1298</v>
      </c>
      <c r="E245" s="12" t="n">
        <v>5</v>
      </c>
      <c r="F245" s="12" t="s">
        <v>379</v>
      </c>
      <c r="G245" s="12" t="s">
        <v>1512</v>
      </c>
      <c r="H245" s="12" t="s">
        <v>94</v>
      </c>
      <c r="I245" s="12" t="s">
        <v>339</v>
      </c>
      <c r="J245" s="12"/>
      <c r="K245" s="12"/>
      <c r="L245" s="5"/>
      <c r="M245" s="33" t="n">
        <f aca="false">SUMIFS('Existing vs Saran'!$I$5:$I$210,'Existing vs Saran'!$N$5:$N$210,A245)</f>
        <v>0</v>
      </c>
      <c r="N245" s="12" t="s">
        <v>1513</v>
      </c>
      <c r="O245" s="5" t="s">
        <v>1514</v>
      </c>
      <c r="P245" s="12"/>
    </row>
    <row r="246" customFormat="false" ht="23.85" hidden="false" customHeight="false" outlineLevel="0" collapsed="false">
      <c r="A246" s="12" t="n">
        <v>114</v>
      </c>
      <c r="B246" s="12" t="s">
        <v>1515</v>
      </c>
      <c r="C246" s="12" t="s">
        <v>949</v>
      </c>
      <c r="D246" s="12" t="s">
        <v>1298</v>
      </c>
      <c r="E246" s="12" t="n">
        <v>5</v>
      </c>
      <c r="F246" s="12" t="s">
        <v>379</v>
      </c>
      <c r="G246" s="12" t="s">
        <v>596</v>
      </c>
      <c r="H246" s="12" t="s">
        <v>94</v>
      </c>
      <c r="I246" s="12" t="s">
        <v>339</v>
      </c>
      <c r="J246" s="12"/>
      <c r="K246" s="12"/>
      <c r="L246" s="5"/>
      <c r="M246" s="33" t="n">
        <f aca="false">SUMIFS('Existing vs Saran'!$I$5:$I$210,'Existing vs Saran'!$N$5:$N$210,A246)</f>
        <v>0</v>
      </c>
      <c r="N246" s="12" t="s">
        <v>1516</v>
      </c>
      <c r="O246" s="5" t="s">
        <v>1517</v>
      </c>
      <c r="P246" s="12"/>
    </row>
    <row r="247" customFormat="false" ht="15" hidden="false" customHeight="false" outlineLevel="0" collapsed="false">
      <c r="A247" s="12" t="n">
        <v>214</v>
      </c>
      <c r="B247" s="12" t="s">
        <v>1518</v>
      </c>
      <c r="C247" s="12" t="s">
        <v>949</v>
      </c>
      <c r="D247" s="12" t="s">
        <v>1298</v>
      </c>
      <c r="E247" s="12" t="n">
        <v>4</v>
      </c>
      <c r="F247" s="12" t="s">
        <v>20</v>
      </c>
      <c r="G247" s="12" t="s">
        <v>707</v>
      </c>
      <c r="H247" s="12" t="s">
        <v>94</v>
      </c>
      <c r="I247" s="12" t="s">
        <v>339</v>
      </c>
      <c r="J247" s="12"/>
      <c r="K247" s="12"/>
      <c r="L247" s="5"/>
      <c r="M247" s="33" t="n">
        <f aca="false">SUMIFS('Existing vs Saran'!$I$5:$I$210,'Existing vs Saran'!$N$5:$N$210,A247)</f>
        <v>0</v>
      </c>
      <c r="N247" s="12" t="s">
        <v>1519</v>
      </c>
      <c r="O247" s="5" t="s">
        <v>1059</v>
      </c>
      <c r="P247" s="12"/>
    </row>
    <row r="248" customFormat="false" ht="15" hidden="false" customHeight="false" outlineLevel="0" collapsed="false">
      <c r="A248" s="12" t="n">
        <v>350</v>
      </c>
      <c r="B248" s="12" t="s">
        <v>1520</v>
      </c>
      <c r="C248" s="12" t="s">
        <v>949</v>
      </c>
      <c r="D248" s="12" t="s">
        <v>1298</v>
      </c>
      <c r="E248" s="12" t="n">
        <v>5</v>
      </c>
      <c r="F248" s="12" t="s">
        <v>797</v>
      </c>
      <c r="G248" s="12" t="s">
        <v>995</v>
      </c>
      <c r="H248" s="12" t="s">
        <v>94</v>
      </c>
      <c r="I248" s="12" t="s">
        <v>339</v>
      </c>
      <c r="J248" s="12"/>
      <c r="K248" s="12"/>
      <c r="L248" s="5"/>
      <c r="M248" s="33" t="n">
        <f aca="false">SUMIFS('Existing vs Saran'!$I$5:$I$210,'Existing vs Saran'!$N$5:$N$210,A248)</f>
        <v>0</v>
      </c>
      <c r="N248" s="12" t="s">
        <v>1521</v>
      </c>
      <c r="O248" s="5" t="s">
        <v>956</v>
      </c>
      <c r="P248" s="12"/>
    </row>
    <row r="249" customFormat="false" ht="15" hidden="false" customHeight="false" outlineLevel="0" collapsed="false">
      <c r="A249" s="12" t="n">
        <v>351</v>
      </c>
      <c r="B249" s="12" t="s">
        <v>1522</v>
      </c>
      <c r="C249" s="12" t="s">
        <v>949</v>
      </c>
      <c r="D249" s="12" t="s">
        <v>1298</v>
      </c>
      <c r="E249" s="12" t="n">
        <v>5</v>
      </c>
      <c r="F249" s="12" t="s">
        <v>797</v>
      </c>
      <c r="G249" s="12" t="s">
        <v>798</v>
      </c>
      <c r="H249" s="12" t="s">
        <v>94</v>
      </c>
      <c r="I249" s="12" t="s">
        <v>339</v>
      </c>
      <c r="J249" s="12"/>
      <c r="K249" s="12"/>
      <c r="L249" s="5"/>
      <c r="M249" s="33" t="n">
        <f aca="false">SUMIFS('Existing vs Saran'!$I$5:$I$210,'Existing vs Saran'!$N$5:$N$210,A249)</f>
        <v>0</v>
      </c>
      <c r="N249" s="12" t="s">
        <v>1523</v>
      </c>
      <c r="O249" s="5" t="s">
        <v>956</v>
      </c>
      <c r="P249" s="12"/>
    </row>
    <row r="250" customFormat="false" ht="23.85" hidden="false" customHeight="false" outlineLevel="0" collapsed="false">
      <c r="A250" s="12" t="n">
        <v>139</v>
      </c>
      <c r="B250" s="12" t="s">
        <v>1524</v>
      </c>
      <c r="C250" s="12" t="s">
        <v>949</v>
      </c>
      <c r="D250" s="12" t="s">
        <v>1298</v>
      </c>
      <c r="E250" s="12" t="n">
        <v>5</v>
      </c>
      <c r="F250" s="12" t="s">
        <v>904</v>
      </c>
      <c r="G250" s="12" t="s">
        <v>1203</v>
      </c>
      <c r="H250" s="12" t="s">
        <v>94</v>
      </c>
      <c r="I250" s="12" t="s">
        <v>339</v>
      </c>
      <c r="J250" s="12"/>
      <c r="K250" s="12"/>
      <c r="L250" s="5"/>
      <c r="M250" s="33" t="n">
        <f aca="false">SUMIFS('Existing vs Saran'!$I$5:$I$210,'Existing vs Saran'!$N$5:$N$210,A250)</f>
        <v>0</v>
      </c>
      <c r="N250" s="12" t="s">
        <v>1525</v>
      </c>
      <c r="O250" s="5" t="s">
        <v>1122</v>
      </c>
      <c r="P250" s="12"/>
    </row>
    <row r="251" customFormat="false" ht="23.85" hidden="false" customHeight="false" outlineLevel="0" collapsed="false">
      <c r="A251" s="12" t="n">
        <v>154</v>
      </c>
      <c r="B251" s="12" t="s">
        <v>1526</v>
      </c>
      <c r="C251" s="12" t="s">
        <v>949</v>
      </c>
      <c r="D251" s="12" t="s">
        <v>1298</v>
      </c>
      <c r="E251" s="12" t="n">
        <v>4</v>
      </c>
      <c r="F251" s="12" t="s">
        <v>905</v>
      </c>
      <c r="G251" s="12" t="s">
        <v>1169</v>
      </c>
      <c r="H251" s="12" t="s">
        <v>94</v>
      </c>
      <c r="I251" s="12" t="s">
        <v>339</v>
      </c>
      <c r="J251" s="12"/>
      <c r="K251" s="12"/>
      <c r="L251" s="5"/>
      <c r="M251" s="33" t="n">
        <f aca="false">SUMIFS('Existing vs Saran'!$I$5:$I$210,'Existing vs Saran'!$N$5:$N$210,A251)</f>
        <v>0</v>
      </c>
      <c r="N251" s="12" t="s">
        <v>1527</v>
      </c>
      <c r="O251" s="5" t="s">
        <v>1528</v>
      </c>
      <c r="P251" s="12"/>
    </row>
    <row r="252" customFormat="false" ht="15" hidden="false" customHeight="false" outlineLevel="0" collapsed="false">
      <c r="A252" s="12" t="n">
        <v>398</v>
      </c>
      <c r="B252" s="12" t="s">
        <v>1529</v>
      </c>
      <c r="C252" s="12" t="s">
        <v>949</v>
      </c>
      <c r="D252" s="12" t="s">
        <v>1298</v>
      </c>
      <c r="E252" s="12" t="n">
        <v>5</v>
      </c>
      <c r="F252" s="12" t="s">
        <v>917</v>
      </c>
      <c r="G252" s="12" t="s">
        <v>1004</v>
      </c>
      <c r="H252" s="12" t="s">
        <v>94</v>
      </c>
      <c r="I252" s="12" t="s">
        <v>339</v>
      </c>
      <c r="J252" s="12"/>
      <c r="K252" s="12"/>
      <c r="L252" s="5"/>
      <c r="M252" s="33" t="n">
        <f aca="false">SUMIFS('Existing vs Saran'!$I$5:$I$210,'Existing vs Saran'!$N$5:$N$210,A252)</f>
        <v>0</v>
      </c>
      <c r="N252" s="12" t="s">
        <v>1530</v>
      </c>
      <c r="O252" s="5" t="s">
        <v>1531</v>
      </c>
      <c r="P252" s="12"/>
    </row>
    <row r="253" customFormat="false" ht="15" hidden="false" customHeight="false" outlineLevel="0" collapsed="false">
      <c r="A253" s="12" t="n">
        <v>353</v>
      </c>
      <c r="B253" s="12" t="s">
        <v>1532</v>
      </c>
      <c r="C253" s="12" t="s">
        <v>949</v>
      </c>
      <c r="D253" s="12" t="s">
        <v>1298</v>
      </c>
      <c r="E253" s="12" t="n">
        <v>5</v>
      </c>
      <c r="F253" s="12" t="s">
        <v>797</v>
      </c>
      <c r="G253" s="12" t="s">
        <v>995</v>
      </c>
      <c r="H253" s="12" t="s">
        <v>85</v>
      </c>
      <c r="I253" s="12" t="s">
        <v>339</v>
      </c>
      <c r="J253" s="12"/>
      <c r="K253" s="12"/>
      <c r="L253" s="5"/>
      <c r="M253" s="33" t="n">
        <f aca="false">SUMIFS('Existing vs Saran'!$I$5:$I$210,'Existing vs Saran'!$N$5:$N$210,A253)</f>
        <v>0</v>
      </c>
      <c r="N253" s="12" t="s">
        <v>1533</v>
      </c>
      <c r="O253" s="5" t="s">
        <v>956</v>
      </c>
      <c r="P253" s="12"/>
    </row>
    <row r="254" customFormat="false" ht="15" hidden="false" customHeight="false" outlineLevel="0" collapsed="false">
      <c r="A254" s="12" t="n">
        <v>155</v>
      </c>
      <c r="B254" s="12" t="s">
        <v>1534</v>
      </c>
      <c r="C254" s="12" t="s">
        <v>949</v>
      </c>
      <c r="D254" s="12" t="s">
        <v>1298</v>
      </c>
      <c r="E254" s="12" t="n">
        <v>5</v>
      </c>
      <c r="F254" s="12" t="s">
        <v>905</v>
      </c>
      <c r="G254" s="12" t="s">
        <v>1430</v>
      </c>
      <c r="H254" s="12" t="s">
        <v>94</v>
      </c>
      <c r="I254" s="12" t="s">
        <v>339</v>
      </c>
      <c r="J254" s="12"/>
      <c r="K254" s="12"/>
      <c r="L254" s="5"/>
      <c r="M254" s="33" t="n">
        <f aca="false">SUMIFS('Existing vs Saran'!$I$5:$I$210,'Existing vs Saran'!$N$5:$N$210,A254)</f>
        <v>0</v>
      </c>
      <c r="N254" s="12" t="s">
        <v>1535</v>
      </c>
      <c r="O254" s="5" t="s">
        <v>954</v>
      </c>
      <c r="P254" s="12"/>
    </row>
    <row r="255" customFormat="false" ht="15" hidden="false" customHeight="false" outlineLevel="0" collapsed="false">
      <c r="A255" s="12" t="n">
        <v>58</v>
      </c>
      <c r="B255" s="12" t="s">
        <v>1536</v>
      </c>
      <c r="C255" s="12" t="s">
        <v>949</v>
      </c>
      <c r="D255" s="12" t="s">
        <v>1298</v>
      </c>
      <c r="E255" s="12" t="n">
        <v>5</v>
      </c>
      <c r="F255" s="12" t="s">
        <v>548</v>
      </c>
      <c r="G255" s="12" t="s">
        <v>1134</v>
      </c>
      <c r="H255" s="12" t="s">
        <v>94</v>
      </c>
      <c r="I255" s="12" t="s">
        <v>339</v>
      </c>
      <c r="J255" s="12"/>
      <c r="K255" s="12"/>
      <c r="L255" s="5"/>
      <c r="M255" s="33" t="n">
        <f aca="false">SUMIFS('Existing vs Saran'!$I$5:$I$210,'Existing vs Saran'!$N$5:$N$210,A255)</f>
        <v>0</v>
      </c>
      <c r="N255" s="12" t="s">
        <v>1537</v>
      </c>
      <c r="O255" s="5" t="s">
        <v>956</v>
      </c>
      <c r="P255" s="12"/>
    </row>
    <row r="256" customFormat="false" ht="15" hidden="false" customHeight="false" outlineLevel="0" collapsed="false">
      <c r="A256" s="12" t="n">
        <v>354</v>
      </c>
      <c r="B256" s="12" t="s">
        <v>1538</v>
      </c>
      <c r="C256" s="12" t="s">
        <v>949</v>
      </c>
      <c r="D256" s="12" t="s">
        <v>1298</v>
      </c>
      <c r="E256" s="12" t="n">
        <v>5</v>
      </c>
      <c r="F256" s="12" t="s">
        <v>797</v>
      </c>
      <c r="G256" s="12" t="s">
        <v>995</v>
      </c>
      <c r="H256" s="12" t="s">
        <v>94</v>
      </c>
      <c r="I256" s="12" t="s">
        <v>339</v>
      </c>
      <c r="J256" s="12"/>
      <c r="K256" s="12"/>
      <c r="L256" s="5"/>
      <c r="M256" s="33" t="n">
        <f aca="false">SUMIFS('Existing vs Saran'!$I$5:$I$210,'Existing vs Saran'!$N$5:$N$210,A256)</f>
        <v>0</v>
      </c>
      <c r="N256" s="12" t="s">
        <v>1539</v>
      </c>
      <c r="O256" s="5" t="s">
        <v>956</v>
      </c>
      <c r="P256" s="12"/>
    </row>
    <row r="257" customFormat="false" ht="15" hidden="false" customHeight="false" outlineLevel="0" collapsed="false">
      <c r="A257" s="12" t="n">
        <v>399</v>
      </c>
      <c r="B257" s="12" t="s">
        <v>1540</v>
      </c>
      <c r="C257" s="12" t="s">
        <v>949</v>
      </c>
      <c r="D257" s="12" t="s">
        <v>1298</v>
      </c>
      <c r="E257" s="12" t="n">
        <v>5</v>
      </c>
      <c r="F257" s="12" t="s">
        <v>917</v>
      </c>
      <c r="G257" s="12" t="s">
        <v>1322</v>
      </c>
      <c r="H257" s="12" t="s">
        <v>94</v>
      </c>
      <c r="I257" s="12" t="s">
        <v>339</v>
      </c>
      <c r="J257" s="12"/>
      <c r="K257" s="12"/>
      <c r="L257" s="5"/>
      <c r="M257" s="33" t="n">
        <f aca="false">SUMIFS('Existing vs Saran'!$I$5:$I$210,'Existing vs Saran'!$N$5:$N$210,A257)</f>
        <v>0</v>
      </c>
      <c r="N257" s="12" t="s">
        <v>1541</v>
      </c>
      <c r="O257" s="5" t="s">
        <v>954</v>
      </c>
      <c r="P257" s="12"/>
    </row>
    <row r="258" customFormat="false" ht="23.85" hidden="false" customHeight="false" outlineLevel="0" collapsed="false">
      <c r="A258" s="12" t="n">
        <v>369</v>
      </c>
      <c r="B258" s="12" t="s">
        <v>1542</v>
      </c>
      <c r="C258" s="12" t="s">
        <v>949</v>
      </c>
      <c r="D258" s="12" t="s">
        <v>1298</v>
      </c>
      <c r="E258" s="12" t="n">
        <v>5</v>
      </c>
      <c r="F258" s="12" t="s">
        <v>914</v>
      </c>
      <c r="G258" s="12" t="s">
        <v>1128</v>
      </c>
      <c r="H258" s="12" t="s">
        <v>94</v>
      </c>
      <c r="I258" s="12" t="s">
        <v>339</v>
      </c>
      <c r="J258" s="12"/>
      <c r="K258" s="12"/>
      <c r="L258" s="5"/>
      <c r="M258" s="33" t="n">
        <f aca="false">SUMIFS('Existing vs Saran'!$I$5:$I$210,'Existing vs Saran'!$N$5:$N$210,A258)</f>
        <v>0</v>
      </c>
      <c r="N258" s="12" t="s">
        <v>1543</v>
      </c>
      <c r="O258" s="5" t="s">
        <v>1122</v>
      </c>
      <c r="P258" s="12"/>
    </row>
    <row r="259" customFormat="false" ht="23.85" hidden="false" customHeight="false" outlineLevel="0" collapsed="false">
      <c r="A259" s="12" t="n">
        <v>292</v>
      </c>
      <c r="B259" s="12" t="s">
        <v>1544</v>
      </c>
      <c r="C259" s="12" t="s">
        <v>949</v>
      </c>
      <c r="D259" s="12" t="s">
        <v>1298</v>
      </c>
      <c r="E259" s="12" t="n">
        <v>4</v>
      </c>
      <c r="F259" s="12" t="s">
        <v>351</v>
      </c>
      <c r="G259" s="12" t="s">
        <v>1113</v>
      </c>
      <c r="H259" s="12" t="s">
        <v>94</v>
      </c>
      <c r="I259" s="12" t="s">
        <v>339</v>
      </c>
      <c r="J259" s="12"/>
      <c r="K259" s="12"/>
      <c r="L259" s="5"/>
      <c r="M259" s="33" t="n">
        <f aca="false">SUMIFS('Existing vs Saran'!$I$5:$I$210,'Existing vs Saran'!$N$5:$N$210,A259)</f>
        <v>0</v>
      </c>
      <c r="N259" s="12" t="s">
        <v>1545</v>
      </c>
      <c r="O259" s="5" t="s">
        <v>1152</v>
      </c>
      <c r="P259" s="12"/>
    </row>
    <row r="260" customFormat="false" ht="23.85" hidden="false" customHeight="false" outlineLevel="0" collapsed="false">
      <c r="A260" s="12" t="n">
        <v>377</v>
      </c>
      <c r="B260" s="12" t="s">
        <v>1546</v>
      </c>
      <c r="C260" s="12" t="s">
        <v>949</v>
      </c>
      <c r="D260" s="12" t="s">
        <v>1298</v>
      </c>
      <c r="E260" s="12" t="n">
        <v>5</v>
      </c>
      <c r="F260" s="12" t="s">
        <v>916</v>
      </c>
      <c r="G260" s="12" t="s">
        <v>1547</v>
      </c>
      <c r="H260" s="12" t="s">
        <v>94</v>
      </c>
      <c r="I260" s="12" t="s">
        <v>339</v>
      </c>
      <c r="J260" s="12"/>
      <c r="K260" s="12"/>
      <c r="L260" s="5"/>
      <c r="M260" s="33" t="n">
        <f aca="false">SUMIFS('Existing vs Saran'!$I$5:$I$210,'Existing vs Saran'!$N$5:$N$210,A260)</f>
        <v>0</v>
      </c>
      <c r="N260" s="12" t="s">
        <v>1548</v>
      </c>
      <c r="O260" s="5" t="s">
        <v>1122</v>
      </c>
      <c r="P260" s="12"/>
    </row>
    <row r="261" customFormat="false" ht="15" hidden="false" customHeight="false" outlineLevel="0" collapsed="false">
      <c r="A261" s="12" t="n">
        <v>222</v>
      </c>
      <c r="B261" s="12" t="s">
        <v>1549</v>
      </c>
      <c r="C261" s="12" t="s">
        <v>949</v>
      </c>
      <c r="D261" s="12" t="s">
        <v>1298</v>
      </c>
      <c r="E261" s="12" t="n">
        <v>5</v>
      </c>
      <c r="F261" s="12" t="s">
        <v>20</v>
      </c>
      <c r="G261" s="12" t="s">
        <v>687</v>
      </c>
      <c r="H261" s="12" t="s">
        <v>94</v>
      </c>
      <c r="I261" s="12" t="s">
        <v>339</v>
      </c>
      <c r="J261" s="12"/>
      <c r="K261" s="12"/>
      <c r="L261" s="5"/>
      <c r="M261" s="33" t="n">
        <f aca="false">SUMIFS('Existing vs Saran'!$I$5:$I$210,'Existing vs Saran'!$N$5:$N$210,A261)</f>
        <v>0</v>
      </c>
      <c r="N261" s="12" t="s">
        <v>1550</v>
      </c>
      <c r="O261" s="5" t="s">
        <v>1410</v>
      </c>
      <c r="P261" s="12"/>
    </row>
    <row r="262" customFormat="false" ht="23.85" hidden="false" customHeight="false" outlineLevel="0" collapsed="false">
      <c r="A262" s="12" t="n">
        <v>294</v>
      </c>
      <c r="B262" s="12" t="s">
        <v>1551</v>
      </c>
      <c r="C262" s="12" t="s">
        <v>949</v>
      </c>
      <c r="D262" s="12" t="s">
        <v>1298</v>
      </c>
      <c r="E262" s="12" t="n">
        <v>4</v>
      </c>
      <c r="F262" s="12" t="s">
        <v>351</v>
      </c>
      <c r="G262" s="12" t="s">
        <v>1113</v>
      </c>
      <c r="H262" s="12" t="s">
        <v>85</v>
      </c>
      <c r="I262" s="12" t="s">
        <v>339</v>
      </c>
      <c r="J262" s="12"/>
      <c r="K262" s="12"/>
      <c r="L262" s="5"/>
      <c r="M262" s="33" t="n">
        <f aca="false">SUMIFS('Existing vs Saran'!$I$5:$I$210,'Existing vs Saran'!$N$5:$N$210,A262)</f>
        <v>0</v>
      </c>
      <c r="N262" s="12" t="s">
        <v>1552</v>
      </c>
      <c r="O262" s="5" t="s">
        <v>1553</v>
      </c>
      <c r="P262" s="12"/>
    </row>
    <row r="263" customFormat="false" ht="15" hidden="false" customHeight="false" outlineLevel="0" collapsed="false">
      <c r="A263" s="12" t="n">
        <v>225</v>
      </c>
      <c r="B263" s="12" t="s">
        <v>1554</v>
      </c>
      <c r="C263" s="12" t="s">
        <v>949</v>
      </c>
      <c r="D263" s="12" t="s">
        <v>1298</v>
      </c>
      <c r="E263" s="12" t="n">
        <v>5</v>
      </c>
      <c r="F263" s="12" t="s">
        <v>20</v>
      </c>
      <c r="G263" s="12" t="s">
        <v>1058</v>
      </c>
      <c r="H263" s="12" t="s">
        <v>94</v>
      </c>
      <c r="I263" s="12" t="s">
        <v>339</v>
      </c>
      <c r="J263" s="12"/>
      <c r="K263" s="12"/>
      <c r="L263" s="5"/>
      <c r="M263" s="33" t="n">
        <f aca="false">SUMIFS('Existing vs Saran'!$I$5:$I$210,'Existing vs Saran'!$N$5:$N$210,A263)</f>
        <v>0</v>
      </c>
      <c r="N263" s="12" t="s">
        <v>1555</v>
      </c>
      <c r="O263" s="5" t="s">
        <v>954</v>
      </c>
      <c r="P263" s="12"/>
    </row>
    <row r="264" customFormat="false" ht="15" hidden="false" customHeight="false" outlineLevel="0" collapsed="false">
      <c r="A264" s="12" t="n">
        <v>226</v>
      </c>
      <c r="B264" s="12" t="s">
        <v>1556</v>
      </c>
      <c r="C264" s="12" t="s">
        <v>949</v>
      </c>
      <c r="D264" s="12" t="s">
        <v>1298</v>
      </c>
      <c r="E264" s="12" t="n">
        <v>5</v>
      </c>
      <c r="F264" s="12" t="s">
        <v>20</v>
      </c>
      <c r="G264" s="12" t="s">
        <v>707</v>
      </c>
      <c r="H264" s="12" t="s">
        <v>94</v>
      </c>
      <c r="I264" s="12" t="s">
        <v>339</v>
      </c>
      <c r="J264" s="12"/>
      <c r="K264" s="12"/>
      <c r="L264" s="5"/>
      <c r="M264" s="33" t="n">
        <f aca="false">SUMIFS('Existing vs Saran'!$I$5:$I$210,'Existing vs Saran'!$N$5:$N$210,A264)</f>
        <v>0</v>
      </c>
      <c r="N264" s="12" t="s">
        <v>1557</v>
      </c>
      <c r="O264" s="5" t="s">
        <v>1558</v>
      </c>
      <c r="P264" s="12"/>
    </row>
    <row r="265" customFormat="false" ht="15" hidden="false" customHeight="false" outlineLevel="0" collapsed="false">
      <c r="A265" s="12" t="n">
        <v>295</v>
      </c>
      <c r="B265" s="12" t="s">
        <v>1559</v>
      </c>
      <c r="C265" s="12" t="s">
        <v>949</v>
      </c>
      <c r="D265" s="12" t="s">
        <v>1298</v>
      </c>
      <c r="E265" s="12" t="n">
        <v>4</v>
      </c>
      <c r="F265" s="12" t="s">
        <v>351</v>
      </c>
      <c r="G265" s="12" t="s">
        <v>1113</v>
      </c>
      <c r="H265" s="12" t="s">
        <v>94</v>
      </c>
      <c r="I265" s="12" t="s">
        <v>339</v>
      </c>
      <c r="J265" s="12"/>
      <c r="K265" s="12"/>
      <c r="L265" s="5"/>
      <c r="M265" s="33" t="n">
        <f aca="false">SUMIFS('Existing vs Saran'!$I$5:$I$210,'Existing vs Saran'!$N$5:$N$210,A265)</f>
        <v>0</v>
      </c>
      <c r="N265" s="12" t="s">
        <v>1560</v>
      </c>
      <c r="O265" s="5" t="s">
        <v>1012</v>
      </c>
      <c r="P265" s="12"/>
    </row>
    <row r="266" customFormat="false" ht="15" hidden="false" customHeight="false" outlineLevel="0" collapsed="false">
      <c r="A266" s="12" t="n">
        <v>120</v>
      </c>
      <c r="B266" s="12" t="s">
        <v>1561</v>
      </c>
      <c r="C266" s="12" t="s">
        <v>949</v>
      </c>
      <c r="D266" s="12" t="s">
        <v>1298</v>
      </c>
      <c r="E266" s="12" t="n">
        <v>4</v>
      </c>
      <c r="F266" s="12" t="s">
        <v>379</v>
      </c>
      <c r="G266" s="12" t="s">
        <v>571</v>
      </c>
      <c r="H266" s="12" t="s">
        <v>106</v>
      </c>
      <c r="I266" s="12" t="s">
        <v>339</v>
      </c>
      <c r="J266" s="12"/>
      <c r="K266" s="12"/>
      <c r="L266" s="5"/>
      <c r="M266" s="33" t="n">
        <f aca="false">SUMIFS('Existing vs Saran'!$I$5:$I$210,'Existing vs Saran'!$N$5:$N$210,A266)</f>
        <v>0</v>
      </c>
      <c r="N266" s="12" t="s">
        <v>1562</v>
      </c>
      <c r="O266" s="5" t="s">
        <v>1563</v>
      </c>
      <c r="P266" s="12"/>
    </row>
    <row r="267" customFormat="false" ht="15" hidden="false" customHeight="false" outlineLevel="0" collapsed="false">
      <c r="A267" s="12" t="n">
        <v>59</v>
      </c>
      <c r="B267" s="12" t="s">
        <v>1564</v>
      </c>
      <c r="C267" s="12" t="s">
        <v>949</v>
      </c>
      <c r="D267" s="12" t="s">
        <v>1298</v>
      </c>
      <c r="E267" s="12" t="n">
        <v>5</v>
      </c>
      <c r="F267" s="12" t="s">
        <v>548</v>
      </c>
      <c r="G267" s="12" t="s">
        <v>1134</v>
      </c>
      <c r="H267" s="12" t="s">
        <v>94</v>
      </c>
      <c r="I267" s="12" t="s">
        <v>339</v>
      </c>
      <c r="J267" s="12"/>
      <c r="K267" s="12"/>
      <c r="L267" s="5"/>
      <c r="M267" s="33" t="n">
        <f aca="false">SUMIFS('Existing vs Saran'!$I$5:$I$210,'Existing vs Saran'!$N$5:$N$210,A267)</f>
        <v>0</v>
      </c>
      <c r="N267" s="12" t="s">
        <v>1565</v>
      </c>
      <c r="O267" s="5" t="s">
        <v>956</v>
      </c>
      <c r="P267" s="12"/>
    </row>
    <row r="268" customFormat="false" ht="15" hidden="false" customHeight="false" outlineLevel="0" collapsed="false">
      <c r="A268" s="12" t="n">
        <v>327</v>
      </c>
      <c r="B268" s="12" t="s">
        <v>1566</v>
      </c>
      <c r="C268" s="12" t="s">
        <v>949</v>
      </c>
      <c r="D268" s="12" t="s">
        <v>1298</v>
      </c>
      <c r="E268" s="12" t="n">
        <v>4</v>
      </c>
      <c r="F268" s="12" t="s">
        <v>356</v>
      </c>
      <c r="G268" s="12" t="s">
        <v>1143</v>
      </c>
      <c r="H268" s="12" t="s">
        <v>94</v>
      </c>
      <c r="I268" s="12" t="s">
        <v>339</v>
      </c>
      <c r="J268" s="12"/>
      <c r="K268" s="12"/>
      <c r="L268" s="5"/>
      <c r="M268" s="33" t="n">
        <f aca="false">SUMIFS('Existing vs Saran'!$I$5:$I$210,'Existing vs Saran'!$N$5:$N$210,A268)</f>
        <v>0</v>
      </c>
      <c r="N268" s="12" t="s">
        <v>1567</v>
      </c>
      <c r="O268" s="5" t="s">
        <v>1568</v>
      </c>
      <c r="P268" s="12"/>
    </row>
    <row r="269" customFormat="false" ht="35.05" hidden="false" customHeight="false" outlineLevel="0" collapsed="false">
      <c r="A269" s="12" t="n">
        <v>121</v>
      </c>
      <c r="B269" s="12" t="s">
        <v>1569</v>
      </c>
      <c r="C269" s="12" t="s">
        <v>949</v>
      </c>
      <c r="D269" s="12" t="s">
        <v>1298</v>
      </c>
      <c r="E269" s="12" t="n">
        <v>4</v>
      </c>
      <c r="F269" s="12" t="s">
        <v>379</v>
      </c>
      <c r="G269" s="12" t="s">
        <v>585</v>
      </c>
      <c r="H269" s="12" t="s">
        <v>94</v>
      </c>
      <c r="I269" s="12" t="s">
        <v>339</v>
      </c>
      <c r="J269" s="12"/>
      <c r="K269" s="12"/>
      <c r="L269" s="5"/>
      <c r="M269" s="33" t="n">
        <f aca="false">SUMIFS('Existing vs Saran'!$I$5:$I$210,'Existing vs Saran'!$N$5:$N$210,A269)</f>
        <v>0</v>
      </c>
      <c r="N269" s="12" t="s">
        <v>1570</v>
      </c>
      <c r="O269" s="5" t="s">
        <v>1571</v>
      </c>
      <c r="P269" s="12"/>
    </row>
    <row r="270" customFormat="false" ht="15" hidden="false" customHeight="false" outlineLevel="0" collapsed="false">
      <c r="A270" s="12" t="n">
        <v>296</v>
      </c>
      <c r="B270" s="12" t="s">
        <v>1572</v>
      </c>
      <c r="C270" s="12" t="s">
        <v>949</v>
      </c>
      <c r="D270" s="12" t="s">
        <v>1298</v>
      </c>
      <c r="E270" s="12" t="n">
        <v>4</v>
      </c>
      <c r="F270" s="12" t="s">
        <v>351</v>
      </c>
      <c r="G270" s="12" t="s">
        <v>1113</v>
      </c>
      <c r="H270" s="12" t="s">
        <v>85</v>
      </c>
      <c r="I270" s="12" t="s">
        <v>339</v>
      </c>
      <c r="J270" s="12"/>
      <c r="K270" s="12"/>
      <c r="L270" s="5"/>
      <c r="M270" s="33" t="n">
        <f aca="false">SUMIFS('Existing vs Saran'!$I$5:$I$210,'Existing vs Saran'!$N$5:$N$210,A270)</f>
        <v>0</v>
      </c>
      <c r="N270" s="12" t="s">
        <v>1573</v>
      </c>
      <c r="O270" s="5" t="s">
        <v>1012</v>
      </c>
      <c r="P270" s="12"/>
    </row>
    <row r="271" customFormat="false" ht="23.85" hidden="false" customHeight="false" outlineLevel="0" collapsed="false">
      <c r="A271" s="12" t="n">
        <v>141</v>
      </c>
      <c r="B271" s="12" t="s">
        <v>1574</v>
      </c>
      <c r="C271" s="12" t="s">
        <v>949</v>
      </c>
      <c r="D271" s="12" t="s">
        <v>1298</v>
      </c>
      <c r="E271" s="12" t="n">
        <v>5</v>
      </c>
      <c r="F271" s="12" t="s">
        <v>904</v>
      </c>
      <c r="G271" s="12" t="s">
        <v>1120</v>
      </c>
      <c r="H271" s="12" t="s">
        <v>94</v>
      </c>
      <c r="I271" s="12" t="s">
        <v>339</v>
      </c>
      <c r="J271" s="12"/>
      <c r="K271" s="12"/>
      <c r="L271" s="5"/>
      <c r="M271" s="33" t="n">
        <f aca="false">SUMIFS('Existing vs Saran'!$I$5:$I$210,'Existing vs Saran'!$N$5:$N$210,A271)</f>
        <v>0</v>
      </c>
      <c r="N271" s="12"/>
      <c r="O271" s="5" t="s">
        <v>1122</v>
      </c>
      <c r="P271" s="12"/>
    </row>
    <row r="272" customFormat="false" ht="23.85" hidden="false" customHeight="false" outlineLevel="0" collapsed="false">
      <c r="A272" s="12" t="n">
        <v>443</v>
      </c>
      <c r="B272" s="12" t="s">
        <v>1575</v>
      </c>
      <c r="C272" s="12" t="s">
        <v>949</v>
      </c>
      <c r="D272" s="12" t="s">
        <v>1298</v>
      </c>
      <c r="E272" s="12" t="n">
        <v>4</v>
      </c>
      <c r="F272" s="12" t="s">
        <v>22</v>
      </c>
      <c r="G272" s="12" t="s">
        <v>810</v>
      </c>
      <c r="H272" s="12" t="s">
        <v>94</v>
      </c>
      <c r="I272" s="12" t="s">
        <v>339</v>
      </c>
      <c r="J272" s="12"/>
      <c r="K272" s="12"/>
      <c r="L272" s="5"/>
      <c r="M272" s="33" t="n">
        <f aca="false">SUMIFS('Existing vs Saran'!$I$5:$I$210,'Existing vs Saran'!$N$5:$N$210,A272)</f>
        <v>0</v>
      </c>
      <c r="N272" s="12" t="s">
        <v>1576</v>
      </c>
      <c r="O272" s="5" t="s">
        <v>1016</v>
      </c>
      <c r="P272" s="12"/>
    </row>
    <row r="273" customFormat="false" ht="15" hidden="false" customHeight="false" outlineLevel="0" collapsed="false">
      <c r="A273" s="12" t="n">
        <v>62</v>
      </c>
      <c r="B273" s="12" t="s">
        <v>1577</v>
      </c>
      <c r="C273" s="12" t="s">
        <v>949</v>
      </c>
      <c r="D273" s="12" t="s">
        <v>1298</v>
      </c>
      <c r="E273" s="12" t="n">
        <v>4</v>
      </c>
      <c r="F273" s="12" t="s">
        <v>548</v>
      </c>
      <c r="G273" s="12" t="s">
        <v>1134</v>
      </c>
      <c r="H273" s="12" t="s">
        <v>94</v>
      </c>
      <c r="I273" s="12" t="s">
        <v>339</v>
      </c>
      <c r="J273" s="12"/>
      <c r="K273" s="12"/>
      <c r="L273" s="5"/>
      <c r="M273" s="33" t="n">
        <f aca="false">SUMIFS('Existing vs Saran'!$I$5:$I$210,'Existing vs Saran'!$N$5:$N$210,A273)</f>
        <v>0</v>
      </c>
      <c r="N273" s="12" t="s">
        <v>1578</v>
      </c>
      <c r="O273" s="5" t="s">
        <v>956</v>
      </c>
      <c r="P273" s="12"/>
    </row>
    <row r="274" customFormat="false" ht="15" hidden="false" customHeight="false" outlineLevel="0" collapsed="false">
      <c r="A274" s="12" t="n">
        <v>37</v>
      </c>
      <c r="B274" s="12" t="s">
        <v>1579</v>
      </c>
      <c r="C274" s="12" t="s">
        <v>949</v>
      </c>
      <c r="D274" s="12" t="s">
        <v>1298</v>
      </c>
      <c r="E274" s="12" t="n">
        <v>5</v>
      </c>
      <c r="F274" s="12" t="s">
        <v>354</v>
      </c>
      <c r="G274" s="12" t="s">
        <v>997</v>
      </c>
      <c r="H274" s="12" t="s">
        <v>94</v>
      </c>
      <c r="I274" s="12" t="s">
        <v>339</v>
      </c>
      <c r="J274" s="12"/>
      <c r="K274" s="12"/>
      <c r="L274" s="5"/>
      <c r="M274" s="33" t="n">
        <f aca="false">SUMIFS('Existing vs Saran'!$I$5:$I$210,'Existing vs Saran'!$N$5:$N$210,A274)</f>
        <v>0</v>
      </c>
      <c r="N274" s="12" t="s">
        <v>1580</v>
      </c>
      <c r="O274" s="5" t="s">
        <v>1581</v>
      </c>
      <c r="P274" s="12"/>
    </row>
    <row r="275" customFormat="false" ht="23.85" hidden="false" customHeight="false" outlineLevel="0" collapsed="false">
      <c r="A275" s="12" t="n">
        <v>329</v>
      </c>
      <c r="B275" s="12" t="s">
        <v>1582</v>
      </c>
      <c r="C275" s="12" t="s">
        <v>949</v>
      </c>
      <c r="D275" s="12" t="s">
        <v>1298</v>
      </c>
      <c r="E275" s="12" t="n">
        <v>4</v>
      </c>
      <c r="F275" s="12" t="s">
        <v>356</v>
      </c>
      <c r="G275" s="12" t="s">
        <v>1478</v>
      </c>
      <c r="H275" s="12" t="s">
        <v>94</v>
      </c>
      <c r="I275" s="12" t="s">
        <v>339</v>
      </c>
      <c r="J275" s="12"/>
      <c r="K275" s="12"/>
      <c r="L275" s="5"/>
      <c r="M275" s="33" t="n">
        <f aca="false">SUMIFS('Existing vs Saran'!$I$5:$I$210,'Existing vs Saran'!$N$5:$N$210,A275)</f>
        <v>0</v>
      </c>
      <c r="N275" s="12" t="s">
        <v>1583</v>
      </c>
      <c r="O275" s="5" t="s">
        <v>1584</v>
      </c>
      <c r="P275" s="12"/>
    </row>
    <row r="276" customFormat="false" ht="23.85" hidden="false" customHeight="false" outlineLevel="0" collapsed="false">
      <c r="A276" s="12" t="n">
        <v>445</v>
      </c>
      <c r="B276" s="12" t="s">
        <v>1585</v>
      </c>
      <c r="C276" s="12" t="s">
        <v>949</v>
      </c>
      <c r="D276" s="12" t="s">
        <v>1298</v>
      </c>
      <c r="E276" s="12" t="n">
        <v>4</v>
      </c>
      <c r="F276" s="12" t="s">
        <v>22</v>
      </c>
      <c r="G276" s="12" t="s">
        <v>195</v>
      </c>
      <c r="H276" s="12" t="s">
        <v>94</v>
      </c>
      <c r="I276" s="12" t="s">
        <v>339</v>
      </c>
      <c r="J276" s="12"/>
      <c r="K276" s="12"/>
      <c r="L276" s="5"/>
      <c r="M276" s="33" t="n">
        <f aca="false">SUMIFS('Existing vs Saran'!$I$5:$I$210,'Existing vs Saran'!$N$5:$N$210,A276)</f>
        <v>0</v>
      </c>
      <c r="N276" s="12" t="s">
        <v>1586</v>
      </c>
      <c r="O276" s="5" t="s">
        <v>1016</v>
      </c>
      <c r="P276" s="12"/>
    </row>
    <row r="277" customFormat="false" ht="23.85" hidden="false" customHeight="false" outlineLevel="0" collapsed="false">
      <c r="A277" s="12" t="n">
        <v>379</v>
      </c>
      <c r="B277" s="12" t="s">
        <v>1587</v>
      </c>
      <c r="C277" s="12" t="s">
        <v>949</v>
      </c>
      <c r="D277" s="12" t="s">
        <v>1298</v>
      </c>
      <c r="E277" s="12" t="n">
        <v>5</v>
      </c>
      <c r="F277" s="12" t="s">
        <v>916</v>
      </c>
      <c r="G277" s="12" t="s">
        <v>1547</v>
      </c>
      <c r="H277" s="12" t="s">
        <v>94</v>
      </c>
      <c r="I277" s="12" t="s">
        <v>339</v>
      </c>
      <c r="J277" s="12"/>
      <c r="K277" s="12"/>
      <c r="L277" s="5"/>
      <c r="M277" s="33" t="n">
        <f aca="false">SUMIFS('Existing vs Saran'!$I$5:$I$210,'Existing vs Saran'!$N$5:$N$210,A277)</f>
        <v>0</v>
      </c>
      <c r="N277" s="12" t="s">
        <v>1588</v>
      </c>
      <c r="O277" s="5" t="s">
        <v>1122</v>
      </c>
      <c r="P277" s="12"/>
    </row>
    <row r="278" customFormat="false" ht="15" hidden="false" customHeight="false" outlineLevel="0" collapsed="false">
      <c r="A278" s="12" t="n">
        <v>446</v>
      </c>
      <c r="B278" s="12" t="s">
        <v>1589</v>
      </c>
      <c r="C278" s="12" t="s">
        <v>949</v>
      </c>
      <c r="D278" s="12" t="s">
        <v>1298</v>
      </c>
      <c r="E278" s="12" t="n">
        <v>4</v>
      </c>
      <c r="F278" s="12" t="s">
        <v>22</v>
      </c>
      <c r="G278" s="12" t="s">
        <v>1044</v>
      </c>
      <c r="H278" s="12" t="s">
        <v>85</v>
      </c>
      <c r="I278" s="12" t="s">
        <v>339</v>
      </c>
      <c r="J278" s="12"/>
      <c r="K278" s="12"/>
      <c r="L278" s="5"/>
      <c r="M278" s="33" t="n">
        <f aca="false">SUMIFS('Existing vs Saran'!$I$5:$I$210,'Existing vs Saran'!$N$5:$N$210,A278)</f>
        <v>0</v>
      </c>
      <c r="N278" s="12" t="s">
        <v>1590</v>
      </c>
      <c r="O278" s="5" t="s">
        <v>986</v>
      </c>
      <c r="P278" s="12"/>
    </row>
    <row r="279" customFormat="false" ht="15" hidden="false" customHeight="false" outlineLevel="0" collapsed="false">
      <c r="A279" s="12" t="n">
        <v>124</v>
      </c>
      <c r="B279" s="12" t="s">
        <v>1591</v>
      </c>
      <c r="C279" s="12" t="s">
        <v>949</v>
      </c>
      <c r="D279" s="12" t="s">
        <v>1298</v>
      </c>
      <c r="E279" s="12" t="n">
        <v>4</v>
      </c>
      <c r="F279" s="12" t="s">
        <v>379</v>
      </c>
      <c r="G279" s="12" t="s">
        <v>571</v>
      </c>
      <c r="H279" s="12" t="s">
        <v>94</v>
      </c>
      <c r="I279" s="12" t="s">
        <v>339</v>
      </c>
      <c r="J279" s="12"/>
      <c r="K279" s="12"/>
      <c r="L279" s="5"/>
      <c r="M279" s="33" t="n">
        <f aca="false">SUMIFS('Existing vs Saran'!$I$5:$I$210,'Existing vs Saran'!$N$5:$N$210,A279)</f>
        <v>0</v>
      </c>
      <c r="N279" s="12" t="s">
        <v>1592</v>
      </c>
      <c r="O279" s="5" t="s">
        <v>1593</v>
      </c>
      <c r="P279" s="12"/>
    </row>
    <row r="280" customFormat="false" ht="23.85" hidden="false" customHeight="false" outlineLevel="0" collapsed="false">
      <c r="A280" s="12" t="n">
        <v>301</v>
      </c>
      <c r="B280" s="12" t="s">
        <v>1594</v>
      </c>
      <c r="C280" s="12" t="s">
        <v>949</v>
      </c>
      <c r="D280" s="12" t="s">
        <v>1298</v>
      </c>
      <c r="E280" s="12" t="n">
        <v>4</v>
      </c>
      <c r="F280" s="12" t="s">
        <v>351</v>
      </c>
      <c r="G280" s="12" t="s">
        <v>960</v>
      </c>
      <c r="H280" s="12" t="s">
        <v>94</v>
      </c>
      <c r="I280" s="12" t="s">
        <v>339</v>
      </c>
      <c r="J280" s="12"/>
      <c r="K280" s="12"/>
      <c r="L280" s="5"/>
      <c r="M280" s="33" t="n">
        <f aca="false">SUMIFS('Existing vs Saran'!$I$5:$I$210,'Existing vs Saran'!$N$5:$N$210,A280)</f>
        <v>0</v>
      </c>
      <c r="N280" s="12"/>
      <c r="O280" s="5" t="s">
        <v>1152</v>
      </c>
      <c r="P280" s="12"/>
    </row>
    <row r="281" customFormat="false" ht="15" hidden="false" customHeight="false" outlineLevel="0" collapsed="false">
      <c r="A281" s="12" t="n">
        <v>64</v>
      </c>
      <c r="B281" s="12" t="s">
        <v>1595</v>
      </c>
      <c r="C281" s="12" t="s">
        <v>949</v>
      </c>
      <c r="D281" s="12" t="s">
        <v>1298</v>
      </c>
      <c r="E281" s="12" t="n">
        <v>5</v>
      </c>
      <c r="F281" s="12" t="s">
        <v>548</v>
      </c>
      <c r="G281" s="12" t="s">
        <v>1134</v>
      </c>
      <c r="H281" s="12" t="s">
        <v>94</v>
      </c>
      <c r="I281" s="12" t="s">
        <v>339</v>
      </c>
      <c r="J281" s="12"/>
      <c r="K281" s="12"/>
      <c r="L281" s="5"/>
      <c r="M281" s="33" t="n">
        <f aca="false">SUMIFS('Existing vs Saran'!$I$5:$I$210,'Existing vs Saran'!$N$5:$N$210,A281)</f>
        <v>0</v>
      </c>
      <c r="N281" s="12" t="s">
        <v>1596</v>
      </c>
      <c r="O281" s="5" t="s">
        <v>956</v>
      </c>
      <c r="P281" s="12"/>
    </row>
    <row r="282" customFormat="false" ht="15" hidden="false" customHeight="false" outlineLevel="0" collapsed="false">
      <c r="A282" s="12" t="n">
        <v>358</v>
      </c>
      <c r="B282" s="12" t="s">
        <v>1597</v>
      </c>
      <c r="C282" s="12" t="s">
        <v>949</v>
      </c>
      <c r="D282" s="12" t="s">
        <v>1298</v>
      </c>
      <c r="E282" s="12" t="n">
        <v>5</v>
      </c>
      <c r="F282" s="12" t="s">
        <v>797</v>
      </c>
      <c r="G282" s="12" t="s">
        <v>995</v>
      </c>
      <c r="H282" s="12" t="s">
        <v>94</v>
      </c>
      <c r="I282" s="12" t="s">
        <v>339</v>
      </c>
      <c r="J282" s="12"/>
      <c r="K282" s="12"/>
      <c r="L282" s="5"/>
      <c r="M282" s="33" t="n">
        <f aca="false">SUMIFS('Existing vs Saran'!$I$5:$I$210,'Existing vs Saran'!$N$5:$N$210,A282)</f>
        <v>0</v>
      </c>
      <c r="N282" s="12" t="s">
        <v>1598</v>
      </c>
      <c r="O282" s="5" t="s">
        <v>956</v>
      </c>
      <c r="P282" s="12"/>
    </row>
    <row r="283" customFormat="false" ht="15" hidden="false" customHeight="false" outlineLevel="0" collapsed="false">
      <c r="A283" s="12" t="n">
        <v>39</v>
      </c>
      <c r="B283" s="12" t="s">
        <v>1599</v>
      </c>
      <c r="C283" s="12" t="s">
        <v>949</v>
      </c>
      <c r="D283" s="12" t="s">
        <v>1298</v>
      </c>
      <c r="E283" s="12" t="n">
        <v>4</v>
      </c>
      <c r="F283" s="12" t="s">
        <v>354</v>
      </c>
      <c r="G283" s="12" t="s">
        <v>997</v>
      </c>
      <c r="H283" s="12" t="s">
        <v>1211</v>
      </c>
      <c r="I283" s="12" t="s">
        <v>339</v>
      </c>
      <c r="J283" s="12"/>
      <c r="K283" s="12"/>
      <c r="L283" s="5"/>
      <c r="M283" s="33" t="n">
        <f aca="false">SUMIFS('Existing vs Saran'!$I$5:$I$210,'Existing vs Saran'!$N$5:$N$210,A283)</f>
        <v>0</v>
      </c>
      <c r="N283" s="12" t="s">
        <v>1600</v>
      </c>
      <c r="O283" s="5" t="s">
        <v>1601</v>
      </c>
      <c r="P283" s="12"/>
    </row>
    <row r="284" customFormat="false" ht="23.85" hidden="false" customHeight="false" outlineLevel="0" collapsed="false">
      <c r="A284" s="12" t="n">
        <v>448</v>
      </c>
      <c r="B284" s="12" t="s">
        <v>1602</v>
      </c>
      <c r="C284" s="12" t="s">
        <v>949</v>
      </c>
      <c r="D284" s="12" t="s">
        <v>1298</v>
      </c>
      <c r="E284" s="12" t="n">
        <v>4</v>
      </c>
      <c r="F284" s="12" t="s">
        <v>22</v>
      </c>
      <c r="G284" s="12" t="s">
        <v>209</v>
      </c>
      <c r="H284" s="12" t="s">
        <v>94</v>
      </c>
      <c r="I284" s="12" t="s">
        <v>339</v>
      </c>
      <c r="J284" s="12"/>
      <c r="K284" s="12"/>
      <c r="L284" s="5"/>
      <c r="M284" s="33" t="n">
        <f aca="false">SUMIFS('Existing vs Saran'!$I$5:$I$210,'Existing vs Saran'!$N$5:$N$210,A284)</f>
        <v>0</v>
      </c>
      <c r="N284" s="12" t="s">
        <v>1603</v>
      </c>
      <c r="O284" s="5" t="s">
        <v>1016</v>
      </c>
      <c r="P284" s="12"/>
    </row>
    <row r="285" customFormat="false" ht="15" hidden="false" customHeight="false" outlineLevel="0" collapsed="false">
      <c r="A285" s="12" t="n">
        <v>402</v>
      </c>
      <c r="B285" s="12" t="s">
        <v>1604</v>
      </c>
      <c r="C285" s="12" t="s">
        <v>949</v>
      </c>
      <c r="D285" s="12" t="s">
        <v>1298</v>
      </c>
      <c r="E285" s="12" t="n">
        <v>4</v>
      </c>
      <c r="F285" s="12" t="s">
        <v>917</v>
      </c>
      <c r="G285" s="12" t="s">
        <v>1056</v>
      </c>
      <c r="H285" s="12" t="s">
        <v>94</v>
      </c>
      <c r="I285" s="12" t="s">
        <v>339</v>
      </c>
      <c r="J285" s="12"/>
      <c r="K285" s="12"/>
      <c r="L285" s="5"/>
      <c r="M285" s="33" t="n">
        <f aca="false">SUMIFS('Existing vs Saran'!$I$5:$I$210,'Existing vs Saran'!$N$5:$N$210,A285)</f>
        <v>0</v>
      </c>
      <c r="N285" s="12" t="s">
        <v>1605</v>
      </c>
      <c r="O285" s="5" t="s">
        <v>954</v>
      </c>
      <c r="P285" s="12"/>
    </row>
    <row r="286" customFormat="false" ht="15" hidden="false" customHeight="false" outlineLevel="0" collapsed="false">
      <c r="A286" s="12" t="n">
        <v>359</v>
      </c>
      <c r="B286" s="12" t="s">
        <v>1606</v>
      </c>
      <c r="C286" s="12" t="s">
        <v>949</v>
      </c>
      <c r="D286" s="12" t="s">
        <v>1298</v>
      </c>
      <c r="E286" s="12" t="n">
        <v>5</v>
      </c>
      <c r="F286" s="12" t="s">
        <v>797</v>
      </c>
      <c r="G286" s="12" t="s">
        <v>798</v>
      </c>
      <c r="H286" s="12" t="s">
        <v>94</v>
      </c>
      <c r="I286" s="12" t="s">
        <v>339</v>
      </c>
      <c r="J286" s="12"/>
      <c r="K286" s="12"/>
      <c r="L286" s="5"/>
      <c r="M286" s="33" t="n">
        <f aca="false">SUMIFS('Existing vs Saran'!$I$5:$I$210,'Existing vs Saran'!$N$5:$N$210,A286)</f>
        <v>0</v>
      </c>
      <c r="N286" s="12" t="s">
        <v>1607</v>
      </c>
      <c r="O286" s="5" t="s">
        <v>956</v>
      </c>
      <c r="P286" s="12"/>
    </row>
    <row r="287" customFormat="false" ht="23.85" hidden="false" customHeight="false" outlineLevel="0" collapsed="false">
      <c r="A287" s="12" t="n">
        <v>381</v>
      </c>
      <c r="B287" s="12" t="s">
        <v>1608</v>
      </c>
      <c r="C287" s="12" t="s">
        <v>949</v>
      </c>
      <c r="D287" s="12" t="s">
        <v>1298</v>
      </c>
      <c r="E287" s="12" t="n">
        <v>5</v>
      </c>
      <c r="F287" s="12" t="s">
        <v>916</v>
      </c>
      <c r="G287" s="12" t="s">
        <v>1338</v>
      </c>
      <c r="H287" s="12" t="s">
        <v>94</v>
      </c>
      <c r="I287" s="12" t="s">
        <v>339</v>
      </c>
      <c r="J287" s="12"/>
      <c r="K287" s="12"/>
      <c r="L287" s="5"/>
      <c r="M287" s="33" t="n">
        <f aca="false">SUMIFS('Existing vs Saran'!$I$5:$I$210,'Existing vs Saran'!$N$5:$N$210,A287)</f>
        <v>0</v>
      </c>
      <c r="N287" s="12" t="s">
        <v>1609</v>
      </c>
      <c r="O287" s="5" t="s">
        <v>1122</v>
      </c>
      <c r="P287" s="12"/>
    </row>
    <row r="288" customFormat="false" ht="15" hidden="false" customHeight="false" outlineLevel="0" collapsed="false">
      <c r="A288" s="12" t="n">
        <v>360</v>
      </c>
      <c r="B288" s="12" t="s">
        <v>1610</v>
      </c>
      <c r="C288" s="12" t="s">
        <v>949</v>
      </c>
      <c r="D288" s="12" t="s">
        <v>1298</v>
      </c>
      <c r="E288" s="12" t="n">
        <v>5</v>
      </c>
      <c r="F288" s="12" t="s">
        <v>797</v>
      </c>
      <c r="G288" s="12" t="s">
        <v>995</v>
      </c>
      <c r="H288" s="12" t="s">
        <v>94</v>
      </c>
      <c r="I288" s="12" t="s">
        <v>339</v>
      </c>
      <c r="J288" s="12"/>
      <c r="K288" s="12"/>
      <c r="L288" s="5"/>
      <c r="M288" s="33" t="n">
        <f aca="false">SUMIFS('Existing vs Saran'!$I$5:$I$210,'Existing vs Saran'!$N$5:$N$210,A288)</f>
        <v>0</v>
      </c>
      <c r="N288" s="12" t="s">
        <v>1611</v>
      </c>
      <c r="O288" s="5" t="s">
        <v>956</v>
      </c>
      <c r="P288" s="12"/>
    </row>
    <row r="289" customFormat="false" ht="23.85" hidden="false" customHeight="false" outlineLevel="0" collapsed="false">
      <c r="A289" s="12" t="n">
        <v>142</v>
      </c>
      <c r="B289" s="12" t="s">
        <v>1612</v>
      </c>
      <c r="C289" s="12" t="s">
        <v>949</v>
      </c>
      <c r="D289" s="12" t="s">
        <v>1298</v>
      </c>
      <c r="E289" s="12" t="n">
        <v>5</v>
      </c>
      <c r="F289" s="12" t="s">
        <v>904</v>
      </c>
      <c r="G289" s="12" t="s">
        <v>1203</v>
      </c>
      <c r="H289" s="12" t="s">
        <v>94</v>
      </c>
      <c r="I289" s="12" t="s">
        <v>339</v>
      </c>
      <c r="J289" s="12"/>
      <c r="K289" s="12"/>
      <c r="L289" s="5"/>
      <c r="M289" s="33" t="n">
        <f aca="false">SUMIFS('Existing vs Saran'!$I$5:$I$210,'Existing vs Saran'!$N$5:$N$210,A289)</f>
        <v>0</v>
      </c>
      <c r="N289" s="12" t="s">
        <v>1613</v>
      </c>
      <c r="O289" s="5" t="s">
        <v>1122</v>
      </c>
      <c r="P289" s="12"/>
    </row>
    <row r="290" customFormat="false" ht="15" hidden="false" customHeight="false" outlineLevel="0" collapsed="false">
      <c r="A290" s="12" t="n">
        <v>232</v>
      </c>
      <c r="B290" s="12" t="s">
        <v>1614</v>
      </c>
      <c r="C290" s="12" t="s">
        <v>949</v>
      </c>
      <c r="D290" s="12" t="s">
        <v>1298</v>
      </c>
      <c r="E290" s="12" t="n">
        <v>4</v>
      </c>
      <c r="F290" s="12" t="s">
        <v>20</v>
      </c>
      <c r="G290" s="12" t="s">
        <v>139</v>
      </c>
      <c r="H290" s="12" t="s">
        <v>94</v>
      </c>
      <c r="I290" s="12" t="s">
        <v>339</v>
      </c>
      <c r="J290" s="12"/>
      <c r="K290" s="12"/>
      <c r="L290" s="5"/>
      <c r="M290" s="33" t="n">
        <f aca="false">SUMIFS('Existing vs Saran'!$I$5:$I$210,'Existing vs Saran'!$N$5:$N$210,A290)</f>
        <v>0</v>
      </c>
      <c r="N290" s="12" t="s">
        <v>1615</v>
      </c>
      <c r="O290" s="5" t="s">
        <v>1616</v>
      </c>
      <c r="P290" s="12"/>
    </row>
    <row r="291" customFormat="false" ht="15" hidden="false" customHeight="false" outlineLevel="0" collapsed="false">
      <c r="A291" s="12" t="n">
        <v>233</v>
      </c>
      <c r="B291" s="12" t="s">
        <v>1617</v>
      </c>
      <c r="C291" s="12" t="s">
        <v>949</v>
      </c>
      <c r="D291" s="12" t="s">
        <v>1298</v>
      </c>
      <c r="E291" s="12" t="n">
        <v>4</v>
      </c>
      <c r="F291" s="12" t="s">
        <v>20</v>
      </c>
      <c r="G291" s="12" t="s">
        <v>707</v>
      </c>
      <c r="H291" s="12" t="s">
        <v>94</v>
      </c>
      <c r="I291" s="12" t="s">
        <v>339</v>
      </c>
      <c r="J291" s="12"/>
      <c r="K291" s="12"/>
      <c r="L291" s="5"/>
      <c r="M291" s="33" t="n">
        <f aca="false">SUMIFS('Existing vs Saran'!$I$5:$I$210,'Existing vs Saran'!$N$5:$N$210,A291)</f>
        <v>0</v>
      </c>
      <c r="N291" s="12" t="s">
        <v>1618</v>
      </c>
      <c r="O291" s="5" t="s">
        <v>1619</v>
      </c>
      <c r="P291" s="12"/>
    </row>
    <row r="292" customFormat="false" ht="15" hidden="false" customHeight="false" outlineLevel="0" collapsed="false">
      <c r="A292" s="12" t="n">
        <v>66</v>
      </c>
      <c r="B292" s="12" t="s">
        <v>1620</v>
      </c>
      <c r="C292" s="12" t="s">
        <v>949</v>
      </c>
      <c r="D292" s="12" t="s">
        <v>1298</v>
      </c>
      <c r="E292" s="12" t="n">
        <v>4</v>
      </c>
      <c r="F292" s="12" t="s">
        <v>548</v>
      </c>
      <c r="G292" s="12" t="s">
        <v>549</v>
      </c>
      <c r="H292" s="12" t="s">
        <v>94</v>
      </c>
      <c r="I292" s="12" t="s">
        <v>339</v>
      </c>
      <c r="J292" s="12"/>
      <c r="K292" s="12"/>
      <c r="L292" s="5"/>
      <c r="M292" s="33" t="n">
        <f aca="false">SUMIFS('Existing vs Saran'!$I$5:$I$210,'Existing vs Saran'!$N$5:$N$210,A292)</f>
        <v>0</v>
      </c>
      <c r="N292" s="12" t="s">
        <v>1621</v>
      </c>
      <c r="O292" s="5" t="s">
        <v>956</v>
      </c>
      <c r="P292" s="12"/>
    </row>
    <row r="293" customFormat="false" ht="15" hidden="false" customHeight="false" outlineLevel="0" collapsed="false">
      <c r="A293" s="12" t="n">
        <v>406</v>
      </c>
      <c r="B293" s="12" t="s">
        <v>1622</v>
      </c>
      <c r="C293" s="12" t="s">
        <v>949</v>
      </c>
      <c r="D293" s="12" t="s">
        <v>1298</v>
      </c>
      <c r="E293" s="12" t="n">
        <v>5</v>
      </c>
      <c r="F293" s="12" t="s">
        <v>917</v>
      </c>
      <c r="G293" s="12" t="s">
        <v>1623</v>
      </c>
      <c r="H293" s="12" t="s">
        <v>94</v>
      </c>
      <c r="I293" s="12" t="s">
        <v>339</v>
      </c>
      <c r="J293" s="12"/>
      <c r="K293" s="12"/>
      <c r="L293" s="5"/>
      <c r="M293" s="33" t="n">
        <f aca="false">SUMIFS('Existing vs Saran'!$I$5:$I$210,'Existing vs Saran'!$N$5:$N$210,A293)</f>
        <v>0</v>
      </c>
      <c r="N293" s="12" t="s">
        <v>1624</v>
      </c>
      <c r="O293" s="5" t="s">
        <v>954</v>
      </c>
      <c r="P293" s="12"/>
    </row>
    <row r="294" customFormat="false" ht="15" hidden="false" customHeight="false" outlineLevel="0" collapsed="false">
      <c r="A294" s="12" t="n">
        <v>67</v>
      </c>
      <c r="B294" s="12" t="s">
        <v>1625</v>
      </c>
      <c r="C294" s="12" t="s">
        <v>949</v>
      </c>
      <c r="D294" s="12" t="s">
        <v>1298</v>
      </c>
      <c r="E294" s="12" t="n">
        <v>5</v>
      </c>
      <c r="F294" s="12" t="s">
        <v>548</v>
      </c>
      <c r="G294" s="12" t="s">
        <v>549</v>
      </c>
      <c r="H294" s="12" t="s">
        <v>94</v>
      </c>
      <c r="I294" s="12" t="s">
        <v>339</v>
      </c>
      <c r="J294" s="12"/>
      <c r="K294" s="12"/>
      <c r="L294" s="5"/>
      <c r="M294" s="33" t="n">
        <f aca="false">SUMIFS('Existing vs Saran'!$I$5:$I$210,'Existing vs Saran'!$N$5:$N$210,A294)</f>
        <v>0</v>
      </c>
      <c r="N294" s="12" t="s">
        <v>1626</v>
      </c>
      <c r="O294" s="5" t="s">
        <v>956</v>
      </c>
      <c r="P294" s="12"/>
    </row>
    <row r="295" customFormat="false" ht="15" hidden="false" customHeight="false" outlineLevel="0" collapsed="false">
      <c r="A295" s="12" t="n">
        <v>337</v>
      </c>
      <c r="B295" s="12" t="s">
        <v>1627</v>
      </c>
      <c r="C295" s="12" t="s">
        <v>949</v>
      </c>
      <c r="D295" s="12" t="s">
        <v>1298</v>
      </c>
      <c r="E295" s="12" t="n">
        <v>4</v>
      </c>
      <c r="F295" s="12" t="s">
        <v>356</v>
      </c>
      <c r="G295" s="12" t="s">
        <v>1478</v>
      </c>
      <c r="H295" s="12" t="s">
        <v>94</v>
      </c>
      <c r="I295" s="12" t="s">
        <v>339</v>
      </c>
      <c r="J295" s="12"/>
      <c r="K295" s="12"/>
      <c r="L295" s="5"/>
      <c r="M295" s="33" t="n">
        <f aca="false">SUMIFS('Existing vs Saran'!$I$5:$I$210,'Existing vs Saran'!$N$5:$N$210,A295)</f>
        <v>0</v>
      </c>
      <c r="N295" s="12" t="s">
        <v>1628</v>
      </c>
      <c r="O295" s="5" t="s">
        <v>1629</v>
      </c>
      <c r="P295" s="12"/>
    </row>
    <row r="296" customFormat="false" ht="15" hidden="false" customHeight="false" outlineLevel="0" collapsed="false">
      <c r="A296" s="12" t="n">
        <v>169</v>
      </c>
      <c r="B296" s="12" t="s">
        <v>1630</v>
      </c>
      <c r="C296" s="12" t="s">
        <v>949</v>
      </c>
      <c r="D296" s="12" t="s">
        <v>1298</v>
      </c>
      <c r="E296" s="12" t="n">
        <v>5</v>
      </c>
      <c r="F296" s="12" t="s">
        <v>18</v>
      </c>
      <c r="G296" s="12" t="s">
        <v>116</v>
      </c>
      <c r="H296" s="12" t="s">
        <v>94</v>
      </c>
      <c r="I296" s="12" t="s">
        <v>339</v>
      </c>
      <c r="J296" s="12"/>
      <c r="K296" s="12"/>
      <c r="L296" s="5"/>
      <c r="M296" s="33" t="n">
        <f aca="false">SUMIFS('Existing vs Saran'!$I$5:$I$210,'Existing vs Saran'!$N$5:$N$210,A296)</f>
        <v>0</v>
      </c>
      <c r="N296" s="12" t="s">
        <v>1631</v>
      </c>
      <c r="O296" s="5" t="s">
        <v>954</v>
      </c>
      <c r="P296" s="12"/>
    </row>
    <row r="297" customFormat="false" ht="23.85" hidden="false" customHeight="false" outlineLevel="0" collapsed="false">
      <c r="A297" s="12" t="n">
        <v>128</v>
      </c>
      <c r="B297" s="12" t="s">
        <v>1632</v>
      </c>
      <c r="C297" s="12" t="s">
        <v>949</v>
      </c>
      <c r="D297" s="12" t="s">
        <v>1298</v>
      </c>
      <c r="E297" s="12" t="n">
        <v>5</v>
      </c>
      <c r="F297" s="12" t="s">
        <v>379</v>
      </c>
      <c r="G297" s="12" t="s">
        <v>585</v>
      </c>
      <c r="H297" s="12" t="s">
        <v>94</v>
      </c>
      <c r="I297" s="12" t="s">
        <v>339</v>
      </c>
      <c r="J297" s="12"/>
      <c r="K297" s="12"/>
      <c r="L297" s="5" t="s">
        <v>1063</v>
      </c>
      <c r="M297" s="33" t="n">
        <f aca="false">SUMIFS('Existing vs Saran'!$I$5:$I$210,'Existing vs Saran'!$N$5:$N$210,A297)</f>
        <v>0</v>
      </c>
      <c r="N297" s="12" t="s">
        <v>1633</v>
      </c>
      <c r="O297" s="5" t="s">
        <v>1634</v>
      </c>
      <c r="P297" s="12"/>
    </row>
    <row r="298" customFormat="false" ht="15" hidden="false" customHeight="false" outlineLevel="0" collapsed="false">
      <c r="A298" s="12" t="n">
        <v>157</v>
      </c>
      <c r="B298" s="12" t="s">
        <v>1635</v>
      </c>
      <c r="C298" s="12" t="s">
        <v>949</v>
      </c>
      <c r="D298" s="12" t="s">
        <v>1298</v>
      </c>
      <c r="E298" s="12" t="n">
        <v>5</v>
      </c>
      <c r="F298" s="12" t="s">
        <v>905</v>
      </c>
      <c r="G298" s="12" t="s">
        <v>1430</v>
      </c>
      <c r="H298" s="12" t="s">
        <v>94</v>
      </c>
      <c r="I298" s="12" t="s">
        <v>339</v>
      </c>
      <c r="J298" s="12"/>
      <c r="K298" s="12"/>
      <c r="L298" s="5"/>
      <c r="M298" s="33" t="n">
        <f aca="false">SUMIFS('Existing vs Saran'!$I$5:$I$210,'Existing vs Saran'!$N$5:$N$210,A298)</f>
        <v>0</v>
      </c>
      <c r="N298" s="12" t="s">
        <v>1636</v>
      </c>
      <c r="O298" s="5" t="s">
        <v>954</v>
      </c>
      <c r="P298" s="12"/>
    </row>
    <row r="299" customFormat="false" ht="15" hidden="false" customHeight="false" outlineLevel="0" collapsed="false">
      <c r="A299" s="12" t="n">
        <v>43</v>
      </c>
      <c r="B299" s="12" t="s">
        <v>1637</v>
      </c>
      <c r="C299" s="12" t="s">
        <v>949</v>
      </c>
      <c r="D299" s="12" t="s">
        <v>1298</v>
      </c>
      <c r="E299" s="12" t="n">
        <v>4</v>
      </c>
      <c r="F299" s="12" t="s">
        <v>354</v>
      </c>
      <c r="G299" s="12" t="s">
        <v>1026</v>
      </c>
      <c r="H299" s="12" t="s">
        <v>1211</v>
      </c>
      <c r="I299" s="12" t="s">
        <v>339</v>
      </c>
      <c r="J299" s="12"/>
      <c r="K299" s="12"/>
      <c r="L299" s="5"/>
      <c r="M299" s="33" t="n">
        <f aca="false">SUMIFS('Existing vs Saran'!$I$5:$I$210,'Existing vs Saran'!$N$5:$N$210,A299)</f>
        <v>0</v>
      </c>
      <c r="N299" s="12" t="s">
        <v>1638</v>
      </c>
      <c r="O299" s="5" t="s">
        <v>1639</v>
      </c>
      <c r="P299" s="12"/>
    </row>
    <row r="300" customFormat="false" ht="15" hidden="false" customHeight="false" outlineLevel="0" collapsed="false">
      <c r="A300" s="12" t="n">
        <v>306</v>
      </c>
      <c r="B300" s="12" t="s">
        <v>1640</v>
      </c>
      <c r="C300" s="12" t="s">
        <v>949</v>
      </c>
      <c r="D300" s="12" t="s">
        <v>1298</v>
      </c>
      <c r="E300" s="12" t="n">
        <v>4</v>
      </c>
      <c r="F300" s="12" t="s">
        <v>351</v>
      </c>
      <c r="G300" s="12" t="s">
        <v>1113</v>
      </c>
      <c r="H300" s="12" t="s">
        <v>85</v>
      </c>
      <c r="I300" s="12" t="s">
        <v>339</v>
      </c>
      <c r="J300" s="12"/>
      <c r="K300" s="12"/>
      <c r="L300" s="5"/>
      <c r="M300" s="33" t="n">
        <f aca="false">SUMIFS('Existing vs Saran'!$I$5:$I$210,'Existing vs Saran'!$N$5:$N$210,A300)</f>
        <v>0</v>
      </c>
      <c r="N300" s="12" t="s">
        <v>1641</v>
      </c>
      <c r="O300" s="5" t="s">
        <v>1012</v>
      </c>
      <c r="P300" s="12"/>
    </row>
    <row r="301" customFormat="false" ht="15" hidden="false" customHeight="false" outlineLevel="0" collapsed="false">
      <c r="A301" s="12" t="n">
        <v>407</v>
      </c>
      <c r="B301" s="12" t="s">
        <v>1642</v>
      </c>
      <c r="C301" s="12" t="s">
        <v>949</v>
      </c>
      <c r="D301" s="12" t="s">
        <v>1298</v>
      </c>
      <c r="E301" s="12" t="n">
        <v>4</v>
      </c>
      <c r="F301" s="12" t="s">
        <v>917</v>
      </c>
      <c r="G301" s="12" t="s">
        <v>1056</v>
      </c>
      <c r="H301" s="12" t="s">
        <v>94</v>
      </c>
      <c r="I301" s="12" t="s">
        <v>339</v>
      </c>
      <c r="J301" s="12"/>
      <c r="K301" s="12"/>
      <c r="L301" s="5"/>
      <c r="M301" s="33" t="n">
        <f aca="false">SUMIFS('Existing vs Saran'!$I$5:$I$210,'Existing vs Saran'!$N$5:$N$210,A301)</f>
        <v>0</v>
      </c>
      <c r="N301" s="12" t="s">
        <v>1643</v>
      </c>
      <c r="O301" s="5" t="s">
        <v>954</v>
      </c>
      <c r="P301" s="12"/>
    </row>
    <row r="302" customFormat="false" ht="23.85" hidden="false" customHeight="false" outlineLevel="0" collapsed="false">
      <c r="A302" s="12" t="n">
        <v>144</v>
      </c>
      <c r="B302" s="12" t="s">
        <v>1644</v>
      </c>
      <c r="C302" s="12" t="s">
        <v>949</v>
      </c>
      <c r="D302" s="12" t="s">
        <v>1298</v>
      </c>
      <c r="E302" s="12" t="n">
        <v>5</v>
      </c>
      <c r="F302" s="12" t="s">
        <v>904</v>
      </c>
      <c r="G302" s="12" t="s">
        <v>1120</v>
      </c>
      <c r="H302" s="12" t="s">
        <v>94</v>
      </c>
      <c r="I302" s="12" t="s">
        <v>339</v>
      </c>
      <c r="J302" s="12"/>
      <c r="K302" s="12"/>
      <c r="L302" s="5"/>
      <c r="M302" s="33" t="n">
        <f aca="false">SUMIFS('Existing vs Saran'!$I$5:$I$210,'Existing vs Saran'!$N$5:$N$210,A302)</f>
        <v>0</v>
      </c>
      <c r="N302" s="12" t="s">
        <v>1645</v>
      </c>
      <c r="O302" s="5" t="s">
        <v>1122</v>
      </c>
      <c r="P302" s="12"/>
    </row>
    <row r="303" customFormat="false" ht="46.25" hidden="false" customHeight="false" outlineLevel="0" collapsed="false">
      <c r="A303" s="12" t="n">
        <v>383</v>
      </c>
      <c r="B303" s="12" t="s">
        <v>1646</v>
      </c>
      <c r="C303" s="12" t="s">
        <v>949</v>
      </c>
      <c r="D303" s="12" t="s">
        <v>1298</v>
      </c>
      <c r="E303" s="12" t="n">
        <v>4</v>
      </c>
      <c r="F303" s="12" t="s">
        <v>916</v>
      </c>
      <c r="G303" s="12" t="s">
        <v>1647</v>
      </c>
      <c r="H303" s="12" t="s">
        <v>94</v>
      </c>
      <c r="I303" s="12" t="s">
        <v>339</v>
      </c>
      <c r="J303" s="12"/>
      <c r="K303" s="12"/>
      <c r="L303" s="5"/>
      <c r="M303" s="33" t="n">
        <f aca="false">SUMIFS('Existing vs Saran'!$I$5:$I$210,'Existing vs Saran'!$N$5:$N$210,A303)</f>
        <v>0</v>
      </c>
      <c r="N303" s="12" t="s">
        <v>1648</v>
      </c>
      <c r="O303" s="5" t="s">
        <v>1649</v>
      </c>
      <c r="P303" s="12"/>
    </row>
    <row r="304" customFormat="false" ht="23.85" hidden="false" customHeight="false" outlineLevel="0" collapsed="false">
      <c r="A304" s="12" t="n">
        <v>244</v>
      </c>
      <c r="B304" s="12" t="s">
        <v>1650</v>
      </c>
      <c r="C304" s="12" t="s">
        <v>949</v>
      </c>
      <c r="D304" s="12" t="s">
        <v>1651</v>
      </c>
      <c r="E304" s="12" t="n">
        <v>2</v>
      </c>
      <c r="F304" s="12" t="s">
        <v>351</v>
      </c>
      <c r="G304" s="12" t="s">
        <v>777</v>
      </c>
      <c r="H304" s="12" t="s">
        <v>94</v>
      </c>
      <c r="I304" s="12" t="s">
        <v>314</v>
      </c>
      <c r="J304" s="12"/>
      <c r="K304" s="12" t="s">
        <v>314</v>
      </c>
      <c r="L304" s="5"/>
      <c r="M304" s="33" t="n">
        <f aca="false">SUMIFS('Existing vs Saran'!$I$5:$I$210,'Existing vs Saran'!$N$5:$N$210,A304)</f>
        <v>0</v>
      </c>
      <c r="N304" s="12" t="s">
        <v>1652</v>
      </c>
      <c r="O304" s="5" t="s">
        <v>1653</v>
      </c>
      <c r="P304" s="12"/>
    </row>
    <row r="305" customFormat="false" ht="23.85" hidden="false" customHeight="false" outlineLevel="0" collapsed="false">
      <c r="A305" s="12" t="n">
        <v>68</v>
      </c>
      <c r="B305" s="12" t="s">
        <v>1654</v>
      </c>
      <c r="C305" s="12" t="s">
        <v>949</v>
      </c>
      <c r="D305" s="12" t="s">
        <v>1651</v>
      </c>
      <c r="E305" s="12" t="n">
        <v>1</v>
      </c>
      <c r="F305" s="12" t="s">
        <v>379</v>
      </c>
      <c r="G305" s="12" t="s">
        <v>613</v>
      </c>
      <c r="H305" s="12" t="s">
        <v>94</v>
      </c>
      <c r="I305" s="12" t="s">
        <v>314</v>
      </c>
      <c r="J305" s="12"/>
      <c r="K305" s="12" t="s">
        <v>314</v>
      </c>
      <c r="L305" s="5"/>
      <c r="M305" s="33" t="n">
        <f aca="false">SUMIFS('Existing vs Saran'!$I$5:$I$210,'Existing vs Saran'!$N$5:$N$210,A305)</f>
        <v>0</v>
      </c>
      <c r="N305" s="12" t="s">
        <v>1655</v>
      </c>
      <c r="O305" s="5" t="s">
        <v>1656</v>
      </c>
      <c r="P305" s="12"/>
    </row>
    <row r="306" customFormat="false" ht="15" hidden="false" customHeight="false" outlineLevel="0" collapsed="false">
      <c r="A306" s="12" t="n">
        <v>339</v>
      </c>
      <c r="B306" s="12" t="s">
        <v>1657</v>
      </c>
      <c r="C306" s="12" t="s">
        <v>949</v>
      </c>
      <c r="D306" s="12" t="s">
        <v>1651</v>
      </c>
      <c r="E306" s="12" t="n">
        <v>5</v>
      </c>
      <c r="F306" s="12" t="s">
        <v>797</v>
      </c>
      <c r="G306" s="12" t="s">
        <v>995</v>
      </c>
      <c r="H306" s="12" t="s">
        <v>94</v>
      </c>
      <c r="I306" s="12" t="s">
        <v>314</v>
      </c>
      <c r="J306" s="12"/>
      <c r="K306" s="12" t="s">
        <v>314</v>
      </c>
      <c r="L306" s="5" t="s">
        <v>952</v>
      </c>
      <c r="M306" s="33" t="n">
        <f aca="false">SUMIFS('Existing vs Saran'!$I$5:$I$210,'Existing vs Saran'!$N$5:$N$210,A306)</f>
        <v>0</v>
      </c>
      <c r="N306" s="12" t="s">
        <v>1658</v>
      </c>
      <c r="O306" s="5" t="s">
        <v>956</v>
      </c>
      <c r="P306" s="12"/>
    </row>
    <row r="307" customFormat="false" ht="23.85" hidden="false" customHeight="false" outlineLevel="0" collapsed="false">
      <c r="A307" s="12" t="n">
        <v>311</v>
      </c>
      <c r="B307" s="12" t="s">
        <v>1659</v>
      </c>
      <c r="C307" s="12" t="s">
        <v>949</v>
      </c>
      <c r="D307" s="12" t="s">
        <v>1651</v>
      </c>
      <c r="E307" s="12" t="n">
        <v>1</v>
      </c>
      <c r="F307" s="12" t="s">
        <v>356</v>
      </c>
      <c r="G307" s="12" t="s">
        <v>1116</v>
      </c>
      <c r="H307" s="12" t="s">
        <v>94</v>
      </c>
      <c r="I307" s="12" t="s">
        <v>314</v>
      </c>
      <c r="J307" s="12"/>
      <c r="K307" s="12" t="s">
        <v>314</v>
      </c>
      <c r="L307" s="5"/>
      <c r="M307" s="33" t="n">
        <f aca="false">SUMIFS('Existing vs Saran'!$I$5:$I$210,'Existing vs Saran'!$N$5:$N$210,A307)</f>
        <v>0</v>
      </c>
      <c r="N307" s="12" t="s">
        <v>1660</v>
      </c>
      <c r="O307" s="5" t="s">
        <v>1661</v>
      </c>
      <c r="P307" s="12"/>
    </row>
    <row r="308" customFormat="false" ht="15" hidden="false" customHeight="false" outlineLevel="0" collapsed="false">
      <c r="A308" s="12" t="n">
        <v>272</v>
      </c>
      <c r="B308" s="12" t="s">
        <v>1662</v>
      </c>
      <c r="C308" s="12" t="s">
        <v>949</v>
      </c>
      <c r="D308" s="12" t="s">
        <v>1651</v>
      </c>
      <c r="E308" s="12" t="n">
        <v>4</v>
      </c>
      <c r="F308" s="12" t="s">
        <v>351</v>
      </c>
      <c r="G308" s="12" t="s">
        <v>1172</v>
      </c>
      <c r="H308" s="12" t="s">
        <v>94</v>
      </c>
      <c r="I308" s="12" t="s">
        <v>339</v>
      </c>
      <c r="J308" s="12"/>
      <c r="K308" s="12" t="s">
        <v>314</v>
      </c>
      <c r="L308" s="5" t="s">
        <v>1106</v>
      </c>
      <c r="M308" s="33" t="n">
        <f aca="false">SUMIFS('Existing vs Saran'!$I$5:$I$210,'Existing vs Saran'!$N$5:$N$210,A308)</f>
        <v>0</v>
      </c>
      <c r="N308" s="12" t="s">
        <v>1663</v>
      </c>
      <c r="O308" s="5" t="s">
        <v>1012</v>
      </c>
      <c r="P308" s="12"/>
    </row>
    <row r="309" customFormat="false" ht="35.05" hidden="false" customHeight="false" outlineLevel="0" collapsed="false">
      <c r="A309" s="12" t="n">
        <v>25</v>
      </c>
      <c r="B309" s="12" t="s">
        <v>1664</v>
      </c>
      <c r="C309" s="12" t="s">
        <v>949</v>
      </c>
      <c r="D309" s="12" t="s">
        <v>1651</v>
      </c>
      <c r="E309" s="12" t="n">
        <v>1</v>
      </c>
      <c r="F309" s="12" t="s">
        <v>354</v>
      </c>
      <c r="G309" s="12" t="s">
        <v>1026</v>
      </c>
      <c r="H309" s="12" t="s">
        <v>94</v>
      </c>
      <c r="I309" s="12" t="s">
        <v>314</v>
      </c>
      <c r="J309" s="12"/>
      <c r="K309" s="12" t="s">
        <v>314</v>
      </c>
      <c r="L309" s="5"/>
      <c r="M309" s="33" t="n">
        <f aca="false">SUMIFS('Existing vs Saran'!$I$5:$I$210,'Existing vs Saran'!$N$5:$N$210,A309)</f>
        <v>0</v>
      </c>
      <c r="N309" s="12" t="s">
        <v>1665</v>
      </c>
      <c r="O309" s="5" t="s">
        <v>1666</v>
      </c>
      <c r="P309" s="12"/>
    </row>
    <row r="310" customFormat="false" ht="15" hidden="false" customHeight="false" outlineLevel="0" collapsed="false">
      <c r="A310" s="12" t="n">
        <v>51</v>
      </c>
      <c r="B310" s="12" t="s">
        <v>1667</v>
      </c>
      <c r="C310" s="12" t="s">
        <v>949</v>
      </c>
      <c r="D310" s="12" t="s">
        <v>1651</v>
      </c>
      <c r="E310" s="12" t="n">
        <v>3</v>
      </c>
      <c r="F310" s="12" t="s">
        <v>548</v>
      </c>
      <c r="G310" s="12" t="s">
        <v>1134</v>
      </c>
      <c r="H310" s="12" t="s">
        <v>94</v>
      </c>
      <c r="I310" s="12" t="s">
        <v>314</v>
      </c>
      <c r="J310" s="12"/>
      <c r="K310" s="12" t="s">
        <v>314</v>
      </c>
      <c r="L310" s="5"/>
      <c r="M310" s="33" t="n">
        <f aca="false">SUMIFS('Existing vs Saran'!$I$5:$I$210,'Existing vs Saran'!$N$5:$N$210,A310)</f>
        <v>0</v>
      </c>
      <c r="N310" s="12" t="s">
        <v>1668</v>
      </c>
      <c r="O310" s="5" t="s">
        <v>1669</v>
      </c>
      <c r="P310" s="12"/>
    </row>
    <row r="311" customFormat="false" ht="46.25" hidden="false" customHeight="false" outlineLevel="0" collapsed="false">
      <c r="A311" s="12" t="n">
        <v>203</v>
      </c>
      <c r="B311" s="12" t="s">
        <v>1670</v>
      </c>
      <c r="C311" s="12" t="s">
        <v>949</v>
      </c>
      <c r="D311" s="12" t="s">
        <v>1651</v>
      </c>
      <c r="E311" s="12" t="n">
        <v>1</v>
      </c>
      <c r="F311" s="12" t="s">
        <v>20</v>
      </c>
      <c r="G311" s="12" t="s">
        <v>1058</v>
      </c>
      <c r="H311" s="12" t="s">
        <v>94</v>
      </c>
      <c r="I311" s="12" t="s">
        <v>314</v>
      </c>
      <c r="J311" s="12"/>
      <c r="K311" s="12" t="s">
        <v>314</v>
      </c>
      <c r="L311" s="5"/>
      <c r="M311" s="33" t="n">
        <f aca="false">SUMIFS('Existing vs Saran'!$I$5:$I$210,'Existing vs Saran'!$N$5:$N$210,A311)</f>
        <v>0</v>
      </c>
      <c r="N311" s="12" t="s">
        <v>1671</v>
      </c>
      <c r="O311" s="5" t="s">
        <v>1672</v>
      </c>
      <c r="P311" s="12"/>
    </row>
    <row r="312" customFormat="false" ht="15" hidden="false" customHeight="false" outlineLevel="0" collapsed="false">
      <c r="A312" s="12" t="n">
        <v>345</v>
      </c>
      <c r="B312" s="12" t="s">
        <v>1673</v>
      </c>
      <c r="C312" s="12" t="s">
        <v>949</v>
      </c>
      <c r="D312" s="12" t="s">
        <v>1651</v>
      </c>
      <c r="E312" s="12"/>
      <c r="F312" s="12" t="s">
        <v>797</v>
      </c>
      <c r="G312" s="12" t="s">
        <v>798</v>
      </c>
      <c r="H312" s="12" t="s">
        <v>94</v>
      </c>
      <c r="I312" s="12" t="s">
        <v>339</v>
      </c>
      <c r="J312" s="12"/>
      <c r="K312" s="12" t="s">
        <v>314</v>
      </c>
      <c r="L312" s="5" t="s">
        <v>1106</v>
      </c>
      <c r="M312" s="33" t="n">
        <f aca="false">SUMIFS('Existing vs Saran'!$I$5:$I$210,'Existing vs Saran'!$N$5:$N$210,A312)</f>
        <v>0</v>
      </c>
      <c r="N312" s="12" t="s">
        <v>1674</v>
      </c>
      <c r="O312" s="5"/>
      <c r="P312" s="12"/>
    </row>
    <row r="313" customFormat="false" ht="15" hidden="false" customHeight="false" outlineLevel="0" collapsed="false">
      <c r="A313" s="12" t="n">
        <v>349</v>
      </c>
      <c r="B313" s="12" t="s">
        <v>1675</v>
      </c>
      <c r="C313" s="12" t="s">
        <v>949</v>
      </c>
      <c r="D313" s="12" t="s">
        <v>1651</v>
      </c>
      <c r="E313" s="12" t="n">
        <v>5</v>
      </c>
      <c r="F313" s="12" t="s">
        <v>797</v>
      </c>
      <c r="G313" s="12" t="s">
        <v>995</v>
      </c>
      <c r="H313" s="12" t="s">
        <v>94</v>
      </c>
      <c r="I313" s="12" t="s">
        <v>339</v>
      </c>
      <c r="J313" s="12"/>
      <c r="K313" s="12" t="s">
        <v>314</v>
      </c>
      <c r="L313" s="5" t="s">
        <v>930</v>
      </c>
      <c r="M313" s="33" t="n">
        <f aca="false">SUMIFS('Existing vs Saran'!$I$5:$I$210,'Existing vs Saran'!$N$5:$N$210,A313)</f>
        <v>0</v>
      </c>
      <c r="N313" s="12" t="s">
        <v>1676</v>
      </c>
      <c r="O313" s="5" t="s">
        <v>956</v>
      </c>
      <c r="P313" s="12"/>
    </row>
    <row r="314" customFormat="false" ht="23.85" hidden="false" customHeight="false" outlineLevel="0" collapsed="false">
      <c r="A314" s="12" t="n">
        <v>213</v>
      </c>
      <c r="B314" s="12" t="s">
        <v>1677</v>
      </c>
      <c r="C314" s="12" t="s">
        <v>949</v>
      </c>
      <c r="D314" s="12" t="s">
        <v>1651</v>
      </c>
      <c r="E314" s="12" t="n">
        <v>2</v>
      </c>
      <c r="F314" s="12" t="s">
        <v>20</v>
      </c>
      <c r="G314" s="12" t="s">
        <v>732</v>
      </c>
      <c r="H314" s="12" t="s">
        <v>94</v>
      </c>
      <c r="I314" s="12" t="s">
        <v>314</v>
      </c>
      <c r="J314" s="12"/>
      <c r="K314" s="12" t="s">
        <v>314</v>
      </c>
      <c r="L314" s="5"/>
      <c r="M314" s="33" t="n">
        <f aca="false">SUMIFS('Existing vs Saran'!$I$5:$I$210,'Existing vs Saran'!$N$5:$N$210,A314)</f>
        <v>0</v>
      </c>
      <c r="N314" s="12" t="s">
        <v>1678</v>
      </c>
      <c r="O314" s="5" t="s">
        <v>1679</v>
      </c>
      <c r="P314" s="12"/>
    </row>
    <row r="315" customFormat="false" ht="15" hidden="false" customHeight="false" outlineLevel="0" collapsed="false">
      <c r="A315" s="12" t="n">
        <v>332</v>
      </c>
      <c r="B315" s="12" t="s">
        <v>1680</v>
      </c>
      <c r="C315" s="12" t="s">
        <v>949</v>
      </c>
      <c r="D315" s="12" t="s">
        <v>1651</v>
      </c>
      <c r="E315" s="12" t="n">
        <v>1</v>
      </c>
      <c r="F315" s="12" t="s">
        <v>356</v>
      </c>
      <c r="G315" s="12" t="s">
        <v>1143</v>
      </c>
      <c r="H315" s="12" t="s">
        <v>94</v>
      </c>
      <c r="I315" s="12" t="s">
        <v>314</v>
      </c>
      <c r="J315" s="12"/>
      <c r="K315" s="12" t="s">
        <v>314</v>
      </c>
      <c r="L315" s="5"/>
      <c r="M315" s="33" t="n">
        <f aca="false">SUMIFS('Existing vs Saran'!$I$5:$I$210,'Existing vs Saran'!$N$5:$N$210,A315)</f>
        <v>0</v>
      </c>
      <c r="N315" s="12" t="s">
        <v>1681</v>
      </c>
      <c r="O315" s="5" t="s">
        <v>1682</v>
      </c>
      <c r="P315" s="12"/>
    </row>
    <row r="316" customFormat="false" ht="15" hidden="false" customHeight="false" outlineLevel="0" collapsed="false">
      <c r="A316" s="12" t="n">
        <v>403</v>
      </c>
      <c r="B316" s="12" t="s">
        <v>1683</v>
      </c>
      <c r="C316" s="12" t="s">
        <v>949</v>
      </c>
      <c r="D316" s="12" t="s">
        <v>1651</v>
      </c>
      <c r="E316" s="12" t="n">
        <v>4</v>
      </c>
      <c r="F316" s="12" t="s">
        <v>917</v>
      </c>
      <c r="G316" s="12" t="s">
        <v>1154</v>
      </c>
      <c r="H316" s="12" t="s">
        <v>94</v>
      </c>
      <c r="I316" s="12" t="s">
        <v>314</v>
      </c>
      <c r="J316" s="12"/>
      <c r="K316" s="12" t="s">
        <v>314</v>
      </c>
      <c r="L316" s="5"/>
      <c r="M316" s="33" t="n">
        <f aca="false">SUMIFS('Existing vs Saran'!$I$5:$I$210,'Existing vs Saran'!$N$5:$N$210,A316)</f>
        <v>0</v>
      </c>
      <c r="N316" s="12" t="s">
        <v>1684</v>
      </c>
      <c r="O316" s="5" t="s">
        <v>954</v>
      </c>
      <c r="P316" s="12"/>
    </row>
    <row r="317" customFormat="false" ht="15" hidden="false" customHeight="false" outlineLevel="0" collapsed="false">
      <c r="A317" s="12" t="n">
        <v>126</v>
      </c>
      <c r="B317" s="12" t="s">
        <v>1685</v>
      </c>
      <c r="C317" s="12" t="s">
        <v>949</v>
      </c>
      <c r="D317" s="12" t="s">
        <v>1651</v>
      </c>
      <c r="E317" s="12" t="n">
        <v>2</v>
      </c>
      <c r="F317" s="12" t="s">
        <v>379</v>
      </c>
      <c r="G317" s="12" t="s">
        <v>585</v>
      </c>
      <c r="H317" s="12" t="s">
        <v>94</v>
      </c>
      <c r="I317" s="12" t="s">
        <v>314</v>
      </c>
      <c r="J317" s="12"/>
      <c r="K317" s="12" t="s">
        <v>314</v>
      </c>
      <c r="L317" s="5"/>
      <c r="M317" s="33" t="n">
        <f aca="false">SUMIFS('Existing vs Saran'!$I$5:$I$210,'Existing vs Saran'!$N$5:$N$210,A317)</f>
        <v>0</v>
      </c>
      <c r="N317" s="12" t="s">
        <v>1686</v>
      </c>
      <c r="O317" s="5" t="s">
        <v>1687</v>
      </c>
      <c r="P317" s="12"/>
    </row>
    <row r="318" customFormat="false" ht="57.45" hidden="false" customHeight="false" outlineLevel="0" collapsed="false">
      <c r="A318" s="12" t="n">
        <v>308</v>
      </c>
      <c r="B318" s="12" t="s">
        <v>241</v>
      </c>
      <c r="C318" s="12" t="s">
        <v>949</v>
      </c>
      <c r="D318" s="12" t="s">
        <v>1688</v>
      </c>
      <c r="E318" s="12" t="n">
        <v>3</v>
      </c>
      <c r="F318" s="12" t="s">
        <v>356</v>
      </c>
      <c r="G318" s="12" t="s">
        <v>1478</v>
      </c>
      <c r="H318" s="12" t="s">
        <v>94</v>
      </c>
      <c r="I318" s="12" t="s">
        <v>314</v>
      </c>
      <c r="J318" s="12"/>
      <c r="K318" s="12"/>
      <c r="L318" s="5" t="s">
        <v>952</v>
      </c>
      <c r="M318" s="33" t="n">
        <f aca="false">SUMIFS('Existing vs Saran'!$I$5:$I$210,'Existing vs Saran'!$N$5:$N$210,A318)</f>
        <v>138.43</v>
      </c>
      <c r="N318" s="12" t="s">
        <v>242</v>
      </c>
      <c r="O318" s="5" t="s">
        <v>1689</v>
      </c>
      <c r="P318" s="12"/>
    </row>
    <row r="319" customFormat="false" ht="23.85" hidden="false" customHeight="false" outlineLevel="0" collapsed="false">
      <c r="A319" s="12" t="n">
        <v>309</v>
      </c>
      <c r="B319" s="12" t="s">
        <v>181</v>
      </c>
      <c r="C319" s="12" t="s">
        <v>949</v>
      </c>
      <c r="D319" s="12" t="s">
        <v>1688</v>
      </c>
      <c r="E319" s="12" t="n">
        <v>4</v>
      </c>
      <c r="F319" s="12" t="s">
        <v>356</v>
      </c>
      <c r="G319" s="12" t="s">
        <v>957</v>
      </c>
      <c r="H319" s="12" t="s">
        <v>1211</v>
      </c>
      <c r="I319" s="12" t="s">
        <v>314</v>
      </c>
      <c r="J319" s="12"/>
      <c r="K319" s="12"/>
      <c r="L319" s="5" t="s">
        <v>952</v>
      </c>
      <c r="M319" s="33" t="n">
        <f aca="false">SUMIFS('Existing vs Saran'!$I$5:$I$210,'Existing vs Saran'!$N$5:$N$210,A319)</f>
        <v>115.84</v>
      </c>
      <c r="N319" s="12" t="s">
        <v>182</v>
      </c>
      <c r="O319" s="5" t="s">
        <v>1690</v>
      </c>
      <c r="P319" s="12"/>
    </row>
    <row r="320" customFormat="false" ht="15" hidden="false" customHeight="false" outlineLevel="0" collapsed="false">
      <c r="A320" s="12" t="n">
        <v>310</v>
      </c>
      <c r="B320" s="12" t="s">
        <v>197</v>
      </c>
      <c r="C320" s="12" t="s">
        <v>949</v>
      </c>
      <c r="D320" s="12" t="s">
        <v>1688</v>
      </c>
      <c r="E320" s="12" t="n">
        <v>4</v>
      </c>
      <c r="F320" s="12" t="s">
        <v>356</v>
      </c>
      <c r="G320" s="12" t="s">
        <v>957</v>
      </c>
      <c r="H320" s="12" t="s">
        <v>94</v>
      </c>
      <c r="I320" s="12" t="s">
        <v>314</v>
      </c>
      <c r="J320" s="12"/>
      <c r="K320" s="12"/>
      <c r="L320" s="5"/>
      <c r="M320" s="33" t="n">
        <f aca="false">SUMIFS('Existing vs Saran'!$I$5:$I$210,'Existing vs Saran'!$N$5:$N$210,A320)</f>
        <v>216.67</v>
      </c>
      <c r="N320" s="12" t="s">
        <v>198</v>
      </c>
      <c r="O320" s="5" t="s">
        <v>1691</v>
      </c>
      <c r="P320" s="12"/>
    </row>
    <row r="321" customFormat="false" ht="15" hidden="false" customHeight="false" outlineLevel="0" collapsed="false">
      <c r="A321" s="12" t="n">
        <v>44</v>
      </c>
      <c r="B321" s="12" t="s">
        <v>84</v>
      </c>
      <c r="C321" s="12" t="s">
        <v>949</v>
      </c>
      <c r="D321" s="12" t="s">
        <v>1688</v>
      </c>
      <c r="E321" s="12" t="n">
        <v>5</v>
      </c>
      <c r="F321" s="12" t="s">
        <v>548</v>
      </c>
      <c r="G321" s="12" t="s">
        <v>1134</v>
      </c>
      <c r="H321" s="12" t="s">
        <v>85</v>
      </c>
      <c r="I321" s="12" t="s">
        <v>314</v>
      </c>
      <c r="J321" s="12"/>
      <c r="K321" s="12"/>
      <c r="L321" s="5"/>
      <c r="M321" s="33" t="n">
        <f aca="false">SUMIFS('Existing vs Saran'!$I$5:$I$210,'Existing vs Saran'!$N$5:$N$210,A321)</f>
        <v>155.97</v>
      </c>
      <c r="N321" s="12" t="s">
        <v>87</v>
      </c>
      <c r="O321" s="5" t="s">
        <v>956</v>
      </c>
      <c r="P321" s="12"/>
    </row>
    <row r="322" customFormat="false" ht="23.85" hidden="false" customHeight="false" outlineLevel="0" collapsed="false">
      <c r="A322" s="12" t="n">
        <v>77</v>
      </c>
      <c r="B322" s="12" t="s">
        <v>256</v>
      </c>
      <c r="C322" s="12" t="s">
        <v>949</v>
      </c>
      <c r="D322" s="12" t="s">
        <v>1688</v>
      </c>
      <c r="E322" s="12" t="n">
        <v>5</v>
      </c>
      <c r="F322" s="12" t="s">
        <v>379</v>
      </c>
      <c r="G322" s="12" t="s">
        <v>1029</v>
      </c>
      <c r="H322" s="12" t="s">
        <v>94</v>
      </c>
      <c r="I322" s="12" t="s">
        <v>314</v>
      </c>
      <c r="J322" s="12"/>
      <c r="K322" s="12"/>
      <c r="L322" s="5"/>
      <c r="M322" s="33" t="n">
        <f aca="false">SUMIFS('Existing vs Saran'!$I$5:$I$210,'Existing vs Saran'!$N$5:$N$210,A322)</f>
        <v>98.11</v>
      </c>
      <c r="N322" s="12" t="s">
        <v>257</v>
      </c>
      <c r="O322" s="5" t="s">
        <v>1692</v>
      </c>
      <c r="P322" s="12"/>
    </row>
    <row r="323" customFormat="false" ht="15" hidden="false" customHeight="false" outlineLevel="0" collapsed="false">
      <c r="A323" s="12" t="n">
        <v>340</v>
      </c>
      <c r="B323" s="12" t="s">
        <v>235</v>
      </c>
      <c r="C323" s="12" t="s">
        <v>949</v>
      </c>
      <c r="D323" s="12" t="s">
        <v>1688</v>
      </c>
      <c r="E323" s="12" t="n">
        <v>5</v>
      </c>
      <c r="F323" s="12" t="s">
        <v>797</v>
      </c>
      <c r="G323" s="12" t="s">
        <v>995</v>
      </c>
      <c r="H323" s="12" t="s">
        <v>94</v>
      </c>
      <c r="I323" s="12" t="s">
        <v>314</v>
      </c>
      <c r="J323" s="12"/>
      <c r="K323" s="12"/>
      <c r="L323" s="5"/>
      <c r="M323" s="33" t="n">
        <f aca="false">SUMIFS('Existing vs Saran'!$I$5:$I$210,'Existing vs Saran'!$N$5:$N$210,A323)</f>
        <v>139.57</v>
      </c>
      <c r="N323" s="12" t="s">
        <v>236</v>
      </c>
      <c r="O323" s="5" t="s">
        <v>956</v>
      </c>
      <c r="P323" s="12"/>
    </row>
    <row r="324" customFormat="false" ht="23.85" hidden="false" customHeight="false" outlineLevel="0" collapsed="false">
      <c r="A324" s="12" t="n">
        <v>363</v>
      </c>
      <c r="B324" s="12" t="s">
        <v>245</v>
      </c>
      <c r="C324" s="12" t="s">
        <v>949</v>
      </c>
      <c r="D324" s="12" t="s">
        <v>1688</v>
      </c>
      <c r="E324" s="12" t="n">
        <v>5</v>
      </c>
      <c r="F324" s="12" t="s">
        <v>914</v>
      </c>
      <c r="G324" s="12" t="s">
        <v>1128</v>
      </c>
      <c r="H324" s="12" t="s">
        <v>94</v>
      </c>
      <c r="I324" s="12" t="s">
        <v>314</v>
      </c>
      <c r="J324" s="12"/>
      <c r="K324" s="12"/>
      <c r="L324" s="5"/>
      <c r="M324" s="33" t="n">
        <f aca="false">SUMIFS('Existing vs Saran'!$I$5:$I$210,'Existing vs Saran'!$N$5:$N$210,A324)</f>
        <v>137.43</v>
      </c>
      <c r="N324" s="12" t="s">
        <v>246</v>
      </c>
      <c r="O324" s="5" t="s">
        <v>1122</v>
      </c>
      <c r="P324" s="12"/>
    </row>
    <row r="325" customFormat="false" ht="15" hidden="false" customHeight="false" outlineLevel="0" collapsed="false">
      <c r="A325" s="12" t="n">
        <v>255</v>
      </c>
      <c r="B325" s="12" t="s">
        <v>141</v>
      </c>
      <c r="C325" s="12" t="s">
        <v>949</v>
      </c>
      <c r="D325" s="12" t="s">
        <v>1688</v>
      </c>
      <c r="E325" s="12" t="n">
        <v>4</v>
      </c>
      <c r="F325" s="12" t="s">
        <v>351</v>
      </c>
      <c r="G325" s="12"/>
      <c r="H325" s="12" t="s">
        <v>85</v>
      </c>
      <c r="I325" s="12" t="s">
        <v>314</v>
      </c>
      <c r="J325" s="12"/>
      <c r="K325" s="12"/>
      <c r="L325" s="5" t="s">
        <v>952</v>
      </c>
      <c r="M325" s="33" t="n">
        <f aca="false">SUMIFS('Existing vs Saran'!$I$5:$I$210,'Existing vs Saran'!$N$5:$N$210,A325)</f>
        <v>128.24</v>
      </c>
      <c r="N325" s="12" t="s">
        <v>142</v>
      </c>
      <c r="O325" s="5" t="s">
        <v>1506</v>
      </c>
      <c r="P325" s="12"/>
    </row>
    <row r="326" customFormat="false" ht="35.05" hidden="false" customHeight="false" outlineLevel="0" collapsed="false">
      <c r="A326" s="12" t="n">
        <v>364</v>
      </c>
      <c r="B326" s="12" t="s">
        <v>218</v>
      </c>
      <c r="C326" s="12" t="s">
        <v>949</v>
      </c>
      <c r="D326" s="12" t="s">
        <v>1688</v>
      </c>
      <c r="E326" s="12" t="n">
        <v>3</v>
      </c>
      <c r="F326" s="12" t="s">
        <v>914</v>
      </c>
      <c r="G326" s="12" t="s">
        <v>1128</v>
      </c>
      <c r="H326" s="12" t="s">
        <v>1211</v>
      </c>
      <c r="I326" s="12" t="s">
        <v>314</v>
      </c>
      <c r="J326" s="12"/>
      <c r="K326" s="12"/>
      <c r="L326" s="5"/>
      <c r="M326" s="33" t="n">
        <f aca="false">SUMIFS('Existing vs Saran'!$I$5:$I$210,'Existing vs Saran'!$N$5:$N$210,A326)</f>
        <v>182</v>
      </c>
      <c r="N326" s="12" t="s">
        <v>219</v>
      </c>
      <c r="O326" s="5" t="s">
        <v>1693</v>
      </c>
      <c r="P326" s="12"/>
    </row>
    <row r="327" customFormat="false" ht="15" hidden="false" customHeight="false" outlineLevel="0" collapsed="false">
      <c r="A327" s="12" t="n">
        <v>389</v>
      </c>
      <c r="B327" s="12" t="s">
        <v>124</v>
      </c>
      <c r="C327" s="12" t="s">
        <v>949</v>
      </c>
      <c r="D327" s="12" t="s">
        <v>1688</v>
      </c>
      <c r="E327" s="12" t="n">
        <v>4</v>
      </c>
      <c r="F327" s="12" t="s">
        <v>917</v>
      </c>
      <c r="G327" s="12" t="s">
        <v>1694</v>
      </c>
      <c r="H327" s="12" t="s">
        <v>1211</v>
      </c>
      <c r="I327" s="12" t="s">
        <v>314</v>
      </c>
      <c r="J327" s="12"/>
      <c r="K327" s="12"/>
      <c r="L327" s="5"/>
      <c r="M327" s="33" t="n">
        <f aca="false">SUMIFS('Existing vs Saran'!$I$5:$I$210,'Existing vs Saran'!$N$5:$N$210,A327)</f>
        <v>209.71</v>
      </c>
      <c r="N327" s="12" t="s">
        <v>125</v>
      </c>
      <c r="O327" s="5" t="s">
        <v>954</v>
      </c>
      <c r="P327" s="12"/>
    </row>
    <row r="328" customFormat="false" ht="23.85" hidden="false" customHeight="false" outlineLevel="0" collapsed="false">
      <c r="A328" s="12" t="n">
        <v>262</v>
      </c>
      <c r="B328" s="12" t="s">
        <v>187</v>
      </c>
      <c r="C328" s="12" t="s">
        <v>949</v>
      </c>
      <c r="D328" s="12" t="s">
        <v>1688</v>
      </c>
      <c r="E328" s="12" t="n">
        <v>4</v>
      </c>
      <c r="F328" s="12" t="s">
        <v>351</v>
      </c>
      <c r="G328" s="12" t="s">
        <v>1172</v>
      </c>
      <c r="H328" s="12" t="s">
        <v>94</v>
      </c>
      <c r="I328" s="12" t="s">
        <v>314</v>
      </c>
      <c r="J328" s="12"/>
      <c r="K328" s="12"/>
      <c r="L328" s="5" t="s">
        <v>952</v>
      </c>
      <c r="M328" s="33" t="n">
        <f aca="false">SUMIFS('Existing vs Saran'!$I$5:$I$210,'Existing vs Saran'!$N$5:$N$210,A328)</f>
        <v>111.18</v>
      </c>
      <c r="N328" s="12" t="s">
        <v>188</v>
      </c>
      <c r="O328" s="5" t="s">
        <v>1152</v>
      </c>
      <c r="P328" s="12"/>
    </row>
    <row r="329" customFormat="false" ht="23.85" hidden="false" customHeight="false" outlineLevel="0" collapsed="false">
      <c r="A329" s="12" t="n">
        <v>374</v>
      </c>
      <c r="B329" s="12" t="s">
        <v>224</v>
      </c>
      <c r="C329" s="12" t="s">
        <v>949</v>
      </c>
      <c r="D329" s="12" t="s">
        <v>1688</v>
      </c>
      <c r="E329" s="12" t="n">
        <v>5</v>
      </c>
      <c r="F329" s="12" t="s">
        <v>916</v>
      </c>
      <c r="G329" s="12" t="s">
        <v>1143</v>
      </c>
      <c r="H329" s="12" t="s">
        <v>94</v>
      </c>
      <c r="I329" s="12" t="s">
        <v>314</v>
      </c>
      <c r="J329" s="12"/>
      <c r="K329" s="12"/>
      <c r="L329" s="5"/>
      <c r="M329" s="33" t="n">
        <f aca="false">SUMIFS('Existing vs Saran'!$I$5:$I$210,'Existing vs Saran'!$N$5:$N$210,A329)</f>
        <v>182</v>
      </c>
      <c r="N329" s="12" t="s">
        <v>225</v>
      </c>
      <c r="O329" s="5" t="s">
        <v>1122</v>
      </c>
      <c r="P329" s="12"/>
    </row>
    <row r="330" customFormat="false" ht="23.85" hidden="false" customHeight="false" outlineLevel="0" collapsed="false">
      <c r="A330" s="12" t="n">
        <v>375</v>
      </c>
      <c r="B330" s="12" t="s">
        <v>211</v>
      </c>
      <c r="C330" s="12" t="s">
        <v>949</v>
      </c>
      <c r="D330" s="12" t="s">
        <v>1688</v>
      </c>
      <c r="E330" s="12" t="n">
        <v>5</v>
      </c>
      <c r="F330" s="12" t="s">
        <v>916</v>
      </c>
      <c r="G330" s="12" t="s">
        <v>1143</v>
      </c>
      <c r="H330" s="12" t="s">
        <v>94</v>
      </c>
      <c r="I330" s="12" t="s">
        <v>314</v>
      </c>
      <c r="J330" s="12"/>
      <c r="K330" s="12"/>
      <c r="L330" s="5"/>
      <c r="M330" s="33" t="n">
        <f aca="false">SUMIFS('Existing vs Saran'!$I$5:$I$210,'Existing vs Saran'!$N$5:$N$210,A330)</f>
        <v>182</v>
      </c>
      <c r="N330" s="12" t="s">
        <v>212</v>
      </c>
      <c r="O330" s="5" t="s">
        <v>1122</v>
      </c>
      <c r="P330" s="12"/>
    </row>
    <row r="331" customFormat="false" ht="23.85" hidden="false" customHeight="false" outlineLevel="0" collapsed="false">
      <c r="A331" s="12" t="n">
        <v>365</v>
      </c>
      <c r="B331" s="12" t="s">
        <v>118</v>
      </c>
      <c r="C331" s="12" t="s">
        <v>949</v>
      </c>
      <c r="D331" s="12" t="s">
        <v>1688</v>
      </c>
      <c r="E331" s="12" t="n">
        <v>5</v>
      </c>
      <c r="F331" s="12" t="s">
        <v>914</v>
      </c>
      <c r="G331" s="12" t="s">
        <v>1695</v>
      </c>
      <c r="H331" s="12" t="s">
        <v>94</v>
      </c>
      <c r="I331" s="12" t="s">
        <v>314</v>
      </c>
      <c r="J331" s="12"/>
      <c r="K331" s="12"/>
      <c r="L331" s="5"/>
      <c r="M331" s="33" t="n">
        <f aca="false">SUMIFS('Existing vs Saran'!$I$5:$I$210,'Existing vs Saran'!$N$5:$N$210,A331)</f>
        <v>143.22</v>
      </c>
      <c r="N331" s="12" t="s">
        <v>119</v>
      </c>
      <c r="O331" s="5" t="s">
        <v>1122</v>
      </c>
      <c r="P331" s="12"/>
    </row>
    <row r="332" customFormat="false" ht="15" hidden="false" customHeight="false" outlineLevel="0" collapsed="false">
      <c r="A332" s="12" t="n">
        <v>344</v>
      </c>
      <c r="B332" s="12" t="s">
        <v>184</v>
      </c>
      <c r="C332" s="12" t="s">
        <v>949</v>
      </c>
      <c r="D332" s="12" t="s">
        <v>1688</v>
      </c>
      <c r="E332" s="12" t="n">
        <v>5</v>
      </c>
      <c r="F332" s="12" t="s">
        <v>797</v>
      </c>
      <c r="G332" s="12" t="s">
        <v>995</v>
      </c>
      <c r="H332" s="12" t="s">
        <v>94</v>
      </c>
      <c r="I332" s="12" t="s">
        <v>314</v>
      </c>
      <c r="J332" s="12"/>
      <c r="K332" s="12"/>
      <c r="L332" s="5" t="s">
        <v>952</v>
      </c>
      <c r="M332" s="33" t="n">
        <f aca="false">SUMIFS('Existing vs Saran'!$I$5:$I$210,'Existing vs Saran'!$N$5:$N$210,A332)</f>
        <v>115.84</v>
      </c>
      <c r="N332" s="12" t="s">
        <v>185</v>
      </c>
      <c r="O332" s="5" t="s">
        <v>956</v>
      </c>
      <c r="P332" s="12"/>
    </row>
    <row r="333" customFormat="false" ht="23.85" hidden="false" customHeight="false" outlineLevel="0" collapsed="false">
      <c r="A333" s="12" t="n">
        <v>99</v>
      </c>
      <c r="B333" s="12" t="s">
        <v>93</v>
      </c>
      <c r="C333" s="12" t="s">
        <v>949</v>
      </c>
      <c r="D333" s="12" t="s">
        <v>1688</v>
      </c>
      <c r="E333" s="12" t="n">
        <v>5</v>
      </c>
      <c r="F333" s="12" t="s">
        <v>379</v>
      </c>
      <c r="G333" s="12" t="s">
        <v>1344</v>
      </c>
      <c r="H333" s="12" t="s">
        <v>94</v>
      </c>
      <c r="I333" s="12" t="s">
        <v>314</v>
      </c>
      <c r="J333" s="12"/>
      <c r="K333" s="12"/>
      <c r="L333" s="5"/>
      <c r="M333" s="33" t="n">
        <f aca="false">SUMIFS('Existing vs Saran'!$I$5:$I$210,'Existing vs Saran'!$N$5:$N$210,A333)</f>
        <v>155.29</v>
      </c>
      <c r="N333" s="12" t="s">
        <v>95</v>
      </c>
      <c r="O333" s="5" t="s">
        <v>1696</v>
      </c>
      <c r="P333" s="12"/>
    </row>
    <row r="334" customFormat="false" ht="15" hidden="false" customHeight="false" outlineLevel="0" collapsed="false">
      <c r="A334" s="12" t="n">
        <v>276</v>
      </c>
      <c r="B334" s="12" t="s">
        <v>134</v>
      </c>
      <c r="C334" s="12" t="s">
        <v>949</v>
      </c>
      <c r="D334" s="12" t="s">
        <v>1688</v>
      </c>
      <c r="E334" s="12" t="n">
        <v>3</v>
      </c>
      <c r="F334" s="12" t="s">
        <v>351</v>
      </c>
      <c r="G334" s="12" t="s">
        <v>777</v>
      </c>
      <c r="H334" s="12" t="s">
        <v>94</v>
      </c>
      <c r="I334" s="12" t="s">
        <v>314</v>
      </c>
      <c r="J334" s="12"/>
      <c r="K334" s="12"/>
      <c r="L334" s="5"/>
      <c r="M334" s="33" t="n">
        <f aca="false">SUMIFS('Existing vs Saran'!$I$5:$I$210,'Existing vs Saran'!$N$5:$N$210,A334)</f>
        <v>114.74</v>
      </c>
      <c r="N334" s="12" t="s">
        <v>135</v>
      </c>
      <c r="O334" s="5" t="s">
        <v>1697</v>
      </c>
      <c r="P334" s="12"/>
    </row>
    <row r="335" customFormat="false" ht="15" hidden="false" customHeight="false" outlineLevel="0" collapsed="false">
      <c r="A335" s="12" t="n">
        <v>283</v>
      </c>
      <c r="B335" s="12" t="s">
        <v>105</v>
      </c>
      <c r="C335" s="12" t="s">
        <v>949</v>
      </c>
      <c r="D335" s="12" t="s">
        <v>1688</v>
      </c>
      <c r="E335" s="12" t="n">
        <v>4</v>
      </c>
      <c r="F335" s="12" t="s">
        <v>351</v>
      </c>
      <c r="G335" s="12" t="s">
        <v>777</v>
      </c>
      <c r="H335" s="12" t="s">
        <v>106</v>
      </c>
      <c r="I335" s="12" t="s">
        <v>314</v>
      </c>
      <c r="J335" s="12"/>
      <c r="K335" s="12"/>
      <c r="L335" s="5"/>
      <c r="M335" s="33" t="n">
        <f aca="false">SUMIFS('Existing vs Saran'!$I$5:$I$210,'Existing vs Saran'!$N$5:$N$210,A335)</f>
        <v>155.13</v>
      </c>
      <c r="N335" s="12" t="s">
        <v>107</v>
      </c>
      <c r="O335" s="5" t="s">
        <v>1012</v>
      </c>
      <c r="P335" s="12"/>
    </row>
    <row r="336" customFormat="false" ht="23.85" hidden="false" customHeight="false" outlineLevel="0" collapsed="false">
      <c r="A336" s="12" t="n">
        <v>284</v>
      </c>
      <c r="B336" s="12" t="s">
        <v>148</v>
      </c>
      <c r="C336" s="12" t="s">
        <v>949</v>
      </c>
      <c r="D336" s="12" t="s">
        <v>1688</v>
      </c>
      <c r="E336" s="12" t="n">
        <v>4</v>
      </c>
      <c r="F336" s="12" t="s">
        <v>351</v>
      </c>
      <c r="G336" s="12"/>
      <c r="H336" s="12" t="s">
        <v>94</v>
      </c>
      <c r="I336" s="12" t="s">
        <v>314</v>
      </c>
      <c r="J336" s="12"/>
      <c r="K336" s="12"/>
      <c r="L336" s="5"/>
      <c r="M336" s="33" t="n">
        <f aca="false">SUMIFS('Existing vs Saran'!$I$5:$I$210,'Existing vs Saran'!$N$5:$N$210,A336)</f>
        <v>120.59</v>
      </c>
      <c r="N336" s="12" t="s">
        <v>149</v>
      </c>
      <c r="O336" s="5" t="s">
        <v>1152</v>
      </c>
      <c r="P336" s="12"/>
    </row>
    <row r="337" customFormat="false" ht="15" hidden="false" customHeight="false" outlineLevel="0" collapsed="false">
      <c r="A337" s="12" t="n">
        <v>153</v>
      </c>
      <c r="B337" s="12" t="s">
        <v>129</v>
      </c>
      <c r="C337" s="12" t="s">
        <v>949</v>
      </c>
      <c r="D337" s="12" t="s">
        <v>1688</v>
      </c>
      <c r="E337" s="12" t="n">
        <v>5</v>
      </c>
      <c r="F337" s="12" t="s">
        <v>905</v>
      </c>
      <c r="G337" s="12" t="s">
        <v>1698</v>
      </c>
      <c r="H337" s="12" t="s">
        <v>94</v>
      </c>
      <c r="I337" s="12" t="s">
        <v>314</v>
      </c>
      <c r="J337" s="12"/>
      <c r="K337" s="12"/>
      <c r="L337" s="5"/>
      <c r="M337" s="33" t="n">
        <f aca="false">SUMIFS('Existing vs Saran'!$I$5:$I$210,'Existing vs Saran'!$N$5:$N$210,A337)</f>
        <v>205.52</v>
      </c>
      <c r="N337" s="12" t="s">
        <v>130</v>
      </c>
      <c r="O337" s="5" t="s">
        <v>954</v>
      </c>
      <c r="P337" s="12"/>
    </row>
    <row r="338" customFormat="false" ht="15" hidden="false" customHeight="false" outlineLevel="0" collapsed="false">
      <c r="A338" s="12" t="n">
        <v>324</v>
      </c>
      <c r="B338" s="12" t="s">
        <v>190</v>
      </c>
      <c r="C338" s="12" t="s">
        <v>949</v>
      </c>
      <c r="D338" s="12" t="s">
        <v>1688</v>
      </c>
      <c r="E338" s="12" t="n">
        <v>4</v>
      </c>
      <c r="F338" s="12" t="s">
        <v>356</v>
      </c>
      <c r="G338" s="12" t="s">
        <v>1699</v>
      </c>
      <c r="H338" s="12" t="s">
        <v>94</v>
      </c>
      <c r="I338" s="12" t="s">
        <v>314</v>
      </c>
      <c r="J338" s="12"/>
      <c r="K338" s="12"/>
      <c r="L338" s="5"/>
      <c r="M338" s="33" t="n">
        <f aca="false">SUMIFS('Existing vs Saran'!$I$5:$I$210,'Existing vs Saran'!$N$5:$N$210,A338)</f>
        <v>109.99</v>
      </c>
      <c r="N338" s="12" t="s">
        <v>191</v>
      </c>
      <c r="O338" s="5" t="s">
        <v>1700</v>
      </c>
      <c r="P338" s="12"/>
    </row>
    <row r="339" customFormat="false" ht="23.85" hidden="false" customHeight="false" outlineLevel="0" collapsed="false">
      <c r="A339" s="12" t="n">
        <v>138</v>
      </c>
      <c r="B339" s="12" t="s">
        <v>160</v>
      </c>
      <c r="C339" s="12" t="s">
        <v>949</v>
      </c>
      <c r="D339" s="12" t="s">
        <v>1688</v>
      </c>
      <c r="E339" s="12" t="n">
        <v>5</v>
      </c>
      <c r="F339" s="12" t="s">
        <v>904</v>
      </c>
      <c r="G339" s="12" t="s">
        <v>1203</v>
      </c>
      <c r="H339" s="12" t="s">
        <v>94</v>
      </c>
      <c r="I339" s="12" t="s">
        <v>314</v>
      </c>
      <c r="J339" s="12"/>
      <c r="K339" s="12"/>
      <c r="L339" s="5" t="s">
        <v>952</v>
      </c>
      <c r="M339" s="33" t="n">
        <f aca="false">SUMIFS('Existing vs Saran'!$I$5:$I$210,'Existing vs Saran'!$N$5:$N$210,A339)</f>
        <v>118.77</v>
      </c>
      <c r="N339" s="12" t="s">
        <v>161</v>
      </c>
      <c r="O339" s="5" t="s">
        <v>1122</v>
      </c>
      <c r="P339" s="12"/>
    </row>
    <row r="340" customFormat="false" ht="15" hidden="false" customHeight="false" outlineLevel="0" collapsed="false">
      <c r="A340" s="12" t="n">
        <v>291</v>
      </c>
      <c r="B340" s="12" t="s">
        <v>166</v>
      </c>
      <c r="C340" s="12" t="s">
        <v>949</v>
      </c>
      <c r="D340" s="12" t="s">
        <v>1688</v>
      </c>
      <c r="E340" s="12" t="n">
        <v>4</v>
      </c>
      <c r="F340" s="12" t="s">
        <v>351</v>
      </c>
      <c r="G340" s="12"/>
      <c r="H340" s="12" t="s">
        <v>94</v>
      </c>
      <c r="I340" s="12" t="s">
        <v>314</v>
      </c>
      <c r="J340" s="12"/>
      <c r="K340" s="12"/>
      <c r="L340" s="5" t="s">
        <v>952</v>
      </c>
      <c r="M340" s="33" t="n">
        <f aca="false">SUMIFS('Existing vs Saran'!$I$5:$I$210,'Existing vs Saran'!$N$5:$N$210,A340)</f>
        <v>117.05</v>
      </c>
      <c r="N340" s="12" t="s">
        <v>167</v>
      </c>
      <c r="O340" s="5" t="s">
        <v>1506</v>
      </c>
      <c r="P340" s="12"/>
    </row>
    <row r="341" customFormat="false" ht="15" hidden="false" customHeight="false" outlineLevel="0" collapsed="false">
      <c r="A341" s="12" t="n">
        <v>60</v>
      </c>
      <c r="B341" s="12" t="s">
        <v>154</v>
      </c>
      <c r="C341" s="12" t="s">
        <v>949</v>
      </c>
      <c r="D341" s="12" t="s">
        <v>1688</v>
      </c>
      <c r="E341" s="12" t="n">
        <v>5</v>
      </c>
      <c r="F341" s="12" t="s">
        <v>548</v>
      </c>
      <c r="G341" s="12" t="s">
        <v>1134</v>
      </c>
      <c r="H341" s="12" t="s">
        <v>94</v>
      </c>
      <c r="I341" s="12" t="s">
        <v>314</v>
      </c>
      <c r="J341" s="12"/>
      <c r="K341" s="12"/>
      <c r="L341" s="5"/>
      <c r="M341" s="33" t="n">
        <f aca="false">SUMIFS('Existing vs Saran'!$I$5:$I$210,'Existing vs Saran'!$N$5:$N$210,A341)</f>
        <v>119.67</v>
      </c>
      <c r="N341" s="12" t="s">
        <v>155</v>
      </c>
      <c r="O341" s="5" t="s">
        <v>956</v>
      </c>
      <c r="P341" s="12"/>
    </row>
    <row r="342" customFormat="false" ht="15" hidden="false" customHeight="false" outlineLevel="0" collapsed="false">
      <c r="A342" s="12" t="n">
        <v>457</v>
      </c>
      <c r="B342" s="12" t="s">
        <v>151</v>
      </c>
      <c r="C342" s="12" t="s">
        <v>949</v>
      </c>
      <c r="D342" s="12" t="s">
        <v>1688</v>
      </c>
      <c r="E342" s="12" t="n">
        <v>4</v>
      </c>
      <c r="F342" s="12"/>
      <c r="G342" s="12"/>
      <c r="H342" s="12" t="s">
        <v>94</v>
      </c>
      <c r="I342" s="12" t="s">
        <v>314</v>
      </c>
      <c r="J342" s="12"/>
      <c r="K342" s="12"/>
      <c r="L342" s="5"/>
      <c r="M342" s="33" t="n">
        <f aca="false">SUMIFS('Existing vs Saran'!$I$5:$I$210,'Existing vs Saran'!$N$5:$N$210,A342)</f>
        <v>120.59</v>
      </c>
      <c r="N342" s="12" t="s">
        <v>152</v>
      </c>
      <c r="O342" s="5" t="s">
        <v>1506</v>
      </c>
      <c r="P342" s="12"/>
    </row>
    <row r="343" customFormat="false" ht="15" hidden="false" customHeight="false" outlineLevel="0" collapsed="false">
      <c r="A343" s="12" t="n">
        <v>330</v>
      </c>
      <c r="B343" s="12" t="s">
        <v>204</v>
      </c>
      <c r="C343" s="12" t="s">
        <v>949</v>
      </c>
      <c r="D343" s="12" t="s">
        <v>1688</v>
      </c>
      <c r="E343" s="12" t="n">
        <v>3</v>
      </c>
      <c r="F343" s="12" t="s">
        <v>356</v>
      </c>
      <c r="G343" s="12" t="s">
        <v>1116</v>
      </c>
      <c r="H343" s="12" t="s">
        <v>94</v>
      </c>
      <c r="I343" s="12" t="s">
        <v>314</v>
      </c>
      <c r="J343" s="12"/>
      <c r="K343" s="12"/>
      <c r="L343" s="5"/>
      <c r="M343" s="33" t="n">
        <f aca="false">SUMIFS('Existing vs Saran'!$I$5:$I$210,'Existing vs Saran'!$N$5:$N$210,A343)</f>
        <v>216.67</v>
      </c>
      <c r="N343" s="12" t="s">
        <v>205</v>
      </c>
      <c r="O343" s="5" t="s">
        <v>1126</v>
      </c>
      <c r="P343" s="12"/>
    </row>
    <row r="344" customFormat="false" ht="15" hidden="false" customHeight="false" outlineLevel="0" collapsed="false">
      <c r="A344" s="12" t="n">
        <v>357</v>
      </c>
      <c r="B344" s="12" t="s">
        <v>178</v>
      </c>
      <c r="C344" s="12" t="s">
        <v>949</v>
      </c>
      <c r="D344" s="12" t="s">
        <v>1688</v>
      </c>
      <c r="E344" s="12" t="n">
        <v>5</v>
      </c>
      <c r="F344" s="12" t="s">
        <v>797</v>
      </c>
      <c r="G344" s="12" t="s">
        <v>995</v>
      </c>
      <c r="H344" s="12" t="s">
        <v>94</v>
      </c>
      <c r="I344" s="12" t="s">
        <v>314</v>
      </c>
      <c r="J344" s="12"/>
      <c r="K344" s="12"/>
      <c r="L344" s="5"/>
      <c r="M344" s="33" t="n">
        <f aca="false">SUMIFS('Existing vs Saran'!$I$5:$I$210,'Existing vs Saran'!$N$5:$N$210,A344)</f>
        <v>117</v>
      </c>
      <c r="N344" s="12" t="s">
        <v>179</v>
      </c>
      <c r="O344" s="5" t="s">
        <v>956</v>
      </c>
      <c r="P344" s="12"/>
    </row>
    <row r="345" customFormat="false" ht="15" hidden="false" customHeight="false" outlineLevel="0" collapsed="false">
      <c r="A345" s="12" t="n">
        <v>334</v>
      </c>
      <c r="B345" s="12" t="s">
        <v>250</v>
      </c>
      <c r="C345" s="12" t="s">
        <v>949</v>
      </c>
      <c r="D345" s="12" t="s">
        <v>1688</v>
      </c>
      <c r="E345" s="12" t="n">
        <v>5</v>
      </c>
      <c r="F345" s="12" t="s">
        <v>356</v>
      </c>
      <c r="G345" s="12" t="s">
        <v>1143</v>
      </c>
      <c r="H345" s="12" t="s">
        <v>94</v>
      </c>
      <c r="I345" s="12" t="s">
        <v>314</v>
      </c>
      <c r="J345" s="12"/>
      <c r="K345" s="12"/>
      <c r="L345" s="5" t="s">
        <v>952</v>
      </c>
      <c r="M345" s="33" t="n">
        <f aca="false">SUMIFS('Existing vs Saran'!$I$5:$I$210,'Existing vs Saran'!$N$5:$N$210,A345)</f>
        <v>187.59</v>
      </c>
      <c r="N345" s="12" t="s">
        <v>251</v>
      </c>
      <c r="O345" s="5" t="s">
        <v>1701</v>
      </c>
      <c r="P345" s="12"/>
    </row>
    <row r="346" customFormat="false" ht="23.85" hidden="false" customHeight="false" outlineLevel="0" collapsed="false">
      <c r="A346" s="12" t="n">
        <v>380</v>
      </c>
      <c r="B346" s="12" t="s">
        <v>111</v>
      </c>
      <c r="C346" s="12" t="s">
        <v>949</v>
      </c>
      <c r="D346" s="12" t="s">
        <v>1688</v>
      </c>
      <c r="E346" s="12" t="n">
        <v>5</v>
      </c>
      <c r="F346" s="12" t="s">
        <v>916</v>
      </c>
      <c r="G346" s="12" t="s">
        <v>1547</v>
      </c>
      <c r="H346" s="12" t="s">
        <v>94</v>
      </c>
      <c r="I346" s="12" t="s">
        <v>314</v>
      </c>
      <c r="J346" s="12"/>
      <c r="K346" s="12"/>
      <c r="L346" s="5"/>
      <c r="M346" s="33" t="n">
        <f aca="false">SUMIFS('Existing vs Saran'!$I$5:$I$210,'Existing vs Saran'!$N$5:$N$210,A346)</f>
        <v>213.04</v>
      </c>
      <c r="N346" s="12" t="s">
        <v>112</v>
      </c>
      <c r="O346" s="5" t="s">
        <v>1702</v>
      </c>
      <c r="P346" s="12"/>
    </row>
    <row r="347" customFormat="false" ht="35.05" hidden="false" customHeight="false" outlineLevel="0" collapsed="false">
      <c r="A347" s="12" t="n">
        <v>382</v>
      </c>
      <c r="B347" s="12" t="s">
        <v>229</v>
      </c>
      <c r="C347" s="12" t="s">
        <v>949</v>
      </c>
      <c r="D347" s="12" t="s">
        <v>1688</v>
      </c>
      <c r="E347" s="12" t="n">
        <v>4</v>
      </c>
      <c r="F347" s="12" t="s">
        <v>916</v>
      </c>
      <c r="G347" s="12" t="s">
        <v>1299</v>
      </c>
      <c r="H347" s="12" t="s">
        <v>94</v>
      </c>
      <c r="I347" s="12" t="s">
        <v>314</v>
      </c>
      <c r="J347" s="12"/>
      <c r="K347" s="12"/>
      <c r="L347" s="5"/>
      <c r="M347" s="33" t="n">
        <f aca="false">SUMIFS('Existing vs Saran'!$I$5:$I$210,'Existing vs Saran'!$N$5:$N$210,A347)</f>
        <v>215.02</v>
      </c>
      <c r="N347" s="12" t="s">
        <v>230</v>
      </c>
      <c r="O347" s="5" t="s">
        <v>1703</v>
      </c>
      <c r="P347" s="12"/>
    </row>
    <row r="348" customFormat="false" ht="15" hidden="false" customHeight="false" outlineLevel="0" collapsed="false">
      <c r="A348" s="12" t="n">
        <v>65</v>
      </c>
      <c r="B348" s="12" t="s">
        <v>99</v>
      </c>
      <c r="C348" s="12" t="s">
        <v>949</v>
      </c>
      <c r="D348" s="12" t="s">
        <v>1688</v>
      </c>
      <c r="E348" s="12" t="n">
        <v>4</v>
      </c>
      <c r="F348" s="12" t="s">
        <v>548</v>
      </c>
      <c r="G348" s="12" t="s">
        <v>1134</v>
      </c>
      <c r="H348" s="12" t="s">
        <v>94</v>
      </c>
      <c r="I348" s="12" t="s">
        <v>314</v>
      </c>
      <c r="J348" s="12"/>
      <c r="K348" s="12"/>
      <c r="L348" s="5"/>
      <c r="M348" s="33" t="n">
        <f aca="false">SUMIFS('Existing vs Saran'!$I$5:$I$210,'Existing vs Saran'!$N$5:$N$210,A348)</f>
        <v>218.55</v>
      </c>
      <c r="N348" s="12" t="s">
        <v>100</v>
      </c>
      <c r="O348" s="5" t="s">
        <v>1704</v>
      </c>
      <c r="P348" s="12"/>
    </row>
    <row r="349" customFormat="false" ht="15" hidden="false" customHeight="false" outlineLevel="0" collapsed="false">
      <c r="A349" s="12" t="n">
        <v>303</v>
      </c>
      <c r="B349" s="12" t="s">
        <v>172</v>
      </c>
      <c r="C349" s="12" t="s">
        <v>949</v>
      </c>
      <c r="D349" s="12" t="s">
        <v>1688</v>
      </c>
      <c r="E349" s="12" t="n">
        <v>4</v>
      </c>
      <c r="F349" s="12" t="s">
        <v>351</v>
      </c>
      <c r="G349" s="12" t="s">
        <v>1113</v>
      </c>
      <c r="H349" s="12" t="s">
        <v>94</v>
      </c>
      <c r="I349" s="12" t="s">
        <v>314</v>
      </c>
      <c r="J349" s="12"/>
      <c r="K349" s="12"/>
      <c r="L349" s="5"/>
      <c r="M349" s="33" t="n">
        <f aca="false">SUMIFS('Existing vs Saran'!$I$5:$I$210,'Existing vs Saran'!$N$5:$N$210,A349)</f>
        <v>117</v>
      </c>
      <c r="N349" s="12" t="s">
        <v>173</v>
      </c>
      <c r="O349" s="5" t="s">
        <v>1012</v>
      </c>
      <c r="P349" s="12"/>
    </row>
    <row r="350" customFormat="false" ht="15" hidden="false" customHeight="false" outlineLevel="0" collapsed="false">
      <c r="A350" s="12" t="n">
        <v>408</v>
      </c>
      <c r="B350" s="12" t="s">
        <v>443</v>
      </c>
      <c r="C350" s="12" t="s">
        <v>949</v>
      </c>
      <c r="D350" s="12" t="s">
        <v>373</v>
      </c>
      <c r="E350" s="12" t="n">
        <v>4</v>
      </c>
      <c r="F350" s="12" t="s">
        <v>22</v>
      </c>
      <c r="G350" s="12" t="s">
        <v>1044</v>
      </c>
      <c r="H350" s="12" t="s">
        <v>94</v>
      </c>
      <c r="I350" s="12" t="s">
        <v>339</v>
      </c>
      <c r="J350" s="12" t="s">
        <v>314</v>
      </c>
      <c r="K350" s="12"/>
      <c r="L350" s="5"/>
      <c r="M350" s="33" t="n">
        <f aca="false">SUMIFS('Existing vs Saran'!$I$5:$I$210,'Existing vs Saran'!$N$5:$N$210,A350)</f>
        <v>0</v>
      </c>
      <c r="N350" s="12" t="s">
        <v>1705</v>
      </c>
      <c r="O350" s="5" t="s">
        <v>1706</v>
      </c>
      <c r="P350" s="12"/>
    </row>
    <row r="351" customFormat="false" ht="15" hidden="false" customHeight="false" outlineLevel="0" collapsed="false">
      <c r="A351" s="12" t="n">
        <v>159</v>
      </c>
      <c r="B351" s="12" t="s">
        <v>401</v>
      </c>
      <c r="C351" s="12" t="s">
        <v>949</v>
      </c>
      <c r="D351" s="12" t="s">
        <v>373</v>
      </c>
      <c r="E351" s="12" t="n">
        <v>5</v>
      </c>
      <c r="F351" s="12" t="s">
        <v>18</v>
      </c>
      <c r="G351" s="12" t="s">
        <v>82</v>
      </c>
      <c r="H351" s="12" t="s">
        <v>94</v>
      </c>
      <c r="I351" s="12" t="s">
        <v>314</v>
      </c>
      <c r="J351" s="12" t="s">
        <v>314</v>
      </c>
      <c r="K351" s="12"/>
      <c r="L351" s="5"/>
      <c r="M351" s="33" t="n">
        <f aca="false">SUMIFS('Existing vs Saran'!$I$5:$I$210,'Existing vs Saran'!$N$5:$N$210,A351)</f>
        <v>0</v>
      </c>
      <c r="N351" s="12" t="s">
        <v>1707</v>
      </c>
      <c r="O351" s="5" t="s">
        <v>954</v>
      </c>
      <c r="P351" s="12"/>
    </row>
    <row r="352" customFormat="false" ht="23.85" hidden="false" customHeight="false" outlineLevel="0" collapsed="false">
      <c r="A352" s="12" t="n">
        <v>422</v>
      </c>
      <c r="B352" s="12" t="s">
        <v>440</v>
      </c>
      <c r="C352" s="12" t="s">
        <v>949</v>
      </c>
      <c r="D352" s="12" t="s">
        <v>373</v>
      </c>
      <c r="E352" s="12" t="n">
        <v>5</v>
      </c>
      <c r="F352" s="12" t="s">
        <v>22</v>
      </c>
      <c r="G352" s="12" t="s">
        <v>209</v>
      </c>
      <c r="H352" s="12" t="s">
        <v>94</v>
      </c>
      <c r="I352" s="12" t="s">
        <v>314</v>
      </c>
      <c r="J352" s="12" t="s">
        <v>314</v>
      </c>
      <c r="K352" s="12"/>
      <c r="L352" s="5"/>
      <c r="M352" s="33" t="n">
        <f aca="false">SUMIFS('Existing vs Saran'!$I$5:$I$210,'Existing vs Saran'!$N$5:$N$210,A352)</f>
        <v>0</v>
      </c>
      <c r="N352" s="12" t="s">
        <v>1708</v>
      </c>
      <c r="O352" s="5" t="s">
        <v>1016</v>
      </c>
      <c r="P352" s="12"/>
    </row>
    <row r="353" customFormat="false" ht="15" hidden="false" customHeight="false" outlineLevel="0" collapsed="false">
      <c r="A353" s="12" t="n">
        <v>193</v>
      </c>
      <c r="B353" s="12" t="s">
        <v>407</v>
      </c>
      <c r="C353" s="12" t="s">
        <v>949</v>
      </c>
      <c r="D353" s="12" t="s">
        <v>373</v>
      </c>
      <c r="E353" s="12" t="n">
        <v>4</v>
      </c>
      <c r="F353" s="12" t="s">
        <v>20</v>
      </c>
      <c r="G353" s="12" t="s">
        <v>139</v>
      </c>
      <c r="H353" s="12" t="s">
        <v>94</v>
      </c>
      <c r="I353" s="12" t="s">
        <v>314</v>
      </c>
      <c r="J353" s="12" t="s">
        <v>314</v>
      </c>
      <c r="K353" s="12"/>
      <c r="L353" s="5"/>
      <c r="M353" s="33" t="n">
        <f aca="false">SUMIFS('Existing vs Saran'!$I$5:$I$210,'Existing vs Saran'!$N$5:$N$210,A353)</f>
        <v>0</v>
      </c>
      <c r="N353" s="12" t="s">
        <v>1709</v>
      </c>
      <c r="O353" s="5" t="s">
        <v>1710</v>
      </c>
      <c r="P353" s="12"/>
    </row>
    <row r="354" customFormat="false" ht="15" hidden="false" customHeight="false" outlineLevel="0" collapsed="false">
      <c r="A354" s="12" t="n">
        <v>459</v>
      </c>
      <c r="B354" s="12" t="s">
        <v>413</v>
      </c>
      <c r="C354" s="12" t="s">
        <v>949</v>
      </c>
      <c r="D354" s="12" t="s">
        <v>373</v>
      </c>
      <c r="E354" s="12"/>
      <c r="F354" s="12" t="s">
        <v>20</v>
      </c>
      <c r="G354" s="12" t="s">
        <v>707</v>
      </c>
      <c r="H354" s="12" t="s">
        <v>106</v>
      </c>
      <c r="I354" s="12" t="s">
        <v>339</v>
      </c>
      <c r="J354" s="12" t="s">
        <v>314</v>
      </c>
      <c r="K354" s="12"/>
      <c r="L354" s="5"/>
      <c r="M354" s="33" t="n">
        <f aca="false">SUMIFS('Existing vs Saran'!$I$5:$I$210,'Existing vs Saran'!$N$5:$N$210,A354)</f>
        <v>0</v>
      </c>
      <c r="N354" s="12"/>
      <c r="O354" s="5"/>
      <c r="P354" s="12"/>
    </row>
    <row r="355" customFormat="false" ht="15" hidden="false" customHeight="false" outlineLevel="0" collapsed="false">
      <c r="A355" s="12" t="n">
        <v>458</v>
      </c>
      <c r="B355" s="12" t="s">
        <v>381</v>
      </c>
      <c r="C355" s="12" t="s">
        <v>949</v>
      </c>
      <c r="D355" s="12" t="s">
        <v>373</v>
      </c>
      <c r="E355" s="12"/>
      <c r="F355" s="12" t="s">
        <v>379</v>
      </c>
      <c r="G355" s="12" t="s">
        <v>571</v>
      </c>
      <c r="H355" s="12" t="s">
        <v>106</v>
      </c>
      <c r="I355" s="12" t="s">
        <v>339</v>
      </c>
      <c r="J355" s="12" t="s">
        <v>314</v>
      </c>
      <c r="K355" s="12"/>
      <c r="L355" s="5"/>
      <c r="M355" s="33" t="n">
        <f aca="false">SUMIFS('Existing vs Saran'!$I$5:$I$210,'Existing vs Saran'!$N$5:$N$210,A355)</f>
        <v>0</v>
      </c>
      <c r="N355" s="12"/>
      <c r="O355" s="5"/>
      <c r="P355" s="12"/>
    </row>
    <row r="356" customFormat="false" ht="23.85" hidden="false" customHeight="false" outlineLevel="0" collapsed="false">
      <c r="A356" s="12" t="n">
        <v>194</v>
      </c>
      <c r="B356" s="12" t="s">
        <v>420</v>
      </c>
      <c r="C356" s="12" t="s">
        <v>949</v>
      </c>
      <c r="D356" s="12" t="s">
        <v>373</v>
      </c>
      <c r="E356" s="12" t="n">
        <v>4</v>
      </c>
      <c r="F356" s="12" t="s">
        <v>20</v>
      </c>
      <c r="G356" s="12" t="s">
        <v>707</v>
      </c>
      <c r="H356" s="12" t="s">
        <v>94</v>
      </c>
      <c r="I356" s="12" t="s">
        <v>314</v>
      </c>
      <c r="J356" s="12" t="s">
        <v>314</v>
      </c>
      <c r="K356" s="12"/>
      <c r="L356" s="5"/>
      <c r="M356" s="33" t="n">
        <f aca="false">SUMIFS('Existing vs Saran'!$I$5:$I$210,'Existing vs Saran'!$N$5:$N$210,A356)</f>
        <v>0</v>
      </c>
      <c r="N356" s="12" t="s">
        <v>1711</v>
      </c>
      <c r="O356" s="5" t="s">
        <v>1712</v>
      </c>
      <c r="P356" s="12"/>
    </row>
    <row r="357" customFormat="false" ht="23.85" hidden="false" customHeight="false" outlineLevel="0" collapsed="false">
      <c r="A357" s="12" t="n">
        <v>195</v>
      </c>
      <c r="B357" s="12" t="s">
        <v>437</v>
      </c>
      <c r="C357" s="12" t="s">
        <v>949</v>
      </c>
      <c r="D357" s="12" t="s">
        <v>373</v>
      </c>
      <c r="E357" s="12" t="n">
        <v>5</v>
      </c>
      <c r="F357" s="12" t="s">
        <v>20</v>
      </c>
      <c r="G357" s="12" t="s">
        <v>139</v>
      </c>
      <c r="H357" s="12" t="s">
        <v>94</v>
      </c>
      <c r="I357" s="12" t="s">
        <v>339</v>
      </c>
      <c r="J357" s="12" t="s">
        <v>314</v>
      </c>
      <c r="K357" s="12"/>
      <c r="L357" s="5"/>
      <c r="M357" s="33" t="n">
        <f aca="false">SUMIFS('Existing vs Saran'!$I$5:$I$210,'Existing vs Saran'!$N$5:$N$210,A357)</f>
        <v>0</v>
      </c>
      <c r="N357" s="12" t="s">
        <v>1713</v>
      </c>
      <c r="O357" s="5" t="s">
        <v>1714</v>
      </c>
      <c r="P357" s="12"/>
    </row>
    <row r="358" customFormat="false" ht="35.05" hidden="false" customHeight="false" outlineLevel="0" collapsed="false">
      <c r="A358" s="12" t="n">
        <v>197</v>
      </c>
      <c r="B358" s="12" t="s">
        <v>389</v>
      </c>
      <c r="C358" s="12" t="s">
        <v>949</v>
      </c>
      <c r="D358" s="12" t="s">
        <v>373</v>
      </c>
      <c r="E358" s="12" t="n">
        <v>4</v>
      </c>
      <c r="F358" s="12" t="s">
        <v>20</v>
      </c>
      <c r="G358" s="12" t="s">
        <v>707</v>
      </c>
      <c r="H358" s="12" t="s">
        <v>94</v>
      </c>
      <c r="I358" s="12" t="s">
        <v>314</v>
      </c>
      <c r="J358" s="12" t="s">
        <v>314</v>
      </c>
      <c r="K358" s="12"/>
      <c r="L358" s="5"/>
      <c r="M358" s="33" t="n">
        <f aca="false">SUMIFS('Existing vs Saran'!$I$5:$I$210,'Existing vs Saran'!$N$5:$N$210,A358)</f>
        <v>0</v>
      </c>
      <c r="N358" s="12" t="s">
        <v>1715</v>
      </c>
      <c r="O358" s="5" t="s">
        <v>1716</v>
      </c>
      <c r="P358" s="12"/>
    </row>
    <row r="359" customFormat="false" ht="23.85" hidden="false" customHeight="false" outlineLevel="0" collapsed="false">
      <c r="A359" s="12" t="n">
        <v>96</v>
      </c>
      <c r="B359" s="12" t="s">
        <v>386</v>
      </c>
      <c r="C359" s="12" t="s">
        <v>949</v>
      </c>
      <c r="D359" s="12" t="s">
        <v>373</v>
      </c>
      <c r="E359" s="12" t="n">
        <v>5</v>
      </c>
      <c r="F359" s="12" t="s">
        <v>379</v>
      </c>
      <c r="G359" s="12" t="s">
        <v>596</v>
      </c>
      <c r="H359" s="12" t="s">
        <v>94</v>
      </c>
      <c r="I359" s="12" t="s">
        <v>314</v>
      </c>
      <c r="J359" s="12" t="s">
        <v>314</v>
      </c>
      <c r="K359" s="12"/>
      <c r="L359" s="5" t="s">
        <v>1063</v>
      </c>
      <c r="M359" s="33" t="n">
        <f aca="false">SUMIFS('Existing vs Saran'!$I$5:$I$210,'Existing vs Saran'!$N$5:$N$210,A359)</f>
        <v>0</v>
      </c>
      <c r="N359" s="12" t="s">
        <v>1717</v>
      </c>
      <c r="O359" s="5" t="s">
        <v>1718</v>
      </c>
      <c r="P359" s="12"/>
    </row>
    <row r="360" customFormat="false" ht="15" hidden="false" customHeight="false" outlineLevel="0" collapsed="false">
      <c r="A360" s="12" t="n">
        <v>430</v>
      </c>
      <c r="B360" s="12" t="s">
        <v>392</v>
      </c>
      <c r="C360" s="12" t="s">
        <v>949</v>
      </c>
      <c r="D360" s="12" t="s">
        <v>373</v>
      </c>
      <c r="E360" s="12" t="n">
        <v>4</v>
      </c>
      <c r="F360" s="12" t="s">
        <v>22</v>
      </c>
      <c r="G360" s="12" t="s">
        <v>810</v>
      </c>
      <c r="H360" s="12" t="s">
        <v>94</v>
      </c>
      <c r="I360" s="12" t="s">
        <v>314</v>
      </c>
      <c r="J360" s="12" t="s">
        <v>314</v>
      </c>
      <c r="K360" s="12"/>
      <c r="L360" s="5"/>
      <c r="M360" s="33" t="n">
        <f aca="false">SUMIFS('Existing vs Saran'!$I$5:$I$210,'Existing vs Saran'!$N$5:$N$210,A360)</f>
        <v>0</v>
      </c>
      <c r="N360" s="12" t="s">
        <v>1719</v>
      </c>
      <c r="O360" s="5" t="s">
        <v>986</v>
      </c>
      <c r="P360" s="12"/>
    </row>
    <row r="361" customFormat="false" ht="23.85" hidden="false" customHeight="false" outlineLevel="0" collapsed="false">
      <c r="A361" s="12" t="n">
        <v>205</v>
      </c>
      <c r="B361" s="12" t="s">
        <v>410</v>
      </c>
      <c r="C361" s="12" t="s">
        <v>949</v>
      </c>
      <c r="D361" s="12" t="s">
        <v>373</v>
      </c>
      <c r="E361" s="12" t="n">
        <v>5</v>
      </c>
      <c r="F361" s="12" t="s">
        <v>20</v>
      </c>
      <c r="G361" s="12" t="s">
        <v>707</v>
      </c>
      <c r="H361" s="12" t="s">
        <v>94</v>
      </c>
      <c r="I361" s="12" t="s">
        <v>314</v>
      </c>
      <c r="J361" s="12" t="s">
        <v>314</v>
      </c>
      <c r="K361" s="12"/>
      <c r="L361" s="5"/>
      <c r="M361" s="33" t="n">
        <f aca="false">SUMIFS('Existing vs Saran'!$I$5:$I$210,'Existing vs Saran'!$N$5:$N$210,A361)</f>
        <v>0</v>
      </c>
      <c r="N361" s="12" t="s">
        <v>1720</v>
      </c>
      <c r="O361" s="5" t="s">
        <v>1721</v>
      </c>
      <c r="P361" s="12"/>
    </row>
    <row r="362" customFormat="false" ht="15" hidden="false" customHeight="false" outlineLevel="0" collapsed="false">
      <c r="A362" s="12" t="n">
        <v>396</v>
      </c>
      <c r="B362" s="12" t="s">
        <v>404</v>
      </c>
      <c r="C362" s="12" t="s">
        <v>949</v>
      </c>
      <c r="D362" s="12" t="s">
        <v>373</v>
      </c>
      <c r="E362" s="12" t="n">
        <v>5</v>
      </c>
      <c r="F362" s="12" t="s">
        <v>917</v>
      </c>
      <c r="G362" s="12" t="s">
        <v>1056</v>
      </c>
      <c r="H362" s="12" t="s">
        <v>94</v>
      </c>
      <c r="I362" s="12" t="s">
        <v>314</v>
      </c>
      <c r="J362" s="12" t="s">
        <v>314</v>
      </c>
      <c r="K362" s="12"/>
      <c r="L362" s="5" t="s">
        <v>952</v>
      </c>
      <c r="M362" s="33" t="n">
        <f aca="false">SUMIFS('Existing vs Saran'!$I$5:$I$210,'Existing vs Saran'!$N$5:$N$210,A362)</f>
        <v>0</v>
      </c>
      <c r="N362" s="12" t="s">
        <v>1722</v>
      </c>
      <c r="O362" s="5" t="s">
        <v>954</v>
      </c>
      <c r="P362" s="12"/>
    </row>
    <row r="363" customFormat="false" ht="15" hidden="false" customHeight="false" outlineLevel="0" collapsed="false">
      <c r="A363" s="12" t="n">
        <v>165</v>
      </c>
      <c r="B363" s="12" t="s">
        <v>395</v>
      </c>
      <c r="C363" s="12" t="s">
        <v>949</v>
      </c>
      <c r="D363" s="12" t="s">
        <v>373</v>
      </c>
      <c r="E363" s="12" t="n">
        <v>5</v>
      </c>
      <c r="F363" s="12" t="s">
        <v>18</v>
      </c>
      <c r="G363" s="12" t="s">
        <v>116</v>
      </c>
      <c r="H363" s="12" t="s">
        <v>94</v>
      </c>
      <c r="I363" s="12" t="s">
        <v>314</v>
      </c>
      <c r="J363" s="12" t="s">
        <v>314</v>
      </c>
      <c r="K363" s="12"/>
      <c r="L363" s="5"/>
      <c r="M363" s="33" t="n">
        <f aca="false">SUMIFS('Existing vs Saran'!$I$5:$I$210,'Existing vs Saran'!$N$5:$N$210,A363)</f>
        <v>0</v>
      </c>
      <c r="N363" s="12" t="s">
        <v>1723</v>
      </c>
      <c r="O363" s="5" t="s">
        <v>954</v>
      </c>
      <c r="P363" s="12"/>
    </row>
    <row r="364" customFormat="false" ht="23.85" hidden="false" customHeight="false" outlineLevel="0" collapsed="false">
      <c r="A364" s="12" t="n">
        <v>440</v>
      </c>
      <c r="B364" s="12" t="s">
        <v>446</v>
      </c>
      <c r="C364" s="12" t="s">
        <v>949</v>
      </c>
      <c r="D364" s="12" t="s">
        <v>373</v>
      </c>
      <c r="E364" s="12" t="n">
        <v>4</v>
      </c>
      <c r="F364" s="12" t="s">
        <v>22</v>
      </c>
      <c r="G364" s="12" t="s">
        <v>810</v>
      </c>
      <c r="H364" s="12" t="s">
        <v>94</v>
      </c>
      <c r="I364" s="12" t="s">
        <v>339</v>
      </c>
      <c r="J364" s="12" t="s">
        <v>314</v>
      </c>
      <c r="K364" s="12"/>
      <c r="L364" s="5"/>
      <c r="M364" s="33" t="n">
        <f aca="false">SUMIFS('Existing vs Saran'!$I$5:$I$210,'Existing vs Saran'!$N$5:$N$210,A364)</f>
        <v>0</v>
      </c>
      <c r="N364" s="12" t="s">
        <v>1724</v>
      </c>
      <c r="O364" s="5" t="s">
        <v>1016</v>
      </c>
      <c r="P364" s="12"/>
    </row>
    <row r="365" customFormat="false" ht="15" hidden="false" customHeight="false" outlineLevel="0" collapsed="false">
      <c r="A365" s="12" t="n">
        <v>441</v>
      </c>
      <c r="B365" s="12" t="s">
        <v>449</v>
      </c>
      <c r="C365" s="12" t="s">
        <v>949</v>
      </c>
      <c r="D365" s="12" t="s">
        <v>373</v>
      </c>
      <c r="E365" s="12" t="n">
        <v>4</v>
      </c>
      <c r="F365" s="12" t="s">
        <v>22</v>
      </c>
      <c r="G365" s="12" t="s">
        <v>1044</v>
      </c>
      <c r="H365" s="12" t="s">
        <v>94</v>
      </c>
      <c r="I365" s="12" t="s">
        <v>339</v>
      </c>
      <c r="J365" s="12" t="s">
        <v>314</v>
      </c>
      <c r="K365" s="12"/>
      <c r="L365" s="5"/>
      <c r="M365" s="33" t="n">
        <f aca="false">SUMIFS('Existing vs Saran'!$I$5:$I$210,'Existing vs Saran'!$N$5:$N$210,A365)</f>
        <v>0</v>
      </c>
      <c r="N365" s="12" t="s">
        <v>1725</v>
      </c>
      <c r="O365" s="5" t="s">
        <v>986</v>
      </c>
      <c r="P365" s="12"/>
    </row>
    <row r="366" customFormat="false" ht="23.85" hidden="false" customHeight="false" outlineLevel="0" collapsed="false">
      <c r="A366" s="12" t="n">
        <v>227</v>
      </c>
      <c r="B366" s="12" t="s">
        <v>423</v>
      </c>
      <c r="C366" s="12" t="s">
        <v>949</v>
      </c>
      <c r="D366" s="12" t="s">
        <v>373</v>
      </c>
      <c r="E366" s="12" t="n">
        <v>5</v>
      </c>
      <c r="F366" s="12" t="s">
        <v>20</v>
      </c>
      <c r="G366" s="12" t="s">
        <v>139</v>
      </c>
      <c r="H366" s="12" t="s">
        <v>94</v>
      </c>
      <c r="I366" s="12" t="s">
        <v>314</v>
      </c>
      <c r="J366" s="12" t="s">
        <v>314</v>
      </c>
      <c r="K366" s="12"/>
      <c r="L366" s="5" t="s">
        <v>952</v>
      </c>
      <c r="M366" s="33" t="n">
        <f aca="false">SUMIFS('Existing vs Saran'!$I$5:$I$210,'Existing vs Saran'!$N$5:$N$210,A366)</f>
        <v>0</v>
      </c>
      <c r="N366" s="12" t="s">
        <v>1726</v>
      </c>
      <c r="O366" s="5" t="s">
        <v>1727</v>
      </c>
      <c r="P366" s="12"/>
    </row>
    <row r="367" customFormat="false" ht="23.85" hidden="false" customHeight="false" outlineLevel="0" collapsed="false">
      <c r="A367" s="12" t="n">
        <v>168</v>
      </c>
      <c r="B367" s="12" t="s">
        <v>398</v>
      </c>
      <c r="C367" s="12" t="s">
        <v>949</v>
      </c>
      <c r="D367" s="12" t="s">
        <v>373</v>
      </c>
      <c r="E367" s="12" t="n">
        <v>5</v>
      </c>
      <c r="F367" s="12" t="s">
        <v>18</v>
      </c>
      <c r="G367" s="12" t="s">
        <v>82</v>
      </c>
      <c r="H367" s="12" t="s">
        <v>94</v>
      </c>
      <c r="I367" s="12" t="s">
        <v>314</v>
      </c>
      <c r="J367" s="12" t="s">
        <v>314</v>
      </c>
      <c r="K367" s="12"/>
      <c r="L367" s="5"/>
      <c r="M367" s="33" t="n">
        <f aca="false">SUMIFS('Existing vs Saran'!$I$5:$I$210,'Existing vs Saran'!$N$5:$N$210,A367)</f>
        <v>0</v>
      </c>
      <c r="N367" s="12" t="s">
        <v>1728</v>
      </c>
      <c r="O367" s="5" t="s">
        <v>1729</v>
      </c>
      <c r="P367" s="12"/>
    </row>
    <row r="368" customFormat="false" ht="15" hidden="false" customHeight="false" outlineLevel="0" collapsed="false">
      <c r="A368" s="12" t="n">
        <v>230</v>
      </c>
      <c r="B368" s="12" t="s">
        <v>416</v>
      </c>
      <c r="C368" s="12" t="s">
        <v>949</v>
      </c>
      <c r="D368" s="12" t="s">
        <v>373</v>
      </c>
      <c r="E368" s="12" t="n">
        <v>4</v>
      </c>
      <c r="F368" s="12" t="s">
        <v>20</v>
      </c>
      <c r="G368" s="12" t="s">
        <v>707</v>
      </c>
      <c r="H368" s="12" t="s">
        <v>94</v>
      </c>
      <c r="I368" s="12" t="s">
        <v>339</v>
      </c>
      <c r="J368" s="12" t="s">
        <v>314</v>
      </c>
      <c r="K368" s="12"/>
      <c r="L368" s="5"/>
      <c r="M368" s="33" t="n">
        <f aca="false">SUMIFS('Existing vs Saran'!$I$5:$I$210,'Existing vs Saran'!$N$5:$N$210,A368)</f>
        <v>0</v>
      </c>
      <c r="N368" s="12" t="s">
        <v>1730</v>
      </c>
      <c r="O368" s="5" t="s">
        <v>1731</v>
      </c>
      <c r="P368" s="12"/>
    </row>
    <row r="369" customFormat="false" ht="15" hidden="false" customHeight="false" outlineLevel="0" collapsed="false">
      <c r="A369" s="12" t="n">
        <v>231</v>
      </c>
      <c r="B369" s="12" t="s">
        <v>429</v>
      </c>
      <c r="C369" s="12" t="s">
        <v>949</v>
      </c>
      <c r="D369" s="12" t="s">
        <v>373</v>
      </c>
      <c r="E369" s="12" t="n">
        <v>5</v>
      </c>
      <c r="F369" s="12" t="s">
        <v>20</v>
      </c>
      <c r="G369" s="12" t="s">
        <v>707</v>
      </c>
      <c r="H369" s="12" t="s">
        <v>94</v>
      </c>
      <c r="I369" s="12" t="s">
        <v>314</v>
      </c>
      <c r="J369" s="12" t="s">
        <v>314</v>
      </c>
      <c r="K369" s="12"/>
      <c r="L369" s="5"/>
      <c r="M369" s="33" t="n">
        <f aca="false">SUMIFS('Existing vs Saran'!$I$5:$I$210,'Existing vs Saran'!$N$5:$N$210,A369)</f>
        <v>0</v>
      </c>
      <c r="N369" s="12" t="s">
        <v>1732</v>
      </c>
      <c r="O369" s="5" t="s">
        <v>1733</v>
      </c>
      <c r="P369" s="12"/>
    </row>
    <row r="370" customFormat="false" ht="15" hidden="false" customHeight="false" outlineLevel="0" collapsed="false">
      <c r="A370" s="12" t="n">
        <v>241</v>
      </c>
      <c r="B370" s="12" t="s">
        <v>426</v>
      </c>
      <c r="C370" s="12" t="s">
        <v>949</v>
      </c>
      <c r="D370" s="12" t="s">
        <v>373</v>
      </c>
      <c r="E370" s="12" t="n">
        <v>4</v>
      </c>
      <c r="F370" s="12" t="s">
        <v>20</v>
      </c>
      <c r="G370" s="12" t="s">
        <v>139</v>
      </c>
      <c r="H370" s="12" t="s">
        <v>94</v>
      </c>
      <c r="I370" s="12" t="s">
        <v>314</v>
      </c>
      <c r="J370" s="12" t="s">
        <v>314</v>
      </c>
      <c r="K370" s="12"/>
      <c r="L370" s="5"/>
      <c r="M370" s="33" t="n">
        <f aca="false">SUMIFS('Existing vs Saran'!$I$5:$I$210,'Existing vs Saran'!$N$5:$N$210,A370)</f>
        <v>0</v>
      </c>
      <c r="N370" s="12" t="s">
        <v>1734</v>
      </c>
      <c r="O370" s="5" t="s">
        <v>1735</v>
      </c>
      <c r="P370" s="12"/>
    </row>
    <row r="371" customFormat="false" ht="15" hidden="false" customHeight="false" outlineLevel="0" collapsed="false">
      <c r="A371" s="12" t="n">
        <v>170</v>
      </c>
      <c r="B371" s="12" t="s">
        <v>1736</v>
      </c>
      <c r="C371" s="12" t="s">
        <v>949</v>
      </c>
      <c r="D371" s="12" t="s">
        <v>1737</v>
      </c>
      <c r="E371" s="12"/>
      <c r="F371" s="12" t="s">
        <v>20</v>
      </c>
      <c r="G371" s="12" t="s">
        <v>732</v>
      </c>
      <c r="H371" s="12" t="s">
        <v>94</v>
      </c>
      <c r="I371" s="12" t="s">
        <v>339</v>
      </c>
      <c r="J371" s="12"/>
      <c r="K371" s="12"/>
      <c r="L371" s="5"/>
      <c r="M371" s="33" t="n">
        <f aca="false">SUMIFS('Existing vs Saran'!$I$5:$I$210,'Existing vs Saran'!$N$5:$N$210,A371)</f>
        <v>0</v>
      </c>
      <c r="N371" s="12" t="s">
        <v>1738</v>
      </c>
      <c r="O371" s="5"/>
      <c r="P371" s="12"/>
    </row>
    <row r="372" customFormat="false" ht="23.85" hidden="false" customHeight="false" outlineLevel="0" collapsed="false">
      <c r="A372" s="12" t="n">
        <v>410</v>
      </c>
      <c r="B372" s="12" t="s">
        <v>1739</v>
      </c>
      <c r="C372" s="12" t="s">
        <v>949</v>
      </c>
      <c r="D372" s="12" t="s">
        <v>1737</v>
      </c>
      <c r="E372" s="12" t="n">
        <v>3</v>
      </c>
      <c r="F372" s="12" t="s">
        <v>22</v>
      </c>
      <c r="G372" s="12" t="s">
        <v>209</v>
      </c>
      <c r="H372" s="12" t="s">
        <v>94</v>
      </c>
      <c r="I372" s="12" t="s">
        <v>339</v>
      </c>
      <c r="J372" s="12"/>
      <c r="K372" s="12"/>
      <c r="L372" s="5"/>
      <c r="M372" s="33" t="n">
        <f aca="false">SUMIFS('Existing vs Saran'!$I$5:$I$210,'Existing vs Saran'!$N$5:$N$210,A372)</f>
        <v>0</v>
      </c>
      <c r="N372" s="12" t="s">
        <v>1740</v>
      </c>
      <c r="O372" s="5" t="s">
        <v>1741</v>
      </c>
      <c r="P372" s="12"/>
    </row>
    <row r="373" customFormat="false" ht="15" hidden="false" customHeight="false" outlineLevel="0" collapsed="false">
      <c r="A373" s="12" t="n">
        <v>172</v>
      </c>
      <c r="B373" s="12" t="s">
        <v>1742</v>
      </c>
      <c r="C373" s="12" t="s">
        <v>949</v>
      </c>
      <c r="D373" s="12" t="s">
        <v>1737</v>
      </c>
      <c r="E373" s="12" t="n">
        <v>3</v>
      </c>
      <c r="F373" s="12" t="s">
        <v>20</v>
      </c>
      <c r="G373" s="12" t="s">
        <v>139</v>
      </c>
      <c r="H373" s="12" t="s">
        <v>94</v>
      </c>
      <c r="I373" s="12" t="s">
        <v>339</v>
      </c>
      <c r="J373" s="12"/>
      <c r="K373" s="12"/>
      <c r="L373" s="5"/>
      <c r="M373" s="33" t="n">
        <f aca="false">SUMIFS('Existing vs Saran'!$I$5:$I$210,'Existing vs Saran'!$N$5:$N$210,A373)</f>
        <v>0</v>
      </c>
      <c r="N373" s="12" t="s">
        <v>1743</v>
      </c>
      <c r="O373" s="5" t="s">
        <v>1744</v>
      </c>
      <c r="P373" s="12"/>
    </row>
    <row r="374" customFormat="false" ht="15" hidden="false" customHeight="false" outlineLevel="0" collapsed="false">
      <c r="A374" s="12" t="n">
        <v>173</v>
      </c>
      <c r="B374" s="12" t="s">
        <v>1745</v>
      </c>
      <c r="C374" s="12" t="s">
        <v>949</v>
      </c>
      <c r="D374" s="12" t="s">
        <v>1737</v>
      </c>
      <c r="E374" s="12" t="n">
        <v>3</v>
      </c>
      <c r="F374" s="12" t="s">
        <v>20</v>
      </c>
      <c r="G374" s="12" t="s">
        <v>707</v>
      </c>
      <c r="H374" s="12" t="s">
        <v>94</v>
      </c>
      <c r="I374" s="12" t="s">
        <v>339</v>
      </c>
      <c r="J374" s="12"/>
      <c r="K374" s="12"/>
      <c r="L374" s="5"/>
      <c r="M374" s="33" t="n">
        <f aca="false">SUMIFS('Existing vs Saran'!$I$5:$I$210,'Existing vs Saran'!$N$5:$N$210,A374)</f>
        <v>0</v>
      </c>
      <c r="N374" s="12" t="s">
        <v>1746</v>
      </c>
      <c r="O374" s="5" t="s">
        <v>1747</v>
      </c>
      <c r="P374" s="12"/>
    </row>
    <row r="375" customFormat="false" ht="15" hidden="false" customHeight="false" outlineLevel="0" collapsed="false">
      <c r="A375" s="12" t="n">
        <v>412</v>
      </c>
      <c r="B375" s="12" t="s">
        <v>1748</v>
      </c>
      <c r="C375" s="12" t="s">
        <v>949</v>
      </c>
      <c r="D375" s="12" t="s">
        <v>1737</v>
      </c>
      <c r="E375" s="12" t="n">
        <v>3</v>
      </c>
      <c r="F375" s="12" t="s">
        <v>22</v>
      </c>
      <c r="G375" s="12" t="s">
        <v>810</v>
      </c>
      <c r="H375" s="12" t="s">
        <v>94</v>
      </c>
      <c r="I375" s="12" t="s">
        <v>339</v>
      </c>
      <c r="J375" s="12"/>
      <c r="K375" s="12"/>
      <c r="L375" s="5"/>
      <c r="M375" s="33" t="n">
        <f aca="false">SUMIFS('Existing vs Saran'!$I$5:$I$210,'Existing vs Saran'!$N$5:$N$210,A375)</f>
        <v>0</v>
      </c>
      <c r="N375" s="12" t="s">
        <v>1749</v>
      </c>
      <c r="O375" s="5" t="s">
        <v>1750</v>
      </c>
      <c r="P375" s="12"/>
    </row>
    <row r="376" customFormat="false" ht="23.85" hidden="false" customHeight="false" outlineLevel="0" collapsed="false">
      <c r="A376" s="12" t="n">
        <v>176</v>
      </c>
      <c r="B376" s="12" t="s">
        <v>1751</v>
      </c>
      <c r="C376" s="12" t="s">
        <v>949</v>
      </c>
      <c r="D376" s="12" t="s">
        <v>1737</v>
      </c>
      <c r="E376" s="12" t="n">
        <v>3</v>
      </c>
      <c r="F376" s="12" t="s">
        <v>20</v>
      </c>
      <c r="G376" s="12" t="s">
        <v>707</v>
      </c>
      <c r="H376" s="12" t="s">
        <v>106</v>
      </c>
      <c r="I376" s="12" t="s">
        <v>339</v>
      </c>
      <c r="J376" s="12"/>
      <c r="K376" s="12"/>
      <c r="L376" s="5"/>
      <c r="M376" s="33" t="n">
        <f aca="false">SUMIFS('Existing vs Saran'!$I$5:$I$210,'Existing vs Saran'!$N$5:$N$210,A376)</f>
        <v>0</v>
      </c>
      <c r="N376" s="12" t="s">
        <v>1752</v>
      </c>
      <c r="O376" s="5" t="s">
        <v>1753</v>
      </c>
      <c r="P376" s="12"/>
    </row>
    <row r="377" customFormat="false" ht="15" hidden="false" customHeight="false" outlineLevel="0" collapsed="false">
      <c r="A377" s="12" t="n">
        <v>460</v>
      </c>
      <c r="B377" s="12" t="s">
        <v>1754</v>
      </c>
      <c r="C377" s="12" t="s">
        <v>949</v>
      </c>
      <c r="D377" s="12" t="s">
        <v>1737</v>
      </c>
      <c r="E377" s="12"/>
      <c r="F377" s="12" t="s">
        <v>20</v>
      </c>
      <c r="G377" s="12" t="s">
        <v>707</v>
      </c>
      <c r="H377" s="12" t="s">
        <v>106</v>
      </c>
      <c r="I377" s="12" t="s">
        <v>339</v>
      </c>
      <c r="J377" s="12"/>
      <c r="K377" s="12"/>
      <c r="L377" s="5"/>
      <c r="M377" s="33" t="n">
        <f aca="false">SUMIFS('Existing vs Saran'!$I$5:$I$210,'Existing vs Saran'!$N$5:$N$210,A377)</f>
        <v>0</v>
      </c>
      <c r="N377" s="12"/>
      <c r="O377" s="5"/>
      <c r="P377" s="12"/>
    </row>
    <row r="378" customFormat="false" ht="15" hidden="false" customHeight="false" outlineLevel="0" collapsed="false">
      <c r="A378" s="12" t="n">
        <v>312</v>
      </c>
      <c r="B378" s="12" t="s">
        <v>1755</v>
      </c>
      <c r="C378" s="12" t="s">
        <v>949</v>
      </c>
      <c r="D378" s="12" t="s">
        <v>1737</v>
      </c>
      <c r="E378" s="12" t="n">
        <v>3</v>
      </c>
      <c r="F378" s="12" t="s">
        <v>356</v>
      </c>
      <c r="G378" s="12" t="s">
        <v>1756</v>
      </c>
      <c r="H378" s="12" t="s">
        <v>94</v>
      </c>
      <c r="I378" s="12" t="s">
        <v>339</v>
      </c>
      <c r="J378" s="12"/>
      <c r="K378" s="12"/>
      <c r="L378" s="5"/>
      <c r="M378" s="33" t="n">
        <f aca="false">SUMIFS('Existing vs Saran'!$I$5:$I$210,'Existing vs Saran'!$N$5:$N$210,A378)</f>
        <v>0</v>
      </c>
      <c r="N378" s="12" t="s">
        <v>1757</v>
      </c>
      <c r="O378" s="5" t="s">
        <v>1126</v>
      </c>
      <c r="P378" s="12"/>
    </row>
    <row r="379" customFormat="false" ht="23.85" hidden="false" customHeight="false" outlineLevel="0" collapsed="false">
      <c r="A379" s="12" t="n">
        <v>16</v>
      </c>
      <c r="B379" s="12" t="s">
        <v>1758</v>
      </c>
      <c r="C379" s="12" t="s">
        <v>949</v>
      </c>
      <c r="D379" s="12" t="s">
        <v>1737</v>
      </c>
      <c r="E379" s="12" t="n">
        <v>1</v>
      </c>
      <c r="F379" s="12" t="s">
        <v>354</v>
      </c>
      <c r="G379" s="12" t="s">
        <v>997</v>
      </c>
      <c r="H379" s="12" t="s">
        <v>94</v>
      </c>
      <c r="I379" s="12" t="s">
        <v>339</v>
      </c>
      <c r="J379" s="12"/>
      <c r="K379" s="12"/>
      <c r="L379" s="5"/>
      <c r="M379" s="33" t="n">
        <f aca="false">SUMIFS('Existing vs Saran'!$I$5:$I$210,'Existing vs Saran'!$N$5:$N$210,A379)</f>
        <v>0</v>
      </c>
      <c r="N379" s="12" t="s">
        <v>1759</v>
      </c>
      <c r="O379" s="5" t="s">
        <v>1760</v>
      </c>
      <c r="P379" s="12"/>
    </row>
    <row r="380" customFormat="false" ht="15" hidden="false" customHeight="false" outlineLevel="0" collapsed="false">
      <c r="A380" s="12" t="n">
        <v>249</v>
      </c>
      <c r="B380" s="12" t="s">
        <v>1761</v>
      </c>
      <c r="C380" s="12" t="s">
        <v>949</v>
      </c>
      <c r="D380" s="12" t="s">
        <v>1737</v>
      </c>
      <c r="E380" s="12"/>
      <c r="F380" s="12" t="s">
        <v>351</v>
      </c>
      <c r="G380" s="12" t="s">
        <v>960</v>
      </c>
      <c r="H380" s="12" t="s">
        <v>94</v>
      </c>
      <c r="I380" s="12" t="s">
        <v>339</v>
      </c>
      <c r="J380" s="12"/>
      <c r="K380" s="12"/>
      <c r="L380" s="5"/>
      <c r="M380" s="33" t="n">
        <f aca="false">SUMIFS('Existing vs Saran'!$I$5:$I$210,'Existing vs Saran'!$N$5:$N$210,A380)</f>
        <v>0</v>
      </c>
      <c r="N380" s="12"/>
      <c r="O380" s="5"/>
      <c r="P380" s="12"/>
    </row>
    <row r="381" customFormat="false" ht="15" hidden="false" customHeight="false" outlineLevel="0" collapsed="false">
      <c r="A381" s="12" t="n">
        <v>414</v>
      </c>
      <c r="B381" s="12" t="s">
        <v>1762</v>
      </c>
      <c r="C381" s="12" t="s">
        <v>949</v>
      </c>
      <c r="D381" s="12" t="s">
        <v>1737</v>
      </c>
      <c r="E381" s="12" t="n">
        <v>2</v>
      </c>
      <c r="F381" s="12" t="s">
        <v>22</v>
      </c>
      <c r="G381" s="12" t="s">
        <v>1044</v>
      </c>
      <c r="H381" s="12" t="s">
        <v>85</v>
      </c>
      <c r="I381" s="12" t="s">
        <v>339</v>
      </c>
      <c r="J381" s="12"/>
      <c r="K381" s="12"/>
      <c r="L381" s="5"/>
      <c r="M381" s="33" t="n">
        <f aca="false">SUMIFS('Existing vs Saran'!$I$5:$I$210,'Existing vs Saran'!$N$5:$N$210,A381)</f>
        <v>0</v>
      </c>
      <c r="N381" s="12" t="s">
        <v>1763</v>
      </c>
      <c r="O381" s="5" t="s">
        <v>1764</v>
      </c>
      <c r="P381" s="12"/>
    </row>
    <row r="382" customFormat="false" ht="15" hidden="false" customHeight="false" outlineLevel="0" collapsed="false">
      <c r="A382" s="12" t="n">
        <v>75</v>
      </c>
      <c r="B382" s="12" t="s">
        <v>1765</v>
      </c>
      <c r="C382" s="12" t="s">
        <v>949</v>
      </c>
      <c r="D382" s="12" t="s">
        <v>1737</v>
      </c>
      <c r="E382" s="12" t="n">
        <v>3</v>
      </c>
      <c r="F382" s="12" t="s">
        <v>379</v>
      </c>
      <c r="G382" s="12" t="s">
        <v>585</v>
      </c>
      <c r="H382" s="12" t="s">
        <v>94</v>
      </c>
      <c r="I382" s="12" t="s">
        <v>339</v>
      </c>
      <c r="J382" s="12"/>
      <c r="K382" s="12"/>
      <c r="L382" s="5"/>
      <c r="M382" s="33" t="n">
        <f aca="false">SUMIFS('Existing vs Saran'!$I$5:$I$210,'Existing vs Saran'!$N$5:$N$210,A382)</f>
        <v>0</v>
      </c>
      <c r="N382" s="12" t="s">
        <v>1766</v>
      </c>
      <c r="O382" s="5" t="s">
        <v>1767</v>
      </c>
      <c r="P382" s="12"/>
    </row>
    <row r="383" customFormat="false" ht="15" hidden="false" customHeight="false" outlineLevel="0" collapsed="false">
      <c r="A383" s="12" t="n">
        <v>250</v>
      </c>
      <c r="B383" s="12" t="s">
        <v>1768</v>
      </c>
      <c r="C383" s="12" t="s">
        <v>949</v>
      </c>
      <c r="D383" s="12" t="s">
        <v>1737</v>
      </c>
      <c r="E383" s="12"/>
      <c r="F383" s="12" t="s">
        <v>351</v>
      </c>
      <c r="G383" s="12" t="s">
        <v>960</v>
      </c>
      <c r="H383" s="12" t="s">
        <v>94</v>
      </c>
      <c r="I383" s="12" t="s">
        <v>339</v>
      </c>
      <c r="J383" s="12"/>
      <c r="K383" s="12"/>
      <c r="L383" s="5"/>
      <c r="M383" s="33" t="n">
        <f aca="false">SUMIFS('Existing vs Saran'!$I$5:$I$210,'Existing vs Saran'!$N$5:$N$210,A383)</f>
        <v>0</v>
      </c>
      <c r="N383" s="12"/>
      <c r="O383" s="5"/>
      <c r="P383" s="12"/>
    </row>
    <row r="384" customFormat="false" ht="23.85" hidden="false" customHeight="false" outlineLevel="0" collapsed="false">
      <c r="A384" s="12" t="n">
        <v>251</v>
      </c>
      <c r="B384" s="12" t="s">
        <v>1769</v>
      </c>
      <c r="C384" s="12" t="s">
        <v>949</v>
      </c>
      <c r="D384" s="12" t="s">
        <v>1737</v>
      </c>
      <c r="E384" s="12" t="n">
        <v>3</v>
      </c>
      <c r="F384" s="12" t="s">
        <v>351</v>
      </c>
      <c r="G384" s="12" t="s">
        <v>1172</v>
      </c>
      <c r="H384" s="12" t="s">
        <v>94</v>
      </c>
      <c r="I384" s="12" t="s">
        <v>339</v>
      </c>
      <c r="J384" s="12"/>
      <c r="K384" s="12"/>
      <c r="L384" s="5"/>
      <c r="M384" s="33" t="n">
        <f aca="false">SUMIFS('Existing vs Saran'!$I$5:$I$210,'Existing vs Saran'!$N$5:$N$210,A384)</f>
        <v>0</v>
      </c>
      <c r="N384" s="12" t="s">
        <v>1770</v>
      </c>
      <c r="O384" s="5" t="s">
        <v>1152</v>
      </c>
      <c r="P384" s="12"/>
    </row>
    <row r="385" customFormat="false" ht="15" hidden="false" customHeight="false" outlineLevel="0" collapsed="false">
      <c r="A385" s="12" t="n">
        <v>417</v>
      </c>
      <c r="B385" s="12" t="s">
        <v>1771</v>
      </c>
      <c r="C385" s="12" t="s">
        <v>949</v>
      </c>
      <c r="D385" s="12" t="s">
        <v>1737</v>
      </c>
      <c r="E385" s="12" t="n">
        <v>3</v>
      </c>
      <c r="F385" s="12" t="s">
        <v>22</v>
      </c>
      <c r="G385" s="12" t="s">
        <v>810</v>
      </c>
      <c r="H385" s="12" t="s">
        <v>94</v>
      </c>
      <c r="I385" s="12" t="s">
        <v>339</v>
      </c>
      <c r="J385" s="12"/>
      <c r="K385" s="12"/>
      <c r="L385" s="5"/>
      <c r="M385" s="33" t="n">
        <f aca="false">SUMIFS('Existing vs Saran'!$I$5:$I$210,'Existing vs Saran'!$N$5:$N$210,A385)</f>
        <v>0</v>
      </c>
      <c r="N385" s="12" t="s">
        <v>1772</v>
      </c>
      <c r="O385" s="5" t="s">
        <v>1773</v>
      </c>
      <c r="P385" s="12"/>
    </row>
    <row r="386" customFormat="false" ht="23.85" hidden="false" customHeight="false" outlineLevel="0" collapsed="false">
      <c r="A386" s="12" t="n">
        <v>180</v>
      </c>
      <c r="B386" s="12" t="s">
        <v>1774</v>
      </c>
      <c r="C386" s="12" t="s">
        <v>949</v>
      </c>
      <c r="D386" s="12" t="s">
        <v>1737</v>
      </c>
      <c r="E386" s="12" t="n">
        <v>1</v>
      </c>
      <c r="F386" s="12" t="s">
        <v>20</v>
      </c>
      <c r="G386" s="12" t="s">
        <v>707</v>
      </c>
      <c r="H386" s="12" t="s">
        <v>94</v>
      </c>
      <c r="I386" s="12" t="s">
        <v>339</v>
      </c>
      <c r="J386" s="12"/>
      <c r="K386" s="12"/>
      <c r="L386" s="5"/>
      <c r="M386" s="33" t="n">
        <f aca="false">SUMIFS('Existing vs Saran'!$I$5:$I$210,'Existing vs Saran'!$N$5:$N$210,A386)</f>
        <v>0</v>
      </c>
      <c r="N386" s="12" t="s">
        <v>1775</v>
      </c>
      <c r="O386" s="5" t="s">
        <v>1776</v>
      </c>
      <c r="P386" s="12"/>
    </row>
    <row r="387" customFormat="false" ht="23.85" hidden="false" customHeight="false" outlineLevel="0" collapsed="false">
      <c r="A387" s="12" t="n">
        <v>252</v>
      </c>
      <c r="B387" s="12" t="s">
        <v>1777</v>
      </c>
      <c r="C387" s="12" t="s">
        <v>949</v>
      </c>
      <c r="D387" s="12" t="s">
        <v>1737</v>
      </c>
      <c r="E387" s="12" t="n">
        <v>2</v>
      </c>
      <c r="F387" s="12" t="s">
        <v>351</v>
      </c>
      <c r="G387" s="12" t="s">
        <v>960</v>
      </c>
      <c r="H387" s="12" t="s">
        <v>94</v>
      </c>
      <c r="I387" s="12" t="s">
        <v>339</v>
      </c>
      <c r="J387" s="12"/>
      <c r="K387" s="12"/>
      <c r="L387" s="5"/>
      <c r="M387" s="33" t="n">
        <f aca="false">SUMIFS('Existing vs Saran'!$I$5:$I$210,'Existing vs Saran'!$N$5:$N$210,A387)</f>
        <v>0</v>
      </c>
      <c r="N387" s="12" t="s">
        <v>1778</v>
      </c>
      <c r="O387" s="5" t="s">
        <v>1779</v>
      </c>
      <c r="P387" s="12"/>
    </row>
    <row r="388" customFormat="false" ht="15" hidden="false" customHeight="false" outlineLevel="0" collapsed="false">
      <c r="A388" s="12" t="n">
        <v>314</v>
      </c>
      <c r="B388" s="12" t="s">
        <v>1780</v>
      </c>
      <c r="C388" s="12" t="s">
        <v>949</v>
      </c>
      <c r="D388" s="12" t="s">
        <v>1737</v>
      </c>
      <c r="E388" s="12" t="n">
        <v>3</v>
      </c>
      <c r="F388" s="12" t="s">
        <v>356</v>
      </c>
      <c r="G388" s="12" t="s">
        <v>1143</v>
      </c>
      <c r="H388" s="12" t="s">
        <v>94</v>
      </c>
      <c r="I388" s="12" t="s">
        <v>339</v>
      </c>
      <c r="J388" s="12"/>
      <c r="K388" s="12"/>
      <c r="L388" s="5"/>
      <c r="M388" s="33" t="n">
        <f aca="false">SUMIFS('Existing vs Saran'!$I$5:$I$210,'Existing vs Saran'!$N$5:$N$210,A388)</f>
        <v>0</v>
      </c>
      <c r="N388" s="12" t="s">
        <v>1781</v>
      </c>
      <c r="O388" s="5" t="s">
        <v>1126</v>
      </c>
      <c r="P388" s="12"/>
    </row>
    <row r="389" customFormat="false" ht="15" hidden="false" customHeight="false" outlineLevel="0" collapsed="false">
      <c r="A389" s="12" t="n">
        <v>341</v>
      </c>
      <c r="B389" s="12" t="s">
        <v>1782</v>
      </c>
      <c r="C389" s="12" t="s">
        <v>949</v>
      </c>
      <c r="D389" s="12" t="s">
        <v>1737</v>
      </c>
      <c r="E389" s="12"/>
      <c r="F389" s="12" t="s">
        <v>797</v>
      </c>
      <c r="G389" s="12" t="s">
        <v>798</v>
      </c>
      <c r="H389" s="12" t="s">
        <v>106</v>
      </c>
      <c r="I389" s="12" t="s">
        <v>339</v>
      </c>
      <c r="J389" s="12"/>
      <c r="K389" s="12"/>
      <c r="L389" s="5"/>
      <c r="M389" s="33" t="n">
        <f aca="false">SUMIFS('Existing vs Saran'!$I$5:$I$210,'Existing vs Saran'!$N$5:$N$210,A389)</f>
        <v>0</v>
      </c>
      <c r="N389" s="12" t="s">
        <v>1783</v>
      </c>
      <c r="O389" s="5"/>
      <c r="P389" s="12"/>
    </row>
    <row r="390" customFormat="false" ht="15" hidden="false" customHeight="false" outlineLevel="0" collapsed="false">
      <c r="A390" s="12" t="n">
        <v>133</v>
      </c>
      <c r="B390" s="12" t="s">
        <v>1784</v>
      </c>
      <c r="C390" s="12" t="s">
        <v>949</v>
      </c>
      <c r="D390" s="12" t="s">
        <v>1737</v>
      </c>
      <c r="E390" s="12"/>
      <c r="F390" s="12" t="s">
        <v>904</v>
      </c>
      <c r="G390" s="12" t="s">
        <v>1444</v>
      </c>
      <c r="H390" s="12" t="s">
        <v>1211</v>
      </c>
      <c r="I390" s="12" t="s">
        <v>339</v>
      </c>
      <c r="J390" s="12"/>
      <c r="K390" s="12"/>
      <c r="L390" s="5"/>
      <c r="M390" s="33" t="n">
        <f aca="false">SUMIFS('Existing vs Saran'!$I$5:$I$210,'Existing vs Saran'!$N$5:$N$210,A390)</f>
        <v>0</v>
      </c>
      <c r="N390" s="12" t="s">
        <v>1785</v>
      </c>
      <c r="O390" s="5"/>
      <c r="P390" s="12"/>
    </row>
    <row r="391" customFormat="false" ht="15" hidden="false" customHeight="false" outlineLevel="0" collapsed="false">
      <c r="A391" s="12" t="n">
        <v>18</v>
      </c>
      <c r="B391" s="12" t="s">
        <v>1786</v>
      </c>
      <c r="C391" s="12" t="s">
        <v>949</v>
      </c>
      <c r="D391" s="12" t="s">
        <v>1737</v>
      </c>
      <c r="E391" s="12" t="n">
        <v>3</v>
      </c>
      <c r="F391" s="12" t="s">
        <v>354</v>
      </c>
      <c r="G391" s="12" t="s">
        <v>997</v>
      </c>
      <c r="H391" s="12" t="s">
        <v>94</v>
      </c>
      <c r="I391" s="12" t="s">
        <v>339</v>
      </c>
      <c r="J391" s="12"/>
      <c r="K391" s="12"/>
      <c r="L391" s="5"/>
      <c r="M391" s="33" t="n">
        <f aca="false">SUMIFS('Existing vs Saran'!$I$5:$I$210,'Existing vs Saran'!$N$5:$N$210,A391)</f>
        <v>0</v>
      </c>
      <c r="N391" s="12" t="s">
        <v>1787</v>
      </c>
      <c r="O391" s="5" t="s">
        <v>1788</v>
      </c>
      <c r="P391" s="12"/>
    </row>
    <row r="392" customFormat="false" ht="15" hidden="false" customHeight="false" outlineLevel="0" collapsed="false">
      <c r="A392" s="12" t="n">
        <v>183</v>
      </c>
      <c r="B392" s="12" t="s">
        <v>1789</v>
      </c>
      <c r="C392" s="12" t="s">
        <v>949</v>
      </c>
      <c r="D392" s="12" t="s">
        <v>1737</v>
      </c>
      <c r="E392" s="12" t="n">
        <v>1</v>
      </c>
      <c r="F392" s="12" t="s">
        <v>20</v>
      </c>
      <c r="G392" s="12" t="s">
        <v>707</v>
      </c>
      <c r="H392" s="12" t="s">
        <v>94</v>
      </c>
      <c r="I392" s="12" t="s">
        <v>339</v>
      </c>
      <c r="J392" s="12"/>
      <c r="K392" s="12"/>
      <c r="L392" s="5"/>
      <c r="M392" s="33" t="n">
        <f aca="false">SUMIFS('Existing vs Saran'!$I$5:$I$210,'Existing vs Saran'!$N$5:$N$210,A392)</f>
        <v>0</v>
      </c>
      <c r="N392" s="12" t="s">
        <v>1790</v>
      </c>
      <c r="O392" s="5" t="s">
        <v>1791</v>
      </c>
      <c r="P392" s="12"/>
    </row>
    <row r="393" customFormat="false" ht="15" hidden="false" customHeight="false" outlineLevel="0" collapsed="false">
      <c r="A393" s="12" t="n">
        <v>20</v>
      </c>
      <c r="B393" s="12" t="s">
        <v>1792</v>
      </c>
      <c r="C393" s="12" t="s">
        <v>949</v>
      </c>
      <c r="D393" s="12" t="s">
        <v>1737</v>
      </c>
      <c r="E393" s="12"/>
      <c r="F393" s="12" t="s">
        <v>354</v>
      </c>
      <c r="G393" s="12" t="s">
        <v>997</v>
      </c>
      <c r="H393" s="12" t="s">
        <v>94</v>
      </c>
      <c r="I393" s="12" t="s">
        <v>339</v>
      </c>
      <c r="J393" s="12"/>
      <c r="K393" s="12"/>
      <c r="L393" s="5"/>
      <c r="M393" s="33" t="n">
        <f aca="false">SUMIFS('Existing vs Saran'!$I$5:$I$210,'Existing vs Saran'!$N$5:$N$210,A393)</f>
        <v>0</v>
      </c>
      <c r="N393" s="12" t="s">
        <v>1793</v>
      </c>
      <c r="O393" s="5"/>
      <c r="P393" s="12"/>
    </row>
    <row r="394" customFormat="false" ht="15" hidden="false" customHeight="false" outlineLevel="0" collapsed="false">
      <c r="A394" s="12" t="n">
        <v>86</v>
      </c>
      <c r="B394" s="12" t="s">
        <v>1794</v>
      </c>
      <c r="C394" s="12" t="s">
        <v>949</v>
      </c>
      <c r="D394" s="12" t="s">
        <v>1737</v>
      </c>
      <c r="E394" s="12"/>
      <c r="F394" s="12" t="s">
        <v>379</v>
      </c>
      <c r="G394" s="12" t="s">
        <v>613</v>
      </c>
      <c r="H394" s="12" t="s">
        <v>106</v>
      </c>
      <c r="I394" s="12" t="s">
        <v>339</v>
      </c>
      <c r="J394" s="12"/>
      <c r="K394" s="12"/>
      <c r="L394" s="5"/>
      <c r="M394" s="33" t="n">
        <f aca="false">SUMIFS('Existing vs Saran'!$I$5:$I$210,'Existing vs Saran'!$N$5:$N$210,A394)</f>
        <v>0</v>
      </c>
      <c r="N394" s="12" t="s">
        <v>1795</v>
      </c>
      <c r="O394" s="5"/>
      <c r="P394" s="12"/>
    </row>
    <row r="395" customFormat="false" ht="15" hidden="false" customHeight="false" outlineLevel="0" collapsed="false">
      <c r="A395" s="12" t="n">
        <v>257</v>
      </c>
      <c r="B395" s="12" t="s">
        <v>1796</v>
      </c>
      <c r="C395" s="12" t="s">
        <v>949</v>
      </c>
      <c r="D395" s="12" t="s">
        <v>1737</v>
      </c>
      <c r="E395" s="12"/>
      <c r="F395" s="12" t="s">
        <v>351</v>
      </c>
      <c r="G395" s="12" t="s">
        <v>960</v>
      </c>
      <c r="H395" s="12" t="s">
        <v>94</v>
      </c>
      <c r="I395" s="12" t="s">
        <v>339</v>
      </c>
      <c r="J395" s="12"/>
      <c r="K395" s="12"/>
      <c r="L395" s="5"/>
      <c r="M395" s="33" t="n">
        <f aca="false">SUMIFS('Existing vs Saran'!$I$5:$I$210,'Existing vs Saran'!$N$5:$N$210,A395)</f>
        <v>0</v>
      </c>
      <c r="N395" s="12"/>
      <c r="O395" s="5"/>
      <c r="P395" s="12"/>
    </row>
    <row r="396" customFormat="false" ht="15" hidden="false" customHeight="false" outlineLevel="0" collapsed="false">
      <c r="A396" s="12" t="n">
        <v>21</v>
      </c>
      <c r="B396" s="12" t="s">
        <v>1797</v>
      </c>
      <c r="C396" s="12" t="s">
        <v>949</v>
      </c>
      <c r="D396" s="12" t="s">
        <v>1737</v>
      </c>
      <c r="E396" s="12"/>
      <c r="F396" s="12" t="s">
        <v>354</v>
      </c>
      <c r="G396" s="12" t="s">
        <v>1124</v>
      </c>
      <c r="H396" s="12" t="s">
        <v>94</v>
      </c>
      <c r="I396" s="12" t="s">
        <v>339</v>
      </c>
      <c r="J396" s="12"/>
      <c r="K396" s="12"/>
      <c r="L396" s="5"/>
      <c r="M396" s="33" t="n">
        <f aca="false">SUMIFS('Existing vs Saran'!$I$5:$I$210,'Existing vs Saran'!$N$5:$N$210,A396)</f>
        <v>0</v>
      </c>
      <c r="N396" s="12" t="s">
        <v>1798</v>
      </c>
      <c r="O396" s="5"/>
      <c r="P396" s="12"/>
    </row>
    <row r="397" customFormat="false" ht="23.85" hidden="false" customHeight="false" outlineLevel="0" collapsed="false">
      <c r="A397" s="12" t="n">
        <v>316</v>
      </c>
      <c r="B397" s="12" t="s">
        <v>1799</v>
      </c>
      <c r="C397" s="12" t="s">
        <v>949</v>
      </c>
      <c r="D397" s="12" t="s">
        <v>1737</v>
      </c>
      <c r="E397" s="12" t="n">
        <v>1</v>
      </c>
      <c r="F397" s="12" t="s">
        <v>356</v>
      </c>
      <c r="G397" s="12" t="s">
        <v>957</v>
      </c>
      <c r="H397" s="12" t="s">
        <v>1211</v>
      </c>
      <c r="I397" s="12" t="s">
        <v>339</v>
      </c>
      <c r="J397" s="12"/>
      <c r="K397" s="12"/>
      <c r="L397" s="5"/>
      <c r="M397" s="33" t="n">
        <f aca="false">SUMIFS('Existing vs Saran'!$I$5:$I$210,'Existing vs Saran'!$N$5:$N$210,A397)</f>
        <v>0</v>
      </c>
      <c r="N397" s="12" t="s">
        <v>1800</v>
      </c>
      <c r="O397" s="5" t="s">
        <v>1801</v>
      </c>
      <c r="P397" s="12"/>
    </row>
    <row r="398" customFormat="false" ht="15" hidden="false" customHeight="false" outlineLevel="0" collapsed="false">
      <c r="A398" s="12" t="n">
        <v>23</v>
      </c>
      <c r="B398" s="12" t="s">
        <v>1802</v>
      </c>
      <c r="C398" s="12" t="s">
        <v>949</v>
      </c>
      <c r="D398" s="12" t="s">
        <v>1737</v>
      </c>
      <c r="E398" s="12" t="n">
        <v>3</v>
      </c>
      <c r="F398" s="12" t="s">
        <v>354</v>
      </c>
      <c r="G398" s="12" t="s">
        <v>1124</v>
      </c>
      <c r="H398" s="12" t="s">
        <v>94</v>
      </c>
      <c r="I398" s="12" t="s">
        <v>339</v>
      </c>
      <c r="J398" s="12"/>
      <c r="K398" s="12"/>
      <c r="L398" s="5"/>
      <c r="M398" s="33" t="n">
        <f aca="false">SUMIFS('Existing vs Saran'!$I$5:$I$210,'Existing vs Saran'!$N$5:$N$210,A398)</f>
        <v>0</v>
      </c>
      <c r="N398" s="12" t="s">
        <v>1803</v>
      </c>
      <c r="O398" s="5" t="s">
        <v>1804</v>
      </c>
      <c r="P398" s="12"/>
    </row>
    <row r="399" customFormat="false" ht="15" hidden="false" customHeight="false" outlineLevel="0" collapsed="false">
      <c r="A399" s="12" t="n">
        <v>259</v>
      </c>
      <c r="B399" s="12" t="s">
        <v>1805</v>
      </c>
      <c r="C399" s="12" t="s">
        <v>949</v>
      </c>
      <c r="D399" s="12" t="s">
        <v>1737</v>
      </c>
      <c r="E399" s="12" t="n">
        <v>1</v>
      </c>
      <c r="F399" s="12" t="s">
        <v>351</v>
      </c>
      <c r="G399" s="12" t="s">
        <v>1113</v>
      </c>
      <c r="H399" s="12" t="s">
        <v>94</v>
      </c>
      <c r="I399" s="12" t="s">
        <v>339</v>
      </c>
      <c r="J399" s="12"/>
      <c r="K399" s="12"/>
      <c r="L399" s="5"/>
      <c r="M399" s="33" t="n">
        <f aca="false">SUMIFS('Existing vs Saran'!$I$5:$I$210,'Existing vs Saran'!$N$5:$N$210,A399)</f>
        <v>0</v>
      </c>
      <c r="N399" s="12" t="s">
        <v>1806</v>
      </c>
      <c r="O399" s="5" t="s">
        <v>1807</v>
      </c>
      <c r="P399" s="12"/>
    </row>
    <row r="400" customFormat="false" ht="23.85" hidden="false" customHeight="false" outlineLevel="0" collapsed="false">
      <c r="A400" s="12" t="n">
        <v>186</v>
      </c>
      <c r="B400" s="12" t="s">
        <v>1808</v>
      </c>
      <c r="C400" s="12" t="s">
        <v>949</v>
      </c>
      <c r="D400" s="12" t="s">
        <v>1737</v>
      </c>
      <c r="E400" s="12" t="n">
        <v>1</v>
      </c>
      <c r="F400" s="12" t="s">
        <v>20</v>
      </c>
      <c r="G400" s="12" t="s">
        <v>139</v>
      </c>
      <c r="H400" s="12" t="s">
        <v>94</v>
      </c>
      <c r="I400" s="12" t="s">
        <v>339</v>
      </c>
      <c r="J400" s="12"/>
      <c r="K400" s="12"/>
      <c r="L400" s="5"/>
      <c r="M400" s="33" t="n">
        <f aca="false">SUMIFS('Existing vs Saran'!$I$5:$I$210,'Existing vs Saran'!$N$5:$N$210,A400)</f>
        <v>0</v>
      </c>
      <c r="N400" s="12" t="s">
        <v>1809</v>
      </c>
      <c r="O400" s="5" t="s">
        <v>1810</v>
      </c>
      <c r="P400" s="12"/>
    </row>
    <row r="401" customFormat="false" ht="15" hidden="false" customHeight="false" outlineLevel="0" collapsed="false">
      <c r="A401" s="12" t="n">
        <v>261</v>
      </c>
      <c r="B401" s="12" t="s">
        <v>1811</v>
      </c>
      <c r="C401" s="12" t="s">
        <v>949</v>
      </c>
      <c r="D401" s="12" t="s">
        <v>1737</v>
      </c>
      <c r="E401" s="12" t="n">
        <v>1</v>
      </c>
      <c r="F401" s="12" t="s">
        <v>351</v>
      </c>
      <c r="G401" s="12" t="s">
        <v>960</v>
      </c>
      <c r="H401" s="12" t="s">
        <v>85</v>
      </c>
      <c r="I401" s="12" t="s">
        <v>339</v>
      </c>
      <c r="J401" s="12"/>
      <c r="K401" s="12"/>
      <c r="L401" s="5"/>
      <c r="M401" s="33" t="n">
        <f aca="false">SUMIFS('Existing vs Saran'!$I$5:$I$210,'Existing vs Saran'!$N$5:$N$210,A401)</f>
        <v>0</v>
      </c>
      <c r="N401" s="12" t="s">
        <v>1812</v>
      </c>
      <c r="O401" s="5" t="s">
        <v>1813</v>
      </c>
      <c r="P401" s="12"/>
    </row>
    <row r="402" customFormat="false" ht="15" hidden="false" customHeight="false" outlineLevel="0" collapsed="false">
      <c r="A402" s="12" t="n">
        <v>89</v>
      </c>
      <c r="B402" s="12" t="s">
        <v>1814</v>
      </c>
      <c r="C402" s="12" t="s">
        <v>949</v>
      </c>
      <c r="D402" s="12" t="s">
        <v>1737</v>
      </c>
      <c r="E402" s="12"/>
      <c r="F402" s="12" t="s">
        <v>379</v>
      </c>
      <c r="G402" s="12" t="s">
        <v>1029</v>
      </c>
      <c r="H402" s="12" t="s">
        <v>94</v>
      </c>
      <c r="I402" s="12" t="s">
        <v>339</v>
      </c>
      <c r="J402" s="12"/>
      <c r="K402" s="12"/>
      <c r="L402" s="5"/>
      <c r="M402" s="33" t="n">
        <f aca="false">SUMIFS('Existing vs Saran'!$I$5:$I$210,'Existing vs Saran'!$N$5:$N$210,A402)</f>
        <v>0</v>
      </c>
      <c r="N402" s="12" t="s">
        <v>1815</v>
      </c>
      <c r="O402" s="5"/>
      <c r="P402" s="12"/>
    </row>
    <row r="403" customFormat="false" ht="15" hidden="false" customHeight="false" outlineLevel="0" collapsed="false">
      <c r="A403" s="12" t="n">
        <v>90</v>
      </c>
      <c r="B403" s="12" t="s">
        <v>1816</v>
      </c>
      <c r="C403" s="12" t="s">
        <v>949</v>
      </c>
      <c r="D403" s="12" t="s">
        <v>1737</v>
      </c>
      <c r="E403" s="12"/>
      <c r="F403" s="12" t="s">
        <v>379</v>
      </c>
      <c r="G403" s="12" t="s">
        <v>571</v>
      </c>
      <c r="H403" s="12" t="s">
        <v>94</v>
      </c>
      <c r="I403" s="12" t="s">
        <v>339</v>
      </c>
      <c r="J403" s="12"/>
      <c r="K403" s="12"/>
      <c r="L403" s="5"/>
      <c r="M403" s="33" t="n">
        <f aca="false">SUMIFS('Existing vs Saran'!$I$5:$I$210,'Existing vs Saran'!$N$5:$N$210,A403)</f>
        <v>0</v>
      </c>
      <c r="N403" s="12" t="s">
        <v>1817</v>
      </c>
      <c r="O403" s="5"/>
      <c r="P403" s="12"/>
    </row>
    <row r="404" customFormat="false" ht="23.85" hidden="false" customHeight="false" outlineLevel="0" collapsed="false">
      <c r="A404" s="12" t="n">
        <v>318</v>
      </c>
      <c r="B404" s="12" t="s">
        <v>1818</v>
      </c>
      <c r="C404" s="12" t="s">
        <v>949</v>
      </c>
      <c r="D404" s="12" t="s">
        <v>1737</v>
      </c>
      <c r="E404" s="12" t="n">
        <v>1</v>
      </c>
      <c r="F404" s="12" t="s">
        <v>356</v>
      </c>
      <c r="G404" s="12" t="s">
        <v>1116</v>
      </c>
      <c r="H404" s="12" t="s">
        <v>94</v>
      </c>
      <c r="I404" s="12" t="s">
        <v>339</v>
      </c>
      <c r="J404" s="12"/>
      <c r="K404" s="12"/>
      <c r="L404" s="5"/>
      <c r="M404" s="33" t="n">
        <f aca="false">SUMIFS('Existing vs Saran'!$I$5:$I$210,'Existing vs Saran'!$N$5:$N$210,A404)</f>
        <v>0</v>
      </c>
      <c r="N404" s="12" t="s">
        <v>1819</v>
      </c>
      <c r="O404" s="5" t="s">
        <v>1820</v>
      </c>
      <c r="P404" s="12"/>
    </row>
    <row r="405" customFormat="false" ht="15" hidden="false" customHeight="false" outlineLevel="0" collapsed="false">
      <c r="A405" s="12" t="n">
        <v>264</v>
      </c>
      <c r="B405" s="12" t="s">
        <v>1821</v>
      </c>
      <c r="C405" s="12" t="s">
        <v>949</v>
      </c>
      <c r="D405" s="12" t="s">
        <v>1737</v>
      </c>
      <c r="E405" s="12" t="n">
        <v>1</v>
      </c>
      <c r="F405" s="12" t="s">
        <v>351</v>
      </c>
      <c r="G405" s="12" t="s">
        <v>960</v>
      </c>
      <c r="H405" s="12" t="s">
        <v>94</v>
      </c>
      <c r="I405" s="12" t="s">
        <v>339</v>
      </c>
      <c r="J405" s="12"/>
      <c r="K405" s="12"/>
      <c r="L405" s="5"/>
      <c r="M405" s="33" t="n">
        <f aca="false">SUMIFS('Existing vs Saran'!$I$5:$I$210,'Existing vs Saran'!$N$5:$N$210,A405)</f>
        <v>0</v>
      </c>
      <c r="N405" s="12"/>
      <c r="O405" s="5" t="s">
        <v>1822</v>
      </c>
      <c r="P405" s="12"/>
    </row>
    <row r="406" customFormat="false" ht="23.85" hidden="false" customHeight="false" outlineLevel="0" collapsed="false">
      <c r="A406" s="12" t="n">
        <v>424</v>
      </c>
      <c r="B406" s="12" t="s">
        <v>1823</v>
      </c>
      <c r="C406" s="12" t="s">
        <v>949</v>
      </c>
      <c r="D406" s="12" t="s">
        <v>1737</v>
      </c>
      <c r="E406" s="12" t="n">
        <v>3</v>
      </c>
      <c r="F406" s="12" t="s">
        <v>22</v>
      </c>
      <c r="G406" s="12" t="s">
        <v>1044</v>
      </c>
      <c r="H406" s="12" t="s">
        <v>94</v>
      </c>
      <c r="I406" s="12" t="s">
        <v>339</v>
      </c>
      <c r="J406" s="12"/>
      <c r="K406" s="12"/>
      <c r="L406" s="5"/>
      <c r="M406" s="33" t="n">
        <f aca="false">SUMIFS('Existing vs Saran'!$I$5:$I$210,'Existing vs Saran'!$N$5:$N$210,A406)</f>
        <v>0</v>
      </c>
      <c r="N406" s="12" t="s">
        <v>1824</v>
      </c>
      <c r="O406" s="5" t="s">
        <v>1825</v>
      </c>
      <c r="P406" s="12"/>
    </row>
    <row r="407" customFormat="false" ht="15" hidden="false" customHeight="false" outlineLevel="0" collapsed="false">
      <c r="A407" s="12" t="n">
        <v>91</v>
      </c>
      <c r="B407" s="12" t="s">
        <v>1826</v>
      </c>
      <c r="C407" s="12" t="s">
        <v>949</v>
      </c>
      <c r="D407" s="12" t="s">
        <v>1737</v>
      </c>
      <c r="E407" s="12" t="n">
        <v>3</v>
      </c>
      <c r="F407" s="12" t="s">
        <v>379</v>
      </c>
      <c r="G407" s="12" t="s">
        <v>585</v>
      </c>
      <c r="H407" s="12" t="s">
        <v>94</v>
      </c>
      <c r="I407" s="12" t="s">
        <v>339</v>
      </c>
      <c r="J407" s="12"/>
      <c r="K407" s="12"/>
      <c r="L407" s="5"/>
      <c r="M407" s="33" t="n">
        <f aca="false">SUMIFS('Existing vs Saran'!$I$5:$I$210,'Existing vs Saran'!$N$5:$N$210,A407)</f>
        <v>0</v>
      </c>
      <c r="N407" s="12" t="s">
        <v>1827</v>
      </c>
      <c r="O407" s="5" t="s">
        <v>1828</v>
      </c>
      <c r="P407" s="12"/>
    </row>
    <row r="408" customFormat="false" ht="23.85" hidden="false" customHeight="false" outlineLevel="0" collapsed="false">
      <c r="A408" s="12" t="n">
        <v>92</v>
      </c>
      <c r="B408" s="12" t="s">
        <v>1829</v>
      </c>
      <c r="C408" s="12" t="s">
        <v>949</v>
      </c>
      <c r="D408" s="12" t="s">
        <v>1737</v>
      </c>
      <c r="E408" s="12" t="n">
        <v>3</v>
      </c>
      <c r="F408" s="12" t="s">
        <v>379</v>
      </c>
      <c r="G408" s="12" t="s">
        <v>571</v>
      </c>
      <c r="H408" s="12" t="s">
        <v>106</v>
      </c>
      <c r="I408" s="12" t="s">
        <v>339</v>
      </c>
      <c r="J408" s="12"/>
      <c r="K408" s="12"/>
      <c r="L408" s="5"/>
      <c r="M408" s="33" t="n">
        <f aca="false">SUMIFS('Existing vs Saran'!$I$5:$I$210,'Existing vs Saran'!$N$5:$N$210,A408)</f>
        <v>0</v>
      </c>
      <c r="N408" s="12" t="s">
        <v>1830</v>
      </c>
      <c r="O408" s="5" t="s">
        <v>1831</v>
      </c>
      <c r="P408" s="12"/>
    </row>
    <row r="409" customFormat="false" ht="15" hidden="false" customHeight="false" outlineLevel="0" collapsed="false">
      <c r="A409" s="12" t="n">
        <v>391</v>
      </c>
      <c r="B409" s="12" t="s">
        <v>1832</v>
      </c>
      <c r="C409" s="12" t="s">
        <v>949</v>
      </c>
      <c r="D409" s="12" t="s">
        <v>1737</v>
      </c>
      <c r="E409" s="12" t="n">
        <v>2</v>
      </c>
      <c r="F409" s="12" t="s">
        <v>917</v>
      </c>
      <c r="G409" s="12" t="s">
        <v>1056</v>
      </c>
      <c r="H409" s="12" t="s">
        <v>94</v>
      </c>
      <c r="I409" s="12" t="s">
        <v>339</v>
      </c>
      <c r="J409" s="12"/>
      <c r="K409" s="12"/>
      <c r="L409" s="5"/>
      <c r="M409" s="33" t="n">
        <f aca="false">SUMIFS('Existing vs Saran'!$I$5:$I$210,'Existing vs Saran'!$N$5:$N$210,A409)</f>
        <v>0</v>
      </c>
      <c r="N409" s="12" t="s">
        <v>1833</v>
      </c>
      <c r="O409" s="5" t="s">
        <v>1834</v>
      </c>
      <c r="P409" s="12"/>
    </row>
    <row r="410" customFormat="false" ht="15" hidden="false" customHeight="false" outlineLevel="0" collapsed="false">
      <c r="A410" s="12" t="n">
        <v>192</v>
      </c>
      <c r="B410" s="12" t="s">
        <v>1835</v>
      </c>
      <c r="C410" s="12" t="s">
        <v>949</v>
      </c>
      <c r="D410" s="12" t="s">
        <v>1737</v>
      </c>
      <c r="E410" s="12" t="n">
        <v>2</v>
      </c>
      <c r="F410" s="12" t="s">
        <v>20</v>
      </c>
      <c r="G410" s="12" t="s">
        <v>707</v>
      </c>
      <c r="H410" s="12" t="s">
        <v>94</v>
      </c>
      <c r="I410" s="12" t="s">
        <v>339</v>
      </c>
      <c r="J410" s="12"/>
      <c r="K410" s="12"/>
      <c r="L410" s="5"/>
      <c r="M410" s="33" t="n">
        <f aca="false">SUMIFS('Existing vs Saran'!$I$5:$I$210,'Existing vs Saran'!$N$5:$N$210,A410)</f>
        <v>0</v>
      </c>
      <c r="N410" s="12" t="s">
        <v>1836</v>
      </c>
      <c r="O410" s="5" t="s">
        <v>1837</v>
      </c>
      <c r="P410" s="12"/>
    </row>
    <row r="411" customFormat="false" ht="23.85" hidden="false" customHeight="false" outlineLevel="0" collapsed="false">
      <c r="A411" s="12" t="n">
        <v>268</v>
      </c>
      <c r="B411" s="12" t="s">
        <v>1838</v>
      </c>
      <c r="C411" s="12" t="s">
        <v>949</v>
      </c>
      <c r="D411" s="12" t="s">
        <v>1737</v>
      </c>
      <c r="E411" s="12" t="n">
        <v>1</v>
      </c>
      <c r="F411" s="12" t="s">
        <v>351</v>
      </c>
      <c r="G411" s="12" t="s">
        <v>960</v>
      </c>
      <c r="H411" s="12" t="s">
        <v>94</v>
      </c>
      <c r="I411" s="12" t="s">
        <v>339</v>
      </c>
      <c r="J411" s="12"/>
      <c r="K411" s="12"/>
      <c r="L411" s="5"/>
      <c r="M411" s="33" t="n">
        <f aca="false">SUMIFS('Existing vs Saran'!$I$5:$I$210,'Existing vs Saran'!$N$5:$N$210,A411)</f>
        <v>0</v>
      </c>
      <c r="N411" s="12" t="s">
        <v>1839</v>
      </c>
      <c r="O411" s="5" t="s">
        <v>1840</v>
      </c>
      <c r="P411" s="12"/>
    </row>
    <row r="412" customFormat="false" ht="23.85" hidden="false" customHeight="false" outlineLevel="0" collapsed="false">
      <c r="A412" s="12" t="n">
        <v>271</v>
      </c>
      <c r="B412" s="12" t="s">
        <v>1841</v>
      </c>
      <c r="C412" s="12" t="s">
        <v>949</v>
      </c>
      <c r="D412" s="12" t="s">
        <v>1737</v>
      </c>
      <c r="E412" s="12" t="n">
        <v>1</v>
      </c>
      <c r="F412" s="12" t="s">
        <v>351</v>
      </c>
      <c r="G412" s="12" t="s">
        <v>960</v>
      </c>
      <c r="H412" s="12" t="s">
        <v>94</v>
      </c>
      <c r="I412" s="12" t="s">
        <v>339</v>
      </c>
      <c r="J412" s="12"/>
      <c r="K412" s="12"/>
      <c r="L412" s="5"/>
      <c r="M412" s="33" t="n">
        <f aca="false">SUMIFS('Existing vs Saran'!$I$5:$I$210,'Existing vs Saran'!$N$5:$N$210,A412)</f>
        <v>0</v>
      </c>
      <c r="N412" s="12" t="s">
        <v>1842</v>
      </c>
      <c r="O412" s="5" t="s">
        <v>1843</v>
      </c>
      <c r="P412" s="12"/>
    </row>
    <row r="413" customFormat="false" ht="15" hidden="false" customHeight="false" outlineLevel="0" collapsed="false">
      <c r="A413" s="12" t="n">
        <v>24</v>
      </c>
      <c r="B413" s="12" t="s">
        <v>1844</v>
      </c>
      <c r="C413" s="12" t="s">
        <v>949</v>
      </c>
      <c r="D413" s="12" t="s">
        <v>1737</v>
      </c>
      <c r="E413" s="12" t="n">
        <v>2</v>
      </c>
      <c r="F413" s="12" t="s">
        <v>354</v>
      </c>
      <c r="G413" s="12" t="s">
        <v>997</v>
      </c>
      <c r="H413" s="12" t="s">
        <v>1211</v>
      </c>
      <c r="I413" s="12" t="s">
        <v>339</v>
      </c>
      <c r="J413" s="12"/>
      <c r="K413" s="12"/>
      <c r="L413" s="5"/>
      <c r="M413" s="33" t="n">
        <f aca="false">SUMIFS('Existing vs Saran'!$I$5:$I$210,'Existing vs Saran'!$N$5:$N$210,A413)</f>
        <v>0</v>
      </c>
      <c r="N413" s="12" t="s">
        <v>1845</v>
      </c>
      <c r="O413" s="5" t="s">
        <v>1846</v>
      </c>
      <c r="P413" s="12"/>
    </row>
    <row r="414" customFormat="false" ht="15" hidden="false" customHeight="false" outlineLevel="0" collapsed="false">
      <c r="A414" s="12" t="n">
        <v>196</v>
      </c>
      <c r="B414" s="12" t="s">
        <v>1847</v>
      </c>
      <c r="C414" s="12" t="s">
        <v>949</v>
      </c>
      <c r="D414" s="12" t="s">
        <v>1737</v>
      </c>
      <c r="E414" s="12"/>
      <c r="F414" s="12" t="s">
        <v>20</v>
      </c>
      <c r="G414" s="12" t="s">
        <v>707</v>
      </c>
      <c r="H414" s="12" t="s">
        <v>94</v>
      </c>
      <c r="I414" s="12" t="s">
        <v>339</v>
      </c>
      <c r="J414" s="12"/>
      <c r="K414" s="12"/>
      <c r="L414" s="5"/>
      <c r="M414" s="33" t="n">
        <f aca="false">SUMIFS('Existing vs Saran'!$I$5:$I$210,'Existing vs Saran'!$N$5:$N$210,A414)</f>
        <v>0</v>
      </c>
      <c r="N414" s="12" t="s">
        <v>1848</v>
      </c>
      <c r="O414" s="5"/>
      <c r="P414" s="12"/>
    </row>
    <row r="415" customFormat="false" ht="15" hidden="false" customHeight="false" outlineLevel="0" collapsed="false">
      <c r="A415" s="12" t="n">
        <v>198</v>
      </c>
      <c r="B415" s="12" t="s">
        <v>1849</v>
      </c>
      <c r="C415" s="12" t="s">
        <v>949</v>
      </c>
      <c r="D415" s="12" t="s">
        <v>1737</v>
      </c>
      <c r="E415" s="12" t="n">
        <v>1</v>
      </c>
      <c r="F415" s="12" t="s">
        <v>20</v>
      </c>
      <c r="G415" s="12" t="s">
        <v>707</v>
      </c>
      <c r="H415" s="12" t="s">
        <v>94</v>
      </c>
      <c r="I415" s="12" t="s">
        <v>339</v>
      </c>
      <c r="J415" s="12"/>
      <c r="K415" s="12"/>
      <c r="L415" s="5"/>
      <c r="M415" s="33" t="n">
        <f aca="false">SUMIFS('Existing vs Saran'!$I$5:$I$210,'Existing vs Saran'!$N$5:$N$210,A415)</f>
        <v>0</v>
      </c>
      <c r="N415" s="12" t="s">
        <v>1850</v>
      </c>
      <c r="O415" s="5" t="s">
        <v>1851</v>
      </c>
      <c r="P415" s="12"/>
    </row>
    <row r="416" customFormat="false" ht="15" hidden="false" customHeight="false" outlineLevel="0" collapsed="false">
      <c r="A416" s="12" t="n">
        <v>275</v>
      </c>
      <c r="B416" s="12" t="s">
        <v>1852</v>
      </c>
      <c r="C416" s="12" t="s">
        <v>949</v>
      </c>
      <c r="D416" s="12" t="s">
        <v>1737</v>
      </c>
      <c r="E416" s="12"/>
      <c r="F416" s="12" t="s">
        <v>351</v>
      </c>
      <c r="G416" s="12" t="s">
        <v>777</v>
      </c>
      <c r="H416" s="12" t="s">
        <v>94</v>
      </c>
      <c r="I416" s="12" t="s">
        <v>339</v>
      </c>
      <c r="J416" s="12"/>
      <c r="K416" s="12"/>
      <c r="L416" s="5"/>
      <c r="M416" s="33" t="n">
        <f aca="false">SUMIFS('Existing vs Saran'!$I$5:$I$210,'Existing vs Saran'!$N$5:$N$210,A416)</f>
        <v>0</v>
      </c>
      <c r="N416" s="12" t="s">
        <v>1853</v>
      </c>
      <c r="O416" s="5"/>
      <c r="P416" s="12"/>
    </row>
    <row r="417" customFormat="false" ht="15" hidden="false" customHeight="false" outlineLevel="0" collapsed="false">
      <c r="A417" s="12" t="n">
        <v>278</v>
      </c>
      <c r="B417" s="12" t="s">
        <v>1854</v>
      </c>
      <c r="C417" s="12" t="s">
        <v>949</v>
      </c>
      <c r="D417" s="12" t="s">
        <v>1737</v>
      </c>
      <c r="E417" s="12" t="n">
        <v>2</v>
      </c>
      <c r="F417" s="12" t="s">
        <v>351</v>
      </c>
      <c r="G417" s="12" t="s">
        <v>960</v>
      </c>
      <c r="H417" s="12" t="s">
        <v>94</v>
      </c>
      <c r="I417" s="12" t="s">
        <v>339</v>
      </c>
      <c r="J417" s="12"/>
      <c r="K417" s="12"/>
      <c r="L417" s="5"/>
      <c r="M417" s="33" t="n">
        <f aca="false">SUMIFS('Existing vs Saran'!$I$5:$I$210,'Existing vs Saran'!$N$5:$N$210,A417)</f>
        <v>0</v>
      </c>
      <c r="N417" s="12" t="s">
        <v>1855</v>
      </c>
      <c r="O417" s="5" t="s">
        <v>1856</v>
      </c>
      <c r="P417" s="12"/>
    </row>
    <row r="418" customFormat="false" ht="15" hidden="false" customHeight="false" outlineLevel="0" collapsed="false">
      <c r="A418" s="12" t="n">
        <v>26</v>
      </c>
      <c r="B418" s="12" t="s">
        <v>1857</v>
      </c>
      <c r="C418" s="12" t="s">
        <v>949</v>
      </c>
      <c r="D418" s="12" t="s">
        <v>1737</v>
      </c>
      <c r="E418" s="12"/>
      <c r="F418" s="12" t="s">
        <v>354</v>
      </c>
      <c r="G418" s="12" t="s">
        <v>1026</v>
      </c>
      <c r="H418" s="12" t="s">
        <v>94</v>
      </c>
      <c r="I418" s="12" t="s">
        <v>339</v>
      </c>
      <c r="J418" s="12"/>
      <c r="K418" s="12"/>
      <c r="L418" s="5"/>
      <c r="M418" s="33" t="n">
        <f aca="false">SUMIFS('Existing vs Saran'!$I$5:$I$210,'Existing vs Saran'!$N$5:$N$210,A418)</f>
        <v>0</v>
      </c>
      <c r="N418" s="12" t="s">
        <v>1858</v>
      </c>
      <c r="O418" s="5"/>
      <c r="P418" s="12"/>
    </row>
    <row r="419" customFormat="false" ht="15" hidden="false" customHeight="false" outlineLevel="0" collapsed="false">
      <c r="A419" s="12" t="n">
        <v>433</v>
      </c>
      <c r="B419" s="12" t="s">
        <v>1859</v>
      </c>
      <c r="C419" s="12" t="s">
        <v>949</v>
      </c>
      <c r="D419" s="12" t="s">
        <v>1737</v>
      </c>
      <c r="E419" s="12"/>
      <c r="F419" s="12" t="s">
        <v>22</v>
      </c>
      <c r="G419" s="12" t="s">
        <v>810</v>
      </c>
      <c r="H419" s="12" t="s">
        <v>94</v>
      </c>
      <c r="I419" s="12" t="s">
        <v>339</v>
      </c>
      <c r="J419" s="12"/>
      <c r="K419" s="12"/>
      <c r="L419" s="5"/>
      <c r="M419" s="33" t="n">
        <f aca="false">SUMIFS('Existing vs Saran'!$I$5:$I$210,'Existing vs Saran'!$N$5:$N$210,A419)</f>
        <v>0</v>
      </c>
      <c r="N419" s="12" t="s">
        <v>1860</v>
      </c>
      <c r="O419" s="5"/>
      <c r="P419" s="12"/>
    </row>
    <row r="420" customFormat="false" ht="15" hidden="false" customHeight="false" outlineLevel="0" collapsed="false">
      <c r="A420" s="12" t="n">
        <v>53</v>
      </c>
      <c r="B420" s="12" t="s">
        <v>1861</v>
      </c>
      <c r="C420" s="12" t="s">
        <v>949</v>
      </c>
      <c r="D420" s="12" t="s">
        <v>1737</v>
      </c>
      <c r="E420" s="12" t="n">
        <v>3</v>
      </c>
      <c r="F420" s="12" t="s">
        <v>548</v>
      </c>
      <c r="G420" s="12" t="s">
        <v>1134</v>
      </c>
      <c r="H420" s="12" t="s">
        <v>94</v>
      </c>
      <c r="I420" s="12" t="s">
        <v>339</v>
      </c>
      <c r="J420" s="12"/>
      <c r="K420" s="12"/>
      <c r="L420" s="5"/>
      <c r="M420" s="33" t="n">
        <f aca="false">SUMIFS('Existing vs Saran'!$I$5:$I$210,'Existing vs Saran'!$N$5:$N$210,A420)</f>
        <v>0</v>
      </c>
      <c r="N420" s="12" t="s">
        <v>1862</v>
      </c>
      <c r="O420" s="5" t="s">
        <v>1863</v>
      </c>
      <c r="P420" s="12"/>
    </row>
    <row r="421" customFormat="false" ht="23.85" hidden="false" customHeight="false" outlineLevel="0" collapsed="false">
      <c r="A421" s="12" t="n">
        <v>201</v>
      </c>
      <c r="B421" s="12" t="s">
        <v>1864</v>
      </c>
      <c r="C421" s="12" t="s">
        <v>949</v>
      </c>
      <c r="D421" s="12" t="s">
        <v>1737</v>
      </c>
      <c r="E421" s="12" t="n">
        <v>2</v>
      </c>
      <c r="F421" s="12" t="s">
        <v>20</v>
      </c>
      <c r="G421" s="12" t="s">
        <v>139</v>
      </c>
      <c r="H421" s="12" t="s">
        <v>94</v>
      </c>
      <c r="I421" s="12" t="s">
        <v>339</v>
      </c>
      <c r="J421" s="12"/>
      <c r="K421" s="12"/>
      <c r="L421" s="5"/>
      <c r="M421" s="33" t="n">
        <f aca="false">SUMIFS('Existing vs Saran'!$I$5:$I$210,'Existing vs Saran'!$N$5:$N$210,A421)</f>
        <v>0</v>
      </c>
      <c r="N421" s="12" t="s">
        <v>1865</v>
      </c>
      <c r="O421" s="5" t="s">
        <v>1866</v>
      </c>
      <c r="P421" s="12"/>
    </row>
    <row r="422" customFormat="false" ht="15" hidden="false" customHeight="false" outlineLevel="0" collapsed="false">
      <c r="A422" s="12" t="n">
        <v>202</v>
      </c>
      <c r="B422" s="12" t="s">
        <v>1867</v>
      </c>
      <c r="C422" s="12" t="s">
        <v>949</v>
      </c>
      <c r="D422" s="12" t="s">
        <v>1737</v>
      </c>
      <c r="E422" s="12" t="n">
        <v>2</v>
      </c>
      <c r="F422" s="12" t="s">
        <v>20</v>
      </c>
      <c r="G422" s="12" t="s">
        <v>139</v>
      </c>
      <c r="H422" s="12" t="s">
        <v>106</v>
      </c>
      <c r="I422" s="12" t="s">
        <v>339</v>
      </c>
      <c r="J422" s="12"/>
      <c r="K422" s="12"/>
      <c r="L422" s="5"/>
      <c r="M422" s="33" t="n">
        <f aca="false">SUMIFS('Existing vs Saran'!$I$5:$I$210,'Existing vs Saran'!$N$5:$N$210,A422)</f>
        <v>0</v>
      </c>
      <c r="N422" s="12" t="s">
        <v>1868</v>
      </c>
      <c r="O422" s="5" t="s">
        <v>1869</v>
      </c>
      <c r="P422" s="12"/>
    </row>
    <row r="423" customFormat="false" ht="15" hidden="false" customHeight="false" outlineLevel="0" collapsed="false">
      <c r="A423" s="12" t="n">
        <v>320</v>
      </c>
      <c r="B423" s="12" t="s">
        <v>1870</v>
      </c>
      <c r="C423" s="12" t="s">
        <v>949</v>
      </c>
      <c r="D423" s="12" t="s">
        <v>1737</v>
      </c>
      <c r="E423" s="12" t="n">
        <v>2</v>
      </c>
      <c r="F423" s="12" t="s">
        <v>356</v>
      </c>
      <c r="G423" s="12" t="s">
        <v>1478</v>
      </c>
      <c r="H423" s="12" t="s">
        <v>94</v>
      </c>
      <c r="I423" s="12" t="s">
        <v>339</v>
      </c>
      <c r="J423" s="12"/>
      <c r="K423" s="12"/>
      <c r="L423" s="5"/>
      <c r="M423" s="33" t="n">
        <f aca="false">SUMIFS('Existing vs Saran'!$I$5:$I$210,'Existing vs Saran'!$N$5:$N$210,A423)</f>
        <v>0</v>
      </c>
      <c r="N423" s="12" t="s">
        <v>1871</v>
      </c>
      <c r="O423" s="5" t="s">
        <v>1872</v>
      </c>
      <c r="P423" s="12"/>
    </row>
    <row r="424" customFormat="false" ht="23.85" hidden="false" customHeight="false" outlineLevel="0" collapsed="false">
      <c r="A424" s="12" t="n">
        <v>436</v>
      </c>
      <c r="B424" s="12" t="s">
        <v>1873</v>
      </c>
      <c r="C424" s="12" t="s">
        <v>949</v>
      </c>
      <c r="D424" s="12" t="s">
        <v>1737</v>
      </c>
      <c r="E424" s="12" t="n">
        <v>3</v>
      </c>
      <c r="F424" s="12" t="s">
        <v>22</v>
      </c>
      <c r="G424" s="12" t="s">
        <v>209</v>
      </c>
      <c r="H424" s="12" t="s">
        <v>94</v>
      </c>
      <c r="I424" s="12" t="s">
        <v>339</v>
      </c>
      <c r="J424" s="12"/>
      <c r="K424" s="12"/>
      <c r="L424" s="5"/>
      <c r="M424" s="33" t="n">
        <f aca="false">SUMIFS('Existing vs Saran'!$I$5:$I$210,'Existing vs Saran'!$N$5:$N$210,A424)</f>
        <v>0</v>
      </c>
      <c r="N424" s="12" t="s">
        <v>1874</v>
      </c>
      <c r="O424" s="5" t="s">
        <v>1875</v>
      </c>
      <c r="P424" s="12"/>
    </row>
    <row r="425" customFormat="false" ht="15" hidden="false" customHeight="false" outlineLevel="0" collapsed="false">
      <c r="A425" s="12" t="n">
        <v>207</v>
      </c>
      <c r="B425" s="12" t="s">
        <v>1876</v>
      </c>
      <c r="C425" s="12" t="s">
        <v>949</v>
      </c>
      <c r="D425" s="12" t="s">
        <v>1737</v>
      </c>
      <c r="E425" s="12" t="n">
        <v>1</v>
      </c>
      <c r="F425" s="12" t="s">
        <v>20</v>
      </c>
      <c r="G425" s="12" t="s">
        <v>707</v>
      </c>
      <c r="H425" s="12" t="s">
        <v>94</v>
      </c>
      <c r="I425" s="12" t="s">
        <v>339</v>
      </c>
      <c r="J425" s="12"/>
      <c r="K425" s="12"/>
      <c r="L425" s="5"/>
      <c r="M425" s="33" t="n">
        <f aca="false">SUMIFS('Existing vs Saran'!$I$5:$I$210,'Existing vs Saran'!$N$5:$N$210,A425)</f>
        <v>0</v>
      </c>
      <c r="N425" s="12" t="s">
        <v>1877</v>
      </c>
      <c r="O425" s="5" t="s">
        <v>1878</v>
      </c>
      <c r="P425" s="12"/>
    </row>
    <row r="426" customFormat="false" ht="15" hidden="false" customHeight="false" outlineLevel="0" collapsed="false">
      <c r="A426" s="12" t="n">
        <v>30</v>
      </c>
      <c r="B426" s="12" t="s">
        <v>1879</v>
      </c>
      <c r="C426" s="12" t="s">
        <v>949</v>
      </c>
      <c r="D426" s="12" t="s">
        <v>1737</v>
      </c>
      <c r="E426" s="12" t="n">
        <v>2</v>
      </c>
      <c r="F426" s="12" t="s">
        <v>354</v>
      </c>
      <c r="G426" s="12" t="s">
        <v>997</v>
      </c>
      <c r="H426" s="12" t="s">
        <v>94</v>
      </c>
      <c r="I426" s="12" t="s">
        <v>339</v>
      </c>
      <c r="J426" s="12"/>
      <c r="K426" s="12"/>
      <c r="L426" s="5"/>
      <c r="M426" s="33" t="n">
        <f aca="false">SUMIFS('Existing vs Saran'!$I$5:$I$210,'Existing vs Saran'!$N$5:$N$210,A426)</f>
        <v>0</v>
      </c>
      <c r="N426" s="12" t="s">
        <v>1880</v>
      </c>
      <c r="O426" s="5" t="s">
        <v>1881</v>
      </c>
      <c r="P426" s="12"/>
    </row>
    <row r="427" customFormat="false" ht="15" hidden="false" customHeight="false" outlineLevel="0" collapsed="false">
      <c r="A427" s="12" t="n">
        <v>209</v>
      </c>
      <c r="B427" s="12" t="s">
        <v>1882</v>
      </c>
      <c r="C427" s="12" t="s">
        <v>949</v>
      </c>
      <c r="D427" s="12" t="s">
        <v>1737</v>
      </c>
      <c r="E427" s="12"/>
      <c r="F427" s="12" t="s">
        <v>20</v>
      </c>
      <c r="G427" s="12" t="s">
        <v>139</v>
      </c>
      <c r="H427" s="12" t="s">
        <v>94</v>
      </c>
      <c r="I427" s="12" t="s">
        <v>339</v>
      </c>
      <c r="J427" s="12"/>
      <c r="K427" s="12"/>
      <c r="L427" s="5"/>
      <c r="M427" s="33" t="n">
        <f aca="false">SUMIFS('Existing vs Saran'!$I$5:$I$210,'Existing vs Saran'!$N$5:$N$210,A427)</f>
        <v>0</v>
      </c>
      <c r="N427" s="12" t="s">
        <v>1883</v>
      </c>
      <c r="O427" s="5"/>
      <c r="P427" s="12"/>
    </row>
    <row r="428" customFormat="false" ht="23.85" hidden="false" customHeight="false" outlineLevel="0" collapsed="false">
      <c r="A428" s="12" t="n">
        <v>395</v>
      </c>
      <c r="B428" s="12" t="s">
        <v>1884</v>
      </c>
      <c r="C428" s="12" t="s">
        <v>949</v>
      </c>
      <c r="D428" s="12" t="s">
        <v>1737</v>
      </c>
      <c r="E428" s="12" t="n">
        <v>2</v>
      </c>
      <c r="F428" s="12" t="s">
        <v>917</v>
      </c>
      <c r="G428" s="12" t="s">
        <v>1056</v>
      </c>
      <c r="H428" s="12" t="s">
        <v>94</v>
      </c>
      <c r="I428" s="12" t="s">
        <v>339</v>
      </c>
      <c r="J428" s="12"/>
      <c r="K428" s="12"/>
      <c r="L428" s="5"/>
      <c r="M428" s="33" t="n">
        <f aca="false">SUMIFS('Existing vs Saran'!$I$5:$I$210,'Existing vs Saran'!$N$5:$N$210,A428)</f>
        <v>0</v>
      </c>
      <c r="N428" s="12" t="s">
        <v>1885</v>
      </c>
      <c r="O428" s="5" t="s">
        <v>1886</v>
      </c>
      <c r="P428" s="12"/>
    </row>
    <row r="429" customFormat="false" ht="23.85" hidden="false" customHeight="false" outlineLevel="0" collapsed="false">
      <c r="A429" s="12" t="n">
        <v>33</v>
      </c>
      <c r="B429" s="12" t="s">
        <v>1887</v>
      </c>
      <c r="C429" s="12" t="s">
        <v>949</v>
      </c>
      <c r="D429" s="12" t="s">
        <v>1737</v>
      </c>
      <c r="E429" s="12" t="n">
        <v>2</v>
      </c>
      <c r="F429" s="12" t="s">
        <v>354</v>
      </c>
      <c r="G429" s="12" t="s">
        <v>997</v>
      </c>
      <c r="H429" s="12" t="s">
        <v>94</v>
      </c>
      <c r="I429" s="12" t="s">
        <v>339</v>
      </c>
      <c r="J429" s="12"/>
      <c r="K429" s="12"/>
      <c r="L429" s="5"/>
      <c r="M429" s="33" t="n">
        <f aca="false">SUMIFS('Existing vs Saran'!$I$5:$I$210,'Existing vs Saran'!$N$5:$N$210,A429)</f>
        <v>0</v>
      </c>
      <c r="N429" s="12" t="s">
        <v>1888</v>
      </c>
      <c r="O429" s="5" t="s">
        <v>1889</v>
      </c>
      <c r="P429" s="12"/>
    </row>
    <row r="430" customFormat="false" ht="15" hidden="false" customHeight="false" outlineLevel="0" collapsed="false">
      <c r="A430" s="12" t="n">
        <v>109</v>
      </c>
      <c r="B430" s="12" t="s">
        <v>1890</v>
      </c>
      <c r="C430" s="12" t="s">
        <v>949</v>
      </c>
      <c r="D430" s="12" t="s">
        <v>1737</v>
      </c>
      <c r="E430" s="12"/>
      <c r="F430" s="12" t="s">
        <v>379</v>
      </c>
      <c r="G430" s="12" t="s">
        <v>596</v>
      </c>
      <c r="H430" s="12" t="s">
        <v>94</v>
      </c>
      <c r="I430" s="12" t="s">
        <v>339</v>
      </c>
      <c r="J430" s="12"/>
      <c r="K430" s="12"/>
      <c r="L430" s="5"/>
      <c r="M430" s="33" t="n">
        <f aca="false">SUMIFS('Existing vs Saran'!$I$5:$I$210,'Existing vs Saran'!$N$5:$N$210,A430)</f>
        <v>0</v>
      </c>
      <c r="N430" s="12" t="s">
        <v>1891</v>
      </c>
      <c r="O430" s="5"/>
      <c r="P430" s="12"/>
    </row>
    <row r="431" customFormat="false" ht="35.05" hidden="false" customHeight="false" outlineLevel="0" collapsed="false">
      <c r="A431" s="12" t="n">
        <v>110</v>
      </c>
      <c r="B431" s="12" t="s">
        <v>1892</v>
      </c>
      <c r="C431" s="12" t="s">
        <v>949</v>
      </c>
      <c r="D431" s="12" t="s">
        <v>1737</v>
      </c>
      <c r="E431" s="12" t="n">
        <v>3</v>
      </c>
      <c r="F431" s="12" t="s">
        <v>379</v>
      </c>
      <c r="G431" s="12" t="s">
        <v>585</v>
      </c>
      <c r="H431" s="12" t="s">
        <v>94</v>
      </c>
      <c r="I431" s="12" t="s">
        <v>339</v>
      </c>
      <c r="J431" s="12"/>
      <c r="K431" s="12"/>
      <c r="L431" s="5"/>
      <c r="M431" s="33" t="n">
        <f aca="false">SUMIFS('Existing vs Saran'!$I$5:$I$210,'Existing vs Saran'!$N$5:$N$210,A431)</f>
        <v>0</v>
      </c>
      <c r="N431" s="12" t="s">
        <v>1893</v>
      </c>
      <c r="O431" s="5" t="s">
        <v>1894</v>
      </c>
      <c r="P431" s="12"/>
    </row>
    <row r="432" customFormat="false" ht="15" hidden="false" customHeight="false" outlineLevel="0" collapsed="false">
      <c r="A432" s="12" t="n">
        <v>285</v>
      </c>
      <c r="B432" s="12" t="s">
        <v>1895</v>
      </c>
      <c r="C432" s="12" t="s">
        <v>949</v>
      </c>
      <c r="D432" s="12" t="s">
        <v>1737</v>
      </c>
      <c r="E432" s="12"/>
      <c r="F432" s="12" t="s">
        <v>351</v>
      </c>
      <c r="G432" s="12" t="s">
        <v>1113</v>
      </c>
      <c r="H432" s="12" t="s">
        <v>94</v>
      </c>
      <c r="I432" s="12" t="s">
        <v>339</v>
      </c>
      <c r="J432" s="12"/>
      <c r="K432" s="12"/>
      <c r="L432" s="5"/>
      <c r="M432" s="33" t="n">
        <f aca="false">SUMIFS('Existing vs Saran'!$I$5:$I$210,'Existing vs Saran'!$N$5:$N$210,A432)</f>
        <v>0</v>
      </c>
      <c r="N432" s="12" t="s">
        <v>1896</v>
      </c>
      <c r="O432" s="5"/>
      <c r="P432" s="12"/>
    </row>
    <row r="433" customFormat="false" ht="15" hidden="false" customHeight="false" outlineLevel="0" collapsed="false">
      <c r="A433" s="12" t="n">
        <v>57</v>
      </c>
      <c r="B433" s="12" t="s">
        <v>1897</v>
      </c>
      <c r="C433" s="12" t="s">
        <v>949</v>
      </c>
      <c r="D433" s="12" t="s">
        <v>1737</v>
      </c>
      <c r="E433" s="12" t="n">
        <v>3</v>
      </c>
      <c r="F433" s="12" t="s">
        <v>548</v>
      </c>
      <c r="G433" s="12" t="s">
        <v>1134</v>
      </c>
      <c r="H433" s="12" t="s">
        <v>94</v>
      </c>
      <c r="I433" s="12" t="s">
        <v>339</v>
      </c>
      <c r="J433" s="12"/>
      <c r="K433" s="12"/>
      <c r="L433" s="5"/>
      <c r="M433" s="33" t="n">
        <f aca="false">SUMIFS('Existing vs Saran'!$I$5:$I$210,'Existing vs Saran'!$N$5:$N$210,A433)</f>
        <v>0</v>
      </c>
      <c r="N433" s="12" t="s">
        <v>1898</v>
      </c>
      <c r="O433" s="5" t="s">
        <v>1863</v>
      </c>
      <c r="P433" s="12"/>
    </row>
    <row r="434" customFormat="false" ht="57.45" hidden="false" customHeight="false" outlineLevel="0" collapsed="false">
      <c r="A434" s="12" t="n">
        <v>212</v>
      </c>
      <c r="B434" s="12" t="s">
        <v>1899</v>
      </c>
      <c r="C434" s="12" t="s">
        <v>949</v>
      </c>
      <c r="D434" s="12" t="s">
        <v>1737</v>
      </c>
      <c r="E434" s="12" t="n">
        <v>1</v>
      </c>
      <c r="F434" s="12" t="s">
        <v>20</v>
      </c>
      <c r="G434" s="12" t="s">
        <v>1006</v>
      </c>
      <c r="H434" s="12" t="s">
        <v>94</v>
      </c>
      <c r="I434" s="12" t="s">
        <v>339</v>
      </c>
      <c r="J434" s="12"/>
      <c r="K434" s="12"/>
      <c r="L434" s="5"/>
      <c r="M434" s="33" t="n">
        <f aca="false">SUMIFS('Existing vs Saran'!$I$5:$I$210,'Existing vs Saran'!$N$5:$N$210,A434)</f>
        <v>0</v>
      </c>
      <c r="N434" s="12" t="s">
        <v>1900</v>
      </c>
      <c r="O434" s="5" t="s">
        <v>1901</v>
      </c>
      <c r="P434" s="12"/>
    </row>
    <row r="435" customFormat="false" ht="15" hidden="false" customHeight="false" outlineLevel="0" collapsed="false">
      <c r="A435" s="12" t="n">
        <v>34</v>
      </c>
      <c r="B435" s="12" t="s">
        <v>1902</v>
      </c>
      <c r="C435" s="12" t="s">
        <v>949</v>
      </c>
      <c r="D435" s="12" t="s">
        <v>1737</v>
      </c>
      <c r="E435" s="12"/>
      <c r="F435" s="12" t="s">
        <v>354</v>
      </c>
      <c r="G435" s="12" t="s">
        <v>997</v>
      </c>
      <c r="H435" s="12" t="s">
        <v>94</v>
      </c>
      <c r="I435" s="12" t="s">
        <v>339</v>
      </c>
      <c r="J435" s="12"/>
      <c r="K435" s="12"/>
      <c r="L435" s="5"/>
      <c r="M435" s="33" t="n">
        <f aca="false">SUMIFS('Existing vs Saran'!$I$5:$I$210,'Existing vs Saran'!$N$5:$N$210,A435)</f>
        <v>0</v>
      </c>
      <c r="N435" s="12" t="s">
        <v>1903</v>
      </c>
      <c r="O435" s="5"/>
      <c r="P435" s="12"/>
    </row>
    <row r="436" customFormat="false" ht="23.85" hidden="false" customHeight="false" outlineLevel="0" collapsed="false">
      <c r="A436" s="12" t="n">
        <v>368</v>
      </c>
      <c r="B436" s="12" t="s">
        <v>1904</v>
      </c>
      <c r="C436" s="12" t="s">
        <v>949</v>
      </c>
      <c r="D436" s="12" t="s">
        <v>1737</v>
      </c>
      <c r="E436" s="12" t="n">
        <v>3</v>
      </c>
      <c r="F436" s="12" t="s">
        <v>914</v>
      </c>
      <c r="G436" s="12" t="s">
        <v>1905</v>
      </c>
      <c r="H436" s="12" t="s">
        <v>94</v>
      </c>
      <c r="I436" s="12" t="s">
        <v>339</v>
      </c>
      <c r="J436" s="12"/>
      <c r="K436" s="12"/>
      <c r="L436" s="5"/>
      <c r="M436" s="33" t="n">
        <f aca="false">SUMIFS('Existing vs Saran'!$I$5:$I$210,'Existing vs Saran'!$N$5:$N$210,A436)</f>
        <v>0</v>
      </c>
      <c r="N436" s="12" t="s">
        <v>1906</v>
      </c>
      <c r="O436" s="5" t="s">
        <v>1907</v>
      </c>
      <c r="P436" s="12"/>
    </row>
    <row r="437" customFormat="false" ht="15" hidden="false" customHeight="false" outlineLevel="0" collapsed="false">
      <c r="A437" s="12" t="n">
        <v>115</v>
      </c>
      <c r="B437" s="12" t="s">
        <v>1908</v>
      </c>
      <c r="C437" s="12" t="s">
        <v>949</v>
      </c>
      <c r="D437" s="12" t="s">
        <v>1737</v>
      </c>
      <c r="E437" s="12"/>
      <c r="F437" s="12" t="s">
        <v>379</v>
      </c>
      <c r="G437" s="12" t="s">
        <v>596</v>
      </c>
      <c r="H437" s="12" t="s">
        <v>94</v>
      </c>
      <c r="I437" s="12" t="s">
        <v>339</v>
      </c>
      <c r="J437" s="12"/>
      <c r="K437" s="12"/>
      <c r="L437" s="5"/>
      <c r="M437" s="33" t="n">
        <f aca="false">SUMIFS('Existing vs Saran'!$I$5:$I$210,'Existing vs Saran'!$N$5:$N$210,A437)</f>
        <v>0</v>
      </c>
      <c r="N437" s="12" t="s">
        <v>1909</v>
      </c>
      <c r="O437" s="5"/>
      <c r="P437" s="12"/>
    </row>
    <row r="438" customFormat="false" ht="23.85" hidden="false" customHeight="false" outlineLevel="0" collapsed="false">
      <c r="A438" s="12" t="n">
        <v>215</v>
      </c>
      <c r="B438" s="12" t="s">
        <v>1910</v>
      </c>
      <c r="C438" s="12" t="s">
        <v>949</v>
      </c>
      <c r="D438" s="12" t="s">
        <v>1737</v>
      </c>
      <c r="E438" s="12" t="n">
        <v>1</v>
      </c>
      <c r="F438" s="12" t="s">
        <v>20</v>
      </c>
      <c r="G438" s="12" t="s">
        <v>732</v>
      </c>
      <c r="H438" s="12" t="s">
        <v>94</v>
      </c>
      <c r="I438" s="12" t="s">
        <v>339</v>
      </c>
      <c r="J438" s="12"/>
      <c r="K438" s="12"/>
      <c r="L438" s="5"/>
      <c r="M438" s="33" t="n">
        <f aca="false">SUMIFS('Existing vs Saran'!$I$5:$I$210,'Existing vs Saran'!$N$5:$N$210,A438)</f>
        <v>0</v>
      </c>
      <c r="N438" s="12" t="s">
        <v>1911</v>
      </c>
      <c r="O438" s="5" t="s">
        <v>1912</v>
      </c>
      <c r="P438" s="12"/>
    </row>
    <row r="439" customFormat="false" ht="15" hidden="false" customHeight="false" outlineLevel="0" collapsed="false">
      <c r="A439" s="12" t="n">
        <v>216</v>
      </c>
      <c r="B439" s="12" t="s">
        <v>1913</v>
      </c>
      <c r="C439" s="12" t="s">
        <v>949</v>
      </c>
      <c r="D439" s="12" t="s">
        <v>1737</v>
      </c>
      <c r="E439" s="12" t="n">
        <v>3</v>
      </c>
      <c r="F439" s="12" t="s">
        <v>20</v>
      </c>
      <c r="G439" s="12" t="s">
        <v>1006</v>
      </c>
      <c r="H439" s="12" t="s">
        <v>94</v>
      </c>
      <c r="I439" s="12" t="s">
        <v>339</v>
      </c>
      <c r="J439" s="12"/>
      <c r="K439" s="12"/>
      <c r="L439" s="5"/>
      <c r="M439" s="33" t="n">
        <f aca="false">SUMIFS('Existing vs Saran'!$I$5:$I$210,'Existing vs Saran'!$N$5:$N$210,A439)</f>
        <v>0</v>
      </c>
      <c r="N439" s="12" t="s">
        <v>1914</v>
      </c>
      <c r="O439" s="5" t="s">
        <v>1915</v>
      </c>
      <c r="P439" s="12"/>
    </row>
    <row r="440" customFormat="false" ht="23.85" hidden="false" customHeight="false" outlineLevel="0" collapsed="false">
      <c r="A440" s="12" t="n">
        <v>35</v>
      </c>
      <c r="B440" s="12" t="s">
        <v>1916</v>
      </c>
      <c r="C440" s="12" t="s">
        <v>949</v>
      </c>
      <c r="D440" s="12" t="s">
        <v>1737</v>
      </c>
      <c r="E440" s="12" t="n">
        <v>3</v>
      </c>
      <c r="F440" s="12" t="s">
        <v>354</v>
      </c>
      <c r="G440" s="12" t="s">
        <v>1124</v>
      </c>
      <c r="H440" s="12" t="s">
        <v>94</v>
      </c>
      <c r="I440" s="12" t="s">
        <v>339</v>
      </c>
      <c r="J440" s="12"/>
      <c r="K440" s="12"/>
      <c r="L440" s="5"/>
      <c r="M440" s="33" t="n">
        <f aca="false">SUMIFS('Existing vs Saran'!$I$5:$I$210,'Existing vs Saran'!$N$5:$N$210,A440)</f>
        <v>0</v>
      </c>
      <c r="N440" s="12" t="s">
        <v>1917</v>
      </c>
      <c r="O440" s="5" t="s">
        <v>1918</v>
      </c>
      <c r="P440" s="12"/>
    </row>
    <row r="441" customFormat="false" ht="15" hidden="false" customHeight="false" outlineLevel="0" collapsed="false">
      <c r="A441" s="12" t="n">
        <v>218</v>
      </c>
      <c r="B441" s="12" t="s">
        <v>1919</v>
      </c>
      <c r="C441" s="12" t="s">
        <v>949</v>
      </c>
      <c r="D441" s="12" t="s">
        <v>1737</v>
      </c>
      <c r="E441" s="12" t="n">
        <v>1</v>
      </c>
      <c r="F441" s="12" t="s">
        <v>20</v>
      </c>
      <c r="G441" s="12" t="s">
        <v>139</v>
      </c>
      <c r="H441" s="12" t="s">
        <v>94</v>
      </c>
      <c r="I441" s="12" t="s">
        <v>339</v>
      </c>
      <c r="J441" s="12"/>
      <c r="K441" s="12"/>
      <c r="L441" s="5"/>
      <c r="M441" s="33" t="n">
        <f aca="false">SUMIFS('Existing vs Saran'!$I$5:$I$210,'Existing vs Saran'!$N$5:$N$210,A441)</f>
        <v>0</v>
      </c>
      <c r="N441" s="12" t="s">
        <v>1920</v>
      </c>
      <c r="O441" s="5" t="s">
        <v>1837</v>
      </c>
      <c r="P441" s="12"/>
    </row>
    <row r="442" customFormat="false" ht="23.85" hidden="false" customHeight="false" outlineLevel="0" collapsed="false">
      <c r="A442" s="12" t="n">
        <v>288</v>
      </c>
      <c r="B442" s="12" t="s">
        <v>1921</v>
      </c>
      <c r="C442" s="12" t="s">
        <v>949</v>
      </c>
      <c r="D442" s="12" t="s">
        <v>1737</v>
      </c>
      <c r="E442" s="12" t="n">
        <v>3</v>
      </c>
      <c r="F442" s="12" t="s">
        <v>351</v>
      </c>
      <c r="G442" s="12" t="s">
        <v>1113</v>
      </c>
      <c r="H442" s="12" t="s">
        <v>85</v>
      </c>
      <c r="I442" s="12" t="s">
        <v>339</v>
      </c>
      <c r="J442" s="12"/>
      <c r="K442" s="12"/>
      <c r="L442" s="5"/>
      <c r="M442" s="33" t="n">
        <f aca="false">SUMIFS('Existing vs Saran'!$I$5:$I$210,'Existing vs Saran'!$N$5:$N$210,A442)</f>
        <v>0</v>
      </c>
      <c r="N442" s="12" t="s">
        <v>1922</v>
      </c>
      <c r="O442" s="5" t="s">
        <v>1923</v>
      </c>
      <c r="P442" s="12"/>
    </row>
    <row r="443" customFormat="false" ht="15" hidden="false" customHeight="false" outlineLevel="0" collapsed="false">
      <c r="A443" s="12" t="n">
        <v>456</v>
      </c>
      <c r="B443" s="12" t="s">
        <v>1924</v>
      </c>
      <c r="C443" s="12" t="s">
        <v>949</v>
      </c>
      <c r="D443" s="12" t="s">
        <v>1737</v>
      </c>
      <c r="E443" s="12" t="n">
        <v>3</v>
      </c>
      <c r="F443" s="12"/>
      <c r="G443" s="12"/>
      <c r="H443" s="12" t="s">
        <v>94</v>
      </c>
      <c r="I443" s="12" t="s">
        <v>339</v>
      </c>
      <c r="J443" s="12"/>
      <c r="K443" s="12"/>
      <c r="L443" s="5"/>
      <c r="M443" s="33" t="n">
        <f aca="false">SUMIFS('Existing vs Saran'!$I$5:$I$210,'Existing vs Saran'!$N$5:$N$210,A443)</f>
        <v>0</v>
      </c>
      <c r="N443" s="12" t="s">
        <v>1925</v>
      </c>
      <c r="O443" s="5" t="s">
        <v>1926</v>
      </c>
      <c r="P443" s="12"/>
    </row>
    <row r="444" customFormat="false" ht="15" hidden="false" customHeight="false" outlineLevel="0" collapsed="false">
      <c r="A444" s="12" t="n">
        <v>290</v>
      </c>
      <c r="B444" s="12" t="s">
        <v>1927</v>
      </c>
      <c r="C444" s="12" t="s">
        <v>949</v>
      </c>
      <c r="D444" s="12" t="s">
        <v>1737</v>
      </c>
      <c r="E444" s="12" t="n">
        <v>1</v>
      </c>
      <c r="F444" s="12" t="s">
        <v>351</v>
      </c>
      <c r="G444" s="12" t="s">
        <v>960</v>
      </c>
      <c r="H444" s="12" t="s">
        <v>94</v>
      </c>
      <c r="I444" s="12" t="s">
        <v>339</v>
      </c>
      <c r="J444" s="12"/>
      <c r="K444" s="12"/>
      <c r="L444" s="5"/>
      <c r="M444" s="33" t="n">
        <f aca="false">SUMIFS('Existing vs Saran'!$I$5:$I$210,'Existing vs Saran'!$N$5:$N$210,A444)</f>
        <v>0</v>
      </c>
      <c r="N444" s="12" t="s">
        <v>1928</v>
      </c>
      <c r="O444" s="5" t="s">
        <v>1813</v>
      </c>
      <c r="P444" s="12"/>
    </row>
    <row r="445" customFormat="false" ht="15" hidden="false" customHeight="false" outlineLevel="0" collapsed="false">
      <c r="A445" s="12" t="n">
        <v>221</v>
      </c>
      <c r="B445" s="12" t="s">
        <v>1929</v>
      </c>
      <c r="C445" s="12" t="s">
        <v>949</v>
      </c>
      <c r="D445" s="12" t="s">
        <v>1737</v>
      </c>
      <c r="E445" s="12"/>
      <c r="F445" s="12" t="s">
        <v>20</v>
      </c>
      <c r="G445" s="12" t="s">
        <v>1000</v>
      </c>
      <c r="H445" s="12" t="s">
        <v>94</v>
      </c>
      <c r="I445" s="12" t="s">
        <v>339</v>
      </c>
      <c r="J445" s="12"/>
      <c r="K445" s="12"/>
      <c r="L445" s="5"/>
      <c r="M445" s="33" t="n">
        <f aca="false">SUMIFS('Existing vs Saran'!$I$5:$I$210,'Existing vs Saran'!$N$5:$N$210,A445)</f>
        <v>0</v>
      </c>
      <c r="N445" s="12" t="s">
        <v>1930</v>
      </c>
      <c r="O445" s="5"/>
      <c r="P445" s="12"/>
    </row>
    <row r="446" customFormat="false" ht="15" hidden="false" customHeight="false" outlineLevel="0" collapsed="false">
      <c r="A446" s="12" t="n">
        <v>118</v>
      </c>
      <c r="B446" s="12" t="s">
        <v>1931</v>
      </c>
      <c r="C446" s="12" t="s">
        <v>949</v>
      </c>
      <c r="D446" s="12" t="s">
        <v>1737</v>
      </c>
      <c r="E446" s="12" t="n">
        <v>3</v>
      </c>
      <c r="F446" s="12" t="s">
        <v>379</v>
      </c>
      <c r="G446" s="12" t="s">
        <v>571</v>
      </c>
      <c r="H446" s="12" t="s">
        <v>94</v>
      </c>
      <c r="I446" s="12" t="s">
        <v>339</v>
      </c>
      <c r="J446" s="12"/>
      <c r="K446" s="12"/>
      <c r="L446" s="5"/>
      <c r="M446" s="33" t="n">
        <f aca="false">SUMIFS('Existing vs Saran'!$I$5:$I$210,'Existing vs Saran'!$N$5:$N$210,A446)</f>
        <v>0</v>
      </c>
      <c r="N446" s="12" t="s">
        <v>1932</v>
      </c>
      <c r="O446" s="5" t="s">
        <v>1933</v>
      </c>
      <c r="P446" s="12"/>
    </row>
    <row r="447" customFormat="false" ht="23.85" hidden="false" customHeight="false" outlineLevel="0" collapsed="false">
      <c r="A447" s="12" t="n">
        <v>119</v>
      </c>
      <c r="B447" s="12" t="s">
        <v>1934</v>
      </c>
      <c r="C447" s="12" t="s">
        <v>949</v>
      </c>
      <c r="D447" s="12" t="s">
        <v>1737</v>
      </c>
      <c r="E447" s="12" t="n">
        <v>2</v>
      </c>
      <c r="F447" s="12" t="s">
        <v>379</v>
      </c>
      <c r="G447" s="12" t="s">
        <v>613</v>
      </c>
      <c r="H447" s="12" t="s">
        <v>94</v>
      </c>
      <c r="I447" s="12" t="s">
        <v>339</v>
      </c>
      <c r="J447" s="12"/>
      <c r="K447" s="12"/>
      <c r="L447" s="5"/>
      <c r="M447" s="33" t="n">
        <f aca="false">SUMIFS('Existing vs Saran'!$I$5:$I$210,'Existing vs Saran'!$N$5:$N$210,A447)</f>
        <v>0</v>
      </c>
      <c r="N447" s="12" t="s">
        <v>1935</v>
      </c>
      <c r="O447" s="5" t="s">
        <v>1936</v>
      </c>
      <c r="P447" s="12"/>
    </row>
    <row r="448" customFormat="false" ht="23.85" hidden="false" customHeight="false" outlineLevel="0" collapsed="false">
      <c r="A448" s="12" t="n">
        <v>325</v>
      </c>
      <c r="B448" s="12" t="s">
        <v>1937</v>
      </c>
      <c r="C448" s="12" t="s">
        <v>949</v>
      </c>
      <c r="D448" s="12" t="s">
        <v>1737</v>
      </c>
      <c r="E448" s="12" t="n">
        <v>1</v>
      </c>
      <c r="F448" s="12" t="s">
        <v>356</v>
      </c>
      <c r="G448" s="12" t="s">
        <v>957</v>
      </c>
      <c r="H448" s="12" t="s">
        <v>94</v>
      </c>
      <c r="I448" s="12" t="s">
        <v>339</v>
      </c>
      <c r="J448" s="12"/>
      <c r="K448" s="12"/>
      <c r="L448" s="5"/>
      <c r="M448" s="33" t="n">
        <f aca="false">SUMIFS('Existing vs Saran'!$I$5:$I$210,'Existing vs Saran'!$N$5:$N$210,A448)</f>
        <v>0</v>
      </c>
      <c r="N448" s="12" t="s">
        <v>1938</v>
      </c>
      <c r="O448" s="5" t="s">
        <v>1801</v>
      </c>
      <c r="P448" s="12"/>
    </row>
    <row r="449" customFormat="false" ht="15" hidden="false" customHeight="false" outlineLevel="0" collapsed="false">
      <c r="A449" s="12" t="n">
        <v>223</v>
      </c>
      <c r="B449" s="12" t="s">
        <v>1939</v>
      </c>
      <c r="C449" s="12" t="s">
        <v>949</v>
      </c>
      <c r="D449" s="12" t="s">
        <v>1737</v>
      </c>
      <c r="E449" s="12"/>
      <c r="F449" s="12" t="s">
        <v>20</v>
      </c>
      <c r="G449" s="12" t="s">
        <v>707</v>
      </c>
      <c r="H449" s="12" t="s">
        <v>94</v>
      </c>
      <c r="I449" s="12" t="s">
        <v>339</v>
      </c>
      <c r="J449" s="12"/>
      <c r="K449" s="12"/>
      <c r="L449" s="5"/>
      <c r="M449" s="33" t="n">
        <f aca="false">SUMIFS('Existing vs Saran'!$I$5:$I$210,'Existing vs Saran'!$N$5:$N$210,A449)</f>
        <v>0</v>
      </c>
      <c r="N449" s="12" t="s">
        <v>1940</v>
      </c>
      <c r="O449" s="5"/>
      <c r="P449" s="12"/>
    </row>
    <row r="450" customFormat="false" ht="23.85" hidden="false" customHeight="false" outlineLevel="0" collapsed="false">
      <c r="A450" s="12" t="n">
        <v>356</v>
      </c>
      <c r="B450" s="12" t="s">
        <v>1941</v>
      </c>
      <c r="C450" s="12" t="s">
        <v>949</v>
      </c>
      <c r="D450" s="12" t="s">
        <v>1737</v>
      </c>
      <c r="E450" s="12" t="n">
        <v>3</v>
      </c>
      <c r="F450" s="12" t="s">
        <v>797</v>
      </c>
      <c r="G450" s="12" t="s">
        <v>798</v>
      </c>
      <c r="H450" s="12" t="s">
        <v>94</v>
      </c>
      <c r="I450" s="12" t="s">
        <v>339</v>
      </c>
      <c r="J450" s="12"/>
      <c r="K450" s="12"/>
      <c r="L450" s="5"/>
      <c r="M450" s="33" t="n">
        <f aca="false">SUMIFS('Existing vs Saran'!$I$5:$I$210,'Existing vs Saran'!$N$5:$N$210,A450)</f>
        <v>0</v>
      </c>
      <c r="N450" s="12" t="s">
        <v>1942</v>
      </c>
      <c r="O450" s="5" t="s">
        <v>1943</v>
      </c>
      <c r="P450" s="12"/>
    </row>
    <row r="451" customFormat="false" ht="15" hidden="false" customHeight="false" outlineLevel="0" collapsed="false">
      <c r="A451" s="12" t="n">
        <v>326</v>
      </c>
      <c r="B451" s="12" t="s">
        <v>1944</v>
      </c>
      <c r="C451" s="12" t="s">
        <v>949</v>
      </c>
      <c r="D451" s="12" t="s">
        <v>1737</v>
      </c>
      <c r="E451" s="12"/>
      <c r="F451" s="12" t="s">
        <v>356</v>
      </c>
      <c r="G451" s="12" t="s">
        <v>1756</v>
      </c>
      <c r="H451" s="12" t="s">
        <v>94</v>
      </c>
      <c r="I451" s="12" t="s">
        <v>339</v>
      </c>
      <c r="J451" s="12"/>
      <c r="K451" s="12"/>
      <c r="L451" s="5"/>
      <c r="M451" s="33" t="n">
        <f aca="false">SUMIFS('Existing vs Saran'!$I$5:$I$210,'Existing vs Saran'!$N$5:$N$210,A451)</f>
        <v>0</v>
      </c>
      <c r="N451" s="12" t="s">
        <v>1945</v>
      </c>
      <c r="O451" s="5"/>
      <c r="P451" s="12"/>
    </row>
    <row r="452" customFormat="false" ht="15" hidden="false" customHeight="false" outlineLevel="0" collapsed="false">
      <c r="A452" s="12" t="n">
        <v>36</v>
      </c>
      <c r="B452" s="12" t="s">
        <v>1946</v>
      </c>
      <c r="C452" s="12" t="s">
        <v>949</v>
      </c>
      <c r="D452" s="12" t="s">
        <v>1737</v>
      </c>
      <c r="E452" s="12"/>
      <c r="F452" s="12" t="s">
        <v>354</v>
      </c>
      <c r="G452" s="12" t="s">
        <v>997</v>
      </c>
      <c r="H452" s="12" t="s">
        <v>94</v>
      </c>
      <c r="I452" s="12" t="s">
        <v>339</v>
      </c>
      <c r="J452" s="12"/>
      <c r="K452" s="12"/>
      <c r="L452" s="5"/>
      <c r="M452" s="33" t="n">
        <f aca="false">SUMIFS('Existing vs Saran'!$I$5:$I$210,'Existing vs Saran'!$N$5:$N$210,A452)</f>
        <v>0</v>
      </c>
      <c r="N452" s="12" t="s">
        <v>1947</v>
      </c>
      <c r="O452" s="5"/>
      <c r="P452" s="12"/>
    </row>
    <row r="453" customFormat="false" ht="23.85" hidden="false" customHeight="false" outlineLevel="0" collapsed="false">
      <c r="A453" s="12" t="n">
        <v>361</v>
      </c>
      <c r="B453" s="12" t="s">
        <v>1948</v>
      </c>
      <c r="C453" s="12" t="s">
        <v>949</v>
      </c>
      <c r="D453" s="12" t="s">
        <v>1737</v>
      </c>
      <c r="E453" s="12" t="n">
        <v>1</v>
      </c>
      <c r="F453" s="12" t="s">
        <v>1949</v>
      </c>
      <c r="G453" s="12" t="s">
        <v>1950</v>
      </c>
      <c r="H453" s="12" t="s">
        <v>1211</v>
      </c>
      <c r="I453" s="12" t="s">
        <v>339</v>
      </c>
      <c r="J453" s="12"/>
      <c r="K453" s="12"/>
      <c r="L453" s="5"/>
      <c r="M453" s="33" t="n">
        <f aca="false">SUMIFS('Existing vs Saran'!$I$5:$I$210,'Existing vs Saran'!$N$5:$N$210,A453)</f>
        <v>0</v>
      </c>
      <c r="N453" s="12" t="s">
        <v>1951</v>
      </c>
      <c r="O453" s="5" t="s">
        <v>1840</v>
      </c>
      <c r="P453" s="12"/>
    </row>
    <row r="454" customFormat="false" ht="23.85" hidden="false" customHeight="false" outlineLevel="0" collapsed="false">
      <c r="A454" s="12" t="n">
        <v>328</v>
      </c>
      <c r="B454" s="12" t="s">
        <v>1952</v>
      </c>
      <c r="C454" s="12" t="s">
        <v>949</v>
      </c>
      <c r="D454" s="12" t="s">
        <v>1737</v>
      </c>
      <c r="E454" s="12" t="n">
        <v>3</v>
      </c>
      <c r="F454" s="12" t="s">
        <v>356</v>
      </c>
      <c r="G454" s="12" t="s">
        <v>957</v>
      </c>
      <c r="H454" s="12" t="s">
        <v>94</v>
      </c>
      <c r="I454" s="12" t="s">
        <v>339</v>
      </c>
      <c r="J454" s="12"/>
      <c r="K454" s="12"/>
      <c r="L454" s="5"/>
      <c r="M454" s="33" t="n">
        <f aca="false">SUMIFS('Existing vs Saran'!$I$5:$I$210,'Existing vs Saran'!$N$5:$N$210,A454)</f>
        <v>0</v>
      </c>
      <c r="N454" s="12" t="s">
        <v>1953</v>
      </c>
      <c r="O454" s="5" t="s">
        <v>1954</v>
      </c>
      <c r="P454" s="12"/>
    </row>
    <row r="455" customFormat="false" ht="15" hidden="false" customHeight="false" outlineLevel="0" collapsed="false">
      <c r="A455" s="12" t="n">
        <v>297</v>
      </c>
      <c r="B455" s="12" t="s">
        <v>1955</v>
      </c>
      <c r="C455" s="12" t="s">
        <v>949</v>
      </c>
      <c r="D455" s="12" t="s">
        <v>1737</v>
      </c>
      <c r="E455" s="12" t="n">
        <v>1</v>
      </c>
      <c r="F455" s="12" t="s">
        <v>351</v>
      </c>
      <c r="G455" s="12" t="s">
        <v>960</v>
      </c>
      <c r="H455" s="12" t="s">
        <v>85</v>
      </c>
      <c r="I455" s="12" t="s">
        <v>339</v>
      </c>
      <c r="J455" s="12"/>
      <c r="K455" s="12"/>
      <c r="L455" s="5"/>
      <c r="M455" s="33" t="n">
        <f aca="false">SUMIFS('Existing vs Saran'!$I$5:$I$210,'Existing vs Saran'!$N$5:$N$210,A455)</f>
        <v>0</v>
      </c>
      <c r="N455" s="12" t="s">
        <v>1956</v>
      </c>
      <c r="O455" s="5" t="s">
        <v>1813</v>
      </c>
      <c r="P455" s="12"/>
    </row>
    <row r="456" customFormat="false" ht="15" hidden="false" customHeight="false" outlineLevel="0" collapsed="false">
      <c r="A456" s="12" t="n">
        <v>444</v>
      </c>
      <c r="B456" s="12" t="s">
        <v>1957</v>
      </c>
      <c r="C456" s="12" t="s">
        <v>949</v>
      </c>
      <c r="D456" s="12" t="s">
        <v>1737</v>
      </c>
      <c r="E456" s="12"/>
      <c r="F456" s="12" t="s">
        <v>22</v>
      </c>
      <c r="G456" s="12" t="s">
        <v>209</v>
      </c>
      <c r="H456" s="12" t="s">
        <v>94</v>
      </c>
      <c r="I456" s="12" t="s">
        <v>339</v>
      </c>
      <c r="J456" s="12"/>
      <c r="K456" s="12"/>
      <c r="L456" s="5"/>
      <c r="M456" s="33" t="n">
        <f aca="false">SUMIFS('Existing vs Saran'!$I$5:$I$210,'Existing vs Saran'!$N$5:$N$210,A456)</f>
        <v>0</v>
      </c>
      <c r="N456" s="12" t="s">
        <v>1958</v>
      </c>
      <c r="O456" s="5"/>
      <c r="P456" s="12"/>
    </row>
    <row r="457" customFormat="false" ht="23.85" hidden="false" customHeight="false" outlineLevel="0" collapsed="false">
      <c r="A457" s="12" t="n">
        <v>228</v>
      </c>
      <c r="B457" s="12" t="s">
        <v>1959</v>
      </c>
      <c r="C457" s="12" t="s">
        <v>949</v>
      </c>
      <c r="D457" s="12" t="s">
        <v>1737</v>
      </c>
      <c r="E457" s="12" t="n">
        <v>1</v>
      </c>
      <c r="F457" s="12" t="s">
        <v>20</v>
      </c>
      <c r="G457" s="12" t="s">
        <v>732</v>
      </c>
      <c r="H457" s="12" t="s">
        <v>94</v>
      </c>
      <c r="I457" s="12" t="s">
        <v>339</v>
      </c>
      <c r="J457" s="12"/>
      <c r="K457" s="12"/>
      <c r="L457" s="5"/>
      <c r="M457" s="33" t="n">
        <f aca="false">SUMIFS('Existing vs Saran'!$I$5:$I$210,'Existing vs Saran'!$N$5:$N$210,A457)</f>
        <v>0</v>
      </c>
      <c r="N457" s="12" t="s">
        <v>1960</v>
      </c>
      <c r="O457" s="5" t="s">
        <v>1961</v>
      </c>
      <c r="P457" s="12"/>
    </row>
    <row r="458" customFormat="false" ht="23.85" hidden="false" customHeight="false" outlineLevel="0" collapsed="false">
      <c r="A458" s="12" t="n">
        <v>370</v>
      </c>
      <c r="B458" s="12" t="s">
        <v>1962</v>
      </c>
      <c r="C458" s="12" t="s">
        <v>949</v>
      </c>
      <c r="D458" s="12" t="s">
        <v>1737</v>
      </c>
      <c r="E458" s="12" t="n">
        <v>3</v>
      </c>
      <c r="F458" s="12" t="s">
        <v>914</v>
      </c>
      <c r="G458" s="12" t="s">
        <v>1905</v>
      </c>
      <c r="H458" s="12" t="s">
        <v>1211</v>
      </c>
      <c r="I458" s="12" t="s">
        <v>339</v>
      </c>
      <c r="J458" s="12"/>
      <c r="K458" s="12"/>
      <c r="L458" s="5"/>
      <c r="M458" s="33" t="n">
        <f aca="false">SUMIFS('Existing vs Saran'!$I$5:$I$210,'Existing vs Saran'!$N$5:$N$210,A458)</f>
        <v>0</v>
      </c>
      <c r="N458" s="12" t="s">
        <v>1963</v>
      </c>
      <c r="O458" s="5" t="s">
        <v>1907</v>
      </c>
      <c r="P458" s="12"/>
    </row>
    <row r="459" customFormat="false" ht="15" hidden="false" customHeight="false" outlineLevel="0" collapsed="false">
      <c r="A459" s="12" t="n">
        <v>300</v>
      </c>
      <c r="B459" s="12" t="s">
        <v>1964</v>
      </c>
      <c r="C459" s="12" t="s">
        <v>949</v>
      </c>
      <c r="D459" s="12" t="s">
        <v>1737</v>
      </c>
      <c r="E459" s="12"/>
      <c r="F459" s="12" t="s">
        <v>351</v>
      </c>
      <c r="G459" s="12" t="s">
        <v>1172</v>
      </c>
      <c r="H459" s="12" t="s">
        <v>94</v>
      </c>
      <c r="I459" s="12" t="s">
        <v>339</v>
      </c>
      <c r="J459" s="12"/>
      <c r="K459" s="12"/>
      <c r="L459" s="5"/>
      <c r="M459" s="33" t="n">
        <f aca="false">SUMIFS('Existing vs Saran'!$I$5:$I$210,'Existing vs Saran'!$N$5:$N$210,A459)</f>
        <v>0</v>
      </c>
      <c r="N459" s="12" t="s">
        <v>1965</v>
      </c>
      <c r="O459" s="5"/>
      <c r="P459" s="12"/>
    </row>
    <row r="460" customFormat="false" ht="23.85" hidden="false" customHeight="false" outlineLevel="0" collapsed="false">
      <c r="A460" s="12" t="n">
        <v>331</v>
      </c>
      <c r="B460" s="12" t="s">
        <v>1966</v>
      </c>
      <c r="C460" s="12" t="s">
        <v>949</v>
      </c>
      <c r="D460" s="12" t="s">
        <v>1737</v>
      </c>
      <c r="E460" s="12" t="n">
        <v>1</v>
      </c>
      <c r="F460" s="12" t="s">
        <v>356</v>
      </c>
      <c r="G460" s="12" t="s">
        <v>1478</v>
      </c>
      <c r="H460" s="12" t="s">
        <v>94</v>
      </c>
      <c r="I460" s="12" t="s">
        <v>339</v>
      </c>
      <c r="J460" s="12"/>
      <c r="K460" s="12"/>
      <c r="L460" s="5"/>
      <c r="M460" s="33" t="n">
        <f aca="false">SUMIFS('Existing vs Saran'!$I$5:$I$210,'Existing vs Saran'!$N$5:$N$210,A460)</f>
        <v>0</v>
      </c>
      <c r="N460" s="12" t="s">
        <v>1967</v>
      </c>
      <c r="O460" s="5" t="s">
        <v>1968</v>
      </c>
      <c r="P460" s="12"/>
    </row>
    <row r="461" customFormat="false" ht="15" hidden="false" customHeight="false" outlineLevel="0" collapsed="false">
      <c r="A461" s="12" t="n">
        <v>447</v>
      </c>
      <c r="B461" s="12" t="s">
        <v>1969</v>
      </c>
      <c r="C461" s="12" t="s">
        <v>949</v>
      </c>
      <c r="D461" s="12" t="s">
        <v>1737</v>
      </c>
      <c r="E461" s="12" t="n">
        <v>3</v>
      </c>
      <c r="F461" s="12" t="s">
        <v>22</v>
      </c>
      <c r="G461" s="12" t="s">
        <v>970</v>
      </c>
      <c r="H461" s="12" t="s">
        <v>94</v>
      </c>
      <c r="I461" s="12" t="s">
        <v>339</v>
      </c>
      <c r="J461" s="12"/>
      <c r="K461" s="12"/>
      <c r="L461" s="5"/>
      <c r="M461" s="33" t="n">
        <f aca="false">SUMIFS('Existing vs Saran'!$I$5:$I$210,'Existing vs Saran'!$N$5:$N$210,A461)</f>
        <v>0</v>
      </c>
      <c r="N461" s="12" t="s">
        <v>1970</v>
      </c>
      <c r="O461" s="5" t="s">
        <v>972</v>
      </c>
      <c r="P461" s="12"/>
    </row>
    <row r="462" customFormat="false" ht="15" hidden="false" customHeight="false" outlineLevel="0" collapsed="false">
      <c r="A462" s="12" t="n">
        <v>123</v>
      </c>
      <c r="B462" s="12" t="s">
        <v>1971</v>
      </c>
      <c r="C462" s="12" t="s">
        <v>949</v>
      </c>
      <c r="D462" s="12" t="s">
        <v>1737</v>
      </c>
      <c r="E462" s="12" t="n">
        <v>1</v>
      </c>
      <c r="F462" s="12" t="s">
        <v>379</v>
      </c>
      <c r="G462" s="12" t="s">
        <v>585</v>
      </c>
      <c r="H462" s="12" t="s">
        <v>106</v>
      </c>
      <c r="I462" s="12" t="s">
        <v>339</v>
      </c>
      <c r="J462" s="12"/>
      <c r="K462" s="12"/>
      <c r="L462" s="5"/>
      <c r="M462" s="33" t="n">
        <f aca="false">SUMIFS('Existing vs Saran'!$I$5:$I$210,'Existing vs Saran'!$N$5:$N$210,A462)</f>
        <v>0</v>
      </c>
      <c r="N462" s="12" t="s">
        <v>1972</v>
      </c>
      <c r="O462" s="5" t="s">
        <v>1973</v>
      </c>
      <c r="P462" s="12"/>
    </row>
    <row r="463" customFormat="false" ht="15" hidden="false" customHeight="false" outlineLevel="0" collapsed="false">
      <c r="A463" s="12" t="n">
        <v>333</v>
      </c>
      <c r="B463" s="12" t="s">
        <v>1974</v>
      </c>
      <c r="C463" s="12" t="s">
        <v>949</v>
      </c>
      <c r="D463" s="12" t="s">
        <v>1737</v>
      </c>
      <c r="E463" s="12" t="n">
        <v>3</v>
      </c>
      <c r="F463" s="12" t="s">
        <v>356</v>
      </c>
      <c r="G463" s="12" t="s">
        <v>1699</v>
      </c>
      <c r="H463" s="12" t="s">
        <v>94</v>
      </c>
      <c r="I463" s="12" t="s">
        <v>339</v>
      </c>
      <c r="J463" s="12"/>
      <c r="K463" s="12"/>
      <c r="L463" s="5"/>
      <c r="M463" s="33" t="n">
        <f aca="false">SUMIFS('Existing vs Saran'!$I$5:$I$210,'Existing vs Saran'!$N$5:$N$210,A463)</f>
        <v>0</v>
      </c>
      <c r="N463" s="12" t="s">
        <v>1975</v>
      </c>
      <c r="O463" s="5" t="s">
        <v>1126</v>
      </c>
      <c r="P463" s="12"/>
    </row>
    <row r="464" customFormat="false" ht="15" hidden="false" customHeight="false" outlineLevel="0" collapsed="false">
      <c r="A464" s="12" t="n">
        <v>335</v>
      </c>
      <c r="B464" s="12" t="s">
        <v>1976</v>
      </c>
      <c r="C464" s="12" t="s">
        <v>949</v>
      </c>
      <c r="D464" s="12" t="s">
        <v>1737</v>
      </c>
      <c r="E464" s="12" t="n">
        <v>1</v>
      </c>
      <c r="F464" s="12" t="s">
        <v>356</v>
      </c>
      <c r="G464" s="12" t="s">
        <v>1116</v>
      </c>
      <c r="H464" s="12" t="s">
        <v>94</v>
      </c>
      <c r="I464" s="12" t="s">
        <v>339</v>
      </c>
      <c r="J464" s="12"/>
      <c r="K464" s="12"/>
      <c r="L464" s="5"/>
      <c r="M464" s="33" t="n">
        <f aca="false">SUMIFS('Existing vs Saran'!$I$5:$I$210,'Existing vs Saran'!$N$5:$N$210,A464)</f>
        <v>0</v>
      </c>
      <c r="N464" s="12" t="s">
        <v>1977</v>
      </c>
      <c r="O464" s="5" t="s">
        <v>1978</v>
      </c>
      <c r="P464" s="12"/>
    </row>
    <row r="465" customFormat="false" ht="15" hidden="false" customHeight="false" outlineLevel="0" collapsed="false">
      <c r="A465" s="12" t="n">
        <v>405</v>
      </c>
      <c r="B465" s="12" t="s">
        <v>1979</v>
      </c>
      <c r="C465" s="12" t="s">
        <v>949</v>
      </c>
      <c r="D465" s="12" t="s">
        <v>1737</v>
      </c>
      <c r="E465" s="12"/>
      <c r="F465" s="12" t="s">
        <v>917</v>
      </c>
      <c r="G465" s="12" t="s">
        <v>1694</v>
      </c>
      <c r="H465" s="12" t="s">
        <v>1211</v>
      </c>
      <c r="I465" s="12" t="s">
        <v>339</v>
      </c>
      <c r="J465" s="12"/>
      <c r="K465" s="12"/>
      <c r="L465" s="5"/>
      <c r="M465" s="33" t="n">
        <f aca="false">SUMIFS('Existing vs Saran'!$I$5:$I$210,'Existing vs Saran'!$N$5:$N$210,A465)</f>
        <v>0</v>
      </c>
      <c r="N465" s="12" t="s">
        <v>1980</v>
      </c>
      <c r="O465" s="5"/>
      <c r="P465" s="12"/>
    </row>
    <row r="466" customFormat="false" ht="15" hidden="false" customHeight="false" outlineLevel="0" collapsed="false">
      <c r="A466" s="12" t="n">
        <v>235</v>
      </c>
      <c r="B466" s="12" t="s">
        <v>1981</v>
      </c>
      <c r="C466" s="12" t="s">
        <v>949</v>
      </c>
      <c r="D466" s="12" t="s">
        <v>1737</v>
      </c>
      <c r="E466" s="12"/>
      <c r="F466" s="12" t="s">
        <v>20</v>
      </c>
      <c r="G466" s="12" t="s">
        <v>707</v>
      </c>
      <c r="H466" s="12" t="s">
        <v>94</v>
      </c>
      <c r="I466" s="12" t="s">
        <v>339</v>
      </c>
      <c r="J466" s="12"/>
      <c r="K466" s="12"/>
      <c r="L466" s="5"/>
      <c r="M466" s="33" t="n">
        <f aca="false">SUMIFS('Existing vs Saran'!$I$5:$I$210,'Existing vs Saran'!$N$5:$N$210,A466)</f>
        <v>0</v>
      </c>
      <c r="N466" s="12" t="s">
        <v>1982</v>
      </c>
      <c r="O466" s="5"/>
      <c r="P466" s="12"/>
    </row>
    <row r="467" customFormat="false" ht="15" hidden="false" customHeight="false" outlineLevel="0" collapsed="false">
      <c r="A467" s="12" t="n">
        <v>239</v>
      </c>
      <c r="B467" s="12" t="s">
        <v>1983</v>
      </c>
      <c r="C467" s="12" t="s">
        <v>949</v>
      </c>
      <c r="D467" s="12" t="s">
        <v>1737</v>
      </c>
      <c r="E467" s="12" t="n">
        <v>3</v>
      </c>
      <c r="F467" s="12" t="s">
        <v>20</v>
      </c>
      <c r="G467" s="12" t="s">
        <v>1000</v>
      </c>
      <c r="H467" s="12" t="s">
        <v>94</v>
      </c>
      <c r="I467" s="12" t="s">
        <v>339</v>
      </c>
      <c r="J467" s="12"/>
      <c r="K467" s="12"/>
      <c r="L467" s="5"/>
      <c r="M467" s="33" t="n">
        <f aca="false">SUMIFS('Existing vs Saran'!$I$5:$I$210,'Existing vs Saran'!$N$5:$N$210,A467)</f>
        <v>0</v>
      </c>
      <c r="N467" s="12" t="s">
        <v>1984</v>
      </c>
      <c r="O467" s="5" t="s">
        <v>1985</v>
      </c>
      <c r="P467" s="12"/>
    </row>
    <row r="468" customFormat="false" ht="15" hidden="false" customHeight="false" outlineLevel="0" collapsed="false">
      <c r="A468" s="12" t="n">
        <v>336</v>
      </c>
      <c r="B468" s="12" t="s">
        <v>1986</v>
      </c>
      <c r="C468" s="12" t="s">
        <v>949</v>
      </c>
      <c r="D468" s="12" t="s">
        <v>1737</v>
      </c>
      <c r="E468" s="12" t="n">
        <v>3</v>
      </c>
      <c r="F468" s="12" t="s">
        <v>356</v>
      </c>
      <c r="G468" s="12" t="s">
        <v>1478</v>
      </c>
      <c r="H468" s="12" t="s">
        <v>94</v>
      </c>
      <c r="I468" s="12" t="s">
        <v>339</v>
      </c>
      <c r="J468" s="12"/>
      <c r="K468" s="12"/>
      <c r="L468" s="5"/>
      <c r="M468" s="33" t="n">
        <f aca="false">SUMIFS('Existing vs Saran'!$I$5:$I$210,'Existing vs Saran'!$N$5:$N$210,A468)</f>
        <v>0</v>
      </c>
      <c r="N468" s="12" t="s">
        <v>1987</v>
      </c>
      <c r="O468" s="5" t="s">
        <v>1126</v>
      </c>
      <c r="P468" s="12"/>
    </row>
    <row r="469" customFormat="false" ht="23.85" hidden="false" customHeight="false" outlineLevel="0" collapsed="false">
      <c r="A469" s="12" t="n">
        <v>305</v>
      </c>
      <c r="B469" s="12" t="s">
        <v>1988</v>
      </c>
      <c r="C469" s="12" t="s">
        <v>949</v>
      </c>
      <c r="D469" s="12" t="s">
        <v>1737</v>
      </c>
      <c r="E469" s="12" t="n">
        <v>2</v>
      </c>
      <c r="F469" s="12" t="s">
        <v>351</v>
      </c>
      <c r="G469" s="12" t="s">
        <v>1113</v>
      </c>
      <c r="H469" s="12" t="s">
        <v>94</v>
      </c>
      <c r="I469" s="12" t="s">
        <v>339</v>
      </c>
      <c r="J469" s="12"/>
      <c r="K469" s="12"/>
      <c r="L469" s="5"/>
      <c r="M469" s="33" t="n">
        <f aca="false">SUMIFS('Existing vs Saran'!$I$5:$I$210,'Existing vs Saran'!$N$5:$N$210,A469)</f>
        <v>0</v>
      </c>
      <c r="N469" s="12" t="s">
        <v>1989</v>
      </c>
      <c r="O469" s="5" t="s">
        <v>1152</v>
      </c>
      <c r="P469" s="12"/>
    </row>
    <row r="470" customFormat="false" ht="23.85" hidden="false" customHeight="false" outlineLevel="0" collapsed="false">
      <c r="A470" s="12" t="n">
        <v>42</v>
      </c>
      <c r="B470" s="12" t="s">
        <v>1990</v>
      </c>
      <c r="C470" s="12" t="s">
        <v>949</v>
      </c>
      <c r="D470" s="12" t="s">
        <v>1737</v>
      </c>
      <c r="E470" s="12" t="n">
        <v>1</v>
      </c>
      <c r="F470" s="12" t="s">
        <v>354</v>
      </c>
      <c r="G470" s="12" t="s">
        <v>997</v>
      </c>
      <c r="H470" s="12" t="s">
        <v>94</v>
      </c>
      <c r="I470" s="12" t="s">
        <v>339</v>
      </c>
      <c r="J470" s="12"/>
      <c r="K470" s="12"/>
      <c r="L470" s="5"/>
      <c r="M470" s="33" t="n">
        <f aca="false">SUMIFS('Existing vs Saran'!$I$5:$I$210,'Existing vs Saran'!$N$5:$N$210,A470)</f>
        <v>0</v>
      </c>
      <c r="N470" s="12" t="s">
        <v>1991</v>
      </c>
      <c r="O470" s="5" t="s">
        <v>1992</v>
      </c>
      <c r="P470" s="12"/>
    </row>
    <row r="471" customFormat="false" ht="15" hidden="false" customHeight="false" outlineLevel="0" collapsed="false">
      <c r="A471" s="12" t="n">
        <v>307</v>
      </c>
      <c r="B471" s="12" t="s">
        <v>1993</v>
      </c>
      <c r="C471" s="12" t="s">
        <v>949</v>
      </c>
      <c r="D471" s="12" t="s">
        <v>1737</v>
      </c>
      <c r="E471" s="12"/>
      <c r="F471" s="12" t="s">
        <v>351</v>
      </c>
      <c r="G471" s="12" t="s">
        <v>960</v>
      </c>
      <c r="H471" s="12" t="s">
        <v>85</v>
      </c>
      <c r="I471" s="12" t="s">
        <v>339</v>
      </c>
      <c r="J471" s="12"/>
      <c r="K471" s="12"/>
      <c r="L471" s="5"/>
      <c r="M471" s="33" t="n">
        <f aca="false">SUMIFS('Existing vs Saran'!$I$5:$I$210,'Existing vs Saran'!$N$5:$N$210,A471)</f>
        <v>0</v>
      </c>
      <c r="N471" s="12" t="s">
        <v>1994</v>
      </c>
      <c r="O471" s="5"/>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1995</v>
      </c>
    </row>
    <row r="2" customFormat="false" ht="15" hidden="false" customHeight="false" outlineLevel="0" collapsed="false">
      <c r="A2" s="2" t="s">
        <v>1996</v>
      </c>
    </row>
    <row r="4" customFormat="false" ht="24" hidden="false" customHeight="true" outlineLevel="0" collapsed="false">
      <c r="A4" s="8" t="s">
        <v>1997</v>
      </c>
      <c r="B4" s="8" t="s">
        <v>72</v>
      </c>
      <c r="C4" s="8" t="s">
        <v>39</v>
      </c>
    </row>
    <row r="5" customFormat="false" ht="15" hidden="false" customHeight="false" outlineLevel="0" collapsed="false">
      <c r="A5" s="5" t="s">
        <v>266</v>
      </c>
      <c r="B5" s="34" t="n">
        <v>7</v>
      </c>
      <c r="C5" s="5" t="s">
        <v>1998</v>
      </c>
    </row>
    <row r="6" customFormat="false" ht="15" hidden="false" customHeight="false" outlineLevel="0" collapsed="false">
      <c r="A6" s="5" t="s">
        <v>267</v>
      </c>
      <c r="B6" s="34" t="n">
        <v>10</v>
      </c>
      <c r="C6" s="5" t="s">
        <v>1999</v>
      </c>
    </row>
    <row r="7" customFormat="false" ht="15" hidden="false" customHeight="false" outlineLevel="0" collapsed="false">
      <c r="A7" s="5" t="s">
        <v>2000</v>
      </c>
      <c r="B7" s="34" t="n">
        <v>180</v>
      </c>
      <c r="C7" s="5" t="s">
        <v>2001</v>
      </c>
    </row>
    <row r="8" customFormat="false" ht="15" hidden="false" customHeight="false" outlineLevel="0" collapsed="false">
      <c r="A8" s="5" t="s">
        <v>2002</v>
      </c>
      <c r="B8" s="34" t="n">
        <v>220</v>
      </c>
      <c r="C8" s="5" t="s">
        <v>2003</v>
      </c>
    </row>
    <row r="9" customFormat="false" ht="15" hidden="false" customHeight="false" outlineLevel="0" collapsed="false">
      <c r="A9" s="5" t="s">
        <v>2004</v>
      </c>
      <c r="B9" s="34" t="n">
        <v>3</v>
      </c>
      <c r="C9" s="5" t="s">
        <v>2005</v>
      </c>
    </row>
    <row r="10" customFormat="false" ht="15" hidden="false" customHeight="false" outlineLevel="0" collapsed="false">
      <c r="A10" s="5" t="s">
        <v>2006</v>
      </c>
      <c r="B10" s="34" t="n">
        <v>4</v>
      </c>
      <c r="C10" s="5" t="s">
        <v>2007</v>
      </c>
    </row>
    <row r="11" customFormat="false" ht="15" hidden="false" customHeight="false" outlineLevel="0" collapsed="false">
      <c r="A11" s="5" t="s">
        <v>2008</v>
      </c>
      <c r="B11" s="34" t="n">
        <v>4</v>
      </c>
      <c r="C11" s="5" t="s">
        <v>2009</v>
      </c>
    </row>
    <row r="12" customFormat="false" ht="23.85" hidden="false" customHeight="false" outlineLevel="0" collapsed="false">
      <c r="A12" s="5" t="s">
        <v>2010</v>
      </c>
      <c r="B12" s="34" t="n">
        <v>60</v>
      </c>
      <c r="C12" s="5" t="s">
        <v>2011</v>
      </c>
    </row>
    <row r="13" customFormat="false" ht="15" hidden="false" customHeight="false" outlineLevel="0" collapsed="false">
      <c r="A13" s="5" t="s">
        <v>2012</v>
      </c>
      <c r="B13" s="34" t="n">
        <v>15</v>
      </c>
      <c r="C13" s="5" t="s">
        <v>2013</v>
      </c>
    </row>
    <row r="15" customFormat="false" ht="15" hidden="false" customHeight="false" outlineLevel="0" collapsed="false">
      <c r="A15" s="14" t="s">
        <v>2014</v>
      </c>
    </row>
    <row r="16" customFormat="false" ht="43.5" hidden="false" customHeight="true" outlineLevel="0" collapsed="false">
      <c r="A16" s="35" t="s">
        <v>2015</v>
      </c>
      <c r="B16" s="11" t="s">
        <v>2016</v>
      </c>
      <c r="C16" s="11"/>
    </row>
    <row r="17" customFormat="false" ht="43.5" hidden="false" customHeight="true" outlineLevel="0" collapsed="false">
      <c r="A17" s="35" t="s">
        <v>2017</v>
      </c>
      <c r="B17" s="11" t="s">
        <v>2018</v>
      </c>
      <c r="C17" s="11"/>
    </row>
    <row r="18" customFormat="false" ht="43.5" hidden="false" customHeight="true" outlineLevel="0" collapsed="false">
      <c r="A18" s="35" t="s">
        <v>2019</v>
      </c>
      <c r="B18" s="11" t="s">
        <v>2020</v>
      </c>
      <c r="C18" s="11"/>
    </row>
    <row r="19" customFormat="false" ht="43.5" hidden="false" customHeight="true" outlineLevel="0" collapsed="false">
      <c r="A19" s="35" t="s">
        <v>2021</v>
      </c>
      <c r="B19" s="11" t="s">
        <v>2022</v>
      </c>
      <c r="C19" s="11"/>
    </row>
    <row r="20" customFormat="false" ht="43.5" hidden="false" customHeight="true" outlineLevel="0" collapsed="false">
      <c r="A20" s="35" t="s">
        <v>2023</v>
      </c>
      <c r="B20" s="11" t="s">
        <v>2024</v>
      </c>
      <c r="C20" s="11"/>
    </row>
    <row r="21" customFormat="false" ht="43.5" hidden="false" customHeight="true" outlineLevel="0" collapsed="false">
      <c r="A21" s="35" t="s">
        <v>2025</v>
      </c>
      <c r="B21" s="11" t="s">
        <v>2026</v>
      </c>
      <c r="C21" s="11"/>
    </row>
    <row r="22" customFormat="false" ht="43.5" hidden="false" customHeight="true" outlineLevel="0" collapsed="false">
      <c r="A22" s="35" t="s">
        <v>2027</v>
      </c>
      <c r="B22" s="11" t="s">
        <v>2028</v>
      </c>
      <c r="C22" s="11"/>
    </row>
    <row r="23" customFormat="false" ht="43.5" hidden="false" customHeight="true" outlineLevel="0" collapsed="false">
      <c r="A23" s="35" t="s">
        <v>2029</v>
      </c>
      <c r="B23" s="11" t="s">
        <v>2030</v>
      </c>
      <c r="C23" s="11"/>
    </row>
    <row r="24" customFormat="false" ht="43.5" hidden="false" customHeight="true" outlineLevel="0" collapsed="false">
      <c r="A24" s="35" t="s">
        <v>2031</v>
      </c>
      <c r="B24" s="11" t="s">
        <v>2032</v>
      </c>
      <c r="C24" s="11"/>
    </row>
    <row r="25" customFormat="false" ht="43.5" hidden="false" customHeight="true" outlineLevel="0" collapsed="false">
      <c r="A25" s="35" t="s">
        <v>2033</v>
      </c>
      <c r="B25" s="11" t="s">
        <v>2034</v>
      </c>
      <c r="C25" s="11"/>
    </row>
    <row r="26" customFormat="false" ht="43.5" hidden="false" customHeight="true" outlineLevel="0" collapsed="false">
      <c r="A26" s="35" t="s">
        <v>2035</v>
      </c>
      <c r="B26" s="11" t="s">
        <v>2036</v>
      </c>
      <c r="C26" s="11"/>
    </row>
    <row r="27" customFormat="false" ht="43.5" hidden="false" customHeight="true" outlineLevel="0" collapsed="false">
      <c r="A27" s="35" t="s">
        <v>2037</v>
      </c>
      <c r="B27" s="11" t="s">
        <v>2038</v>
      </c>
      <c r="C27" s="11"/>
    </row>
    <row r="28" customFormat="false" ht="43.5" hidden="false" customHeight="true" outlineLevel="0" collapsed="false">
      <c r="A28" s="35" t="s">
        <v>2039</v>
      </c>
      <c r="B28" s="11" t="s">
        <v>2040</v>
      </c>
      <c r="C28" s="11"/>
    </row>
  </sheetData>
  <mergeCells count="13">
    <mergeCell ref="B16:C16"/>
    <mergeCell ref="B17:C17"/>
    <mergeCell ref="B18:C18"/>
    <mergeCell ref="B19:C19"/>
    <mergeCell ref="B20:C20"/>
    <mergeCell ref="B21:C21"/>
    <mergeCell ref="B22:C22"/>
    <mergeCell ref="B23:C23"/>
    <mergeCell ref="B24:C24"/>
    <mergeCell ref="B25:C25"/>
    <mergeCell ref="B26:C26"/>
    <mergeCell ref="B27:C27"/>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2026-10-04T01:00:21Z</dcterms:created>
  <dc:creator>openpyxl</dc:creator>
  <dc:description/>
  <dc:language>en-US</dc:language>
  <cp:lastModifiedBy/>
  <dcterms:modified xsi:type="dcterms:W3CDTF">2026-10-04T01:00:21Z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