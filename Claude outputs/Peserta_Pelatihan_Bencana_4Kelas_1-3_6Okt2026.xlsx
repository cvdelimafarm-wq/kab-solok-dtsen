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ngkasan" sheetId="1" state="visible" r:id="rId3"/>
    <sheet name="Daftar Peserta" sheetId="2" state="visible" r:id="rId4"/>
    <sheet name="Usulan Sesi" sheetId="3" state="visible" r:id="rId5"/>
    <sheet name="Panitia &amp; Sit-in" sheetId="4" state="visible" r:id="rId6"/>
    <sheet name="Perlu Konfirmasi" sheetId="5" state="visible" r:id="rId7"/>
  </sheets>
  <definedNames>
    <definedName function="false" hidden="true" localSheetId="1" name="_xlnm._FilterDatabase" vbProcedure="false">'Daftar Peserta'!$A$4:$M$97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<sst xmlns="http://schemas.openxmlformats.org/spreadsheetml/2006/main" count="980" uniqueCount="341">
  <si>
    <t xml:space="preserve">Peserta pelatihan petugas pendataan bencana</t>
  </si>
  <si>
    <t xml:space="preserve">Syarat: sudah konfirmasi (bukan menolak) DAN sudah bergabung di grup WA. Data posisi 6 Okt 2026.</t>
  </si>
  <si>
    <t xml:space="preserve">Keterangan</t>
  </si>
  <si>
    <t xml:space="preserve">Jumlah</t>
  </si>
  <si>
    <t xml:space="preserve">Total baris di daftar (termasuk 2 PML organik &amp; 8 sit-in)</t>
  </si>
  <si>
    <t xml:space="preserve">  - PML</t>
  </si>
  <si>
    <t xml:space="preserve">  - PPL</t>
  </si>
  <si>
    <t xml:space="preserve">  - Tanpa peran (Mirvan Harvia, rangkap NTP)</t>
  </si>
  <si>
    <t xml:space="preserve">PML organik di luar 78 (Ilham, Hariston)</t>
  </si>
  <si>
    <t xml:space="preserve">Peserta yang diusulkan masuk kelas</t>
  </si>
  <si>
    <t xml:space="preserve">Sit-in (pegawai organik)</t>
  </si>
  <si>
    <t xml:space="preserve">Kelas 1 (7 Okt 2026), termasuk sit-in</t>
  </si>
  <si>
    <t xml:space="preserve">Kelas 2 (8 Okt 2026), termasuk sit-in</t>
  </si>
  <si>
    <t xml:space="preserve">Kelas 3 (8 Okt 2026), termasuk sit-in</t>
  </si>
  <si>
    <t xml:space="preserve">Kelas 4 (8 Okt 2026), termasuk sit-in</t>
  </si>
  <si>
    <t xml:space="preserve">Panitia (2 per kelas)</t>
  </si>
  <si>
    <t xml:space="preserve">Anggota yang usulannya BEDA dari pilihan jadwalnya</t>
  </si>
  <si>
    <t xml:space="preserve">Memilih 7 Okt saja</t>
  </si>
  <si>
    <t xml:space="preserve">Memilih 8 Okt saja</t>
  </si>
  <si>
    <t xml:space="preserve">Memilih keduanya (7 &amp; 8 Okt)</t>
  </si>
  <si>
    <t xml:space="preserve">Per kecamatan asal</t>
  </si>
  <si>
    <t xml:space="preserve">Gunung Talang</t>
  </si>
  <si>
    <t xml:space="preserve">Ix Koto Sungai Lasi</t>
  </si>
  <si>
    <t xml:space="preserve">Junjung Sirih</t>
  </si>
  <si>
    <t xml:space="preserve">Kubung</t>
  </si>
  <si>
    <t xml:space="preserve">Lembah Gumanti</t>
  </si>
  <si>
    <t xml:space="preserve">Lembang Jaya</t>
  </si>
  <si>
    <t xml:space="preserve">Pantai Cermin</t>
  </si>
  <si>
    <t xml:space="preserve">X Koto Diatas</t>
  </si>
  <si>
    <t xml:space="preserve">X Koto Singkarak</t>
  </si>
  <si>
    <t xml:space="preserve">Catatan:</t>
  </si>
  <si>
    <t xml:space="preserve">1. Tim = satu PML beserta PPL-nya menurut plotting saat ini; satu tim ditempatkan di gelombang &amp; kelas yang sama.</t>
  </si>
  <si>
    <t xml:space="preserve">2. Pilihan jadwal diambil dari isian petugas (7 Okt / 8 Okt / keduanya). Usulan meminimalkan anggota yang harus pindah dari pilihannya; lihat kolom "Sesuai pilihan?" dan sheet "Perlu Konfirmasi".</t>
  </si>
  <si>
    <t xml:space="preserve">3. Aturan kelas 20-27 peserta: 84 peserta + 8 sit-in organik (8 Okt) = 92 orang = 4 kelas. Panitia 2 orang per kelas dihitung terpisah. Devi Kardila, Berni Desriyanti, Marvi Gusneriza, Leni Marta, dan Nila Sari ditambahkan atas arahan 6 Okt.</t>
  </si>
  <si>
    <t xml:space="preserve">4. Masih ada ± 60 petugas yang sudah konfirmasi tetapi belum masuk grup WA; belum dihitung di sini.</t>
  </si>
  <si>
    <t xml:space="preserve">Daftar petugas pendataan bencana: konfirmasi &amp; sudah bergabung grup WA (posisi 6 Okt 2026)</t>
  </si>
  <si>
    <t xml:space="preserve">Gelombang 1 = 7 Okt 2026, Gelombang 2 = 8 Okt 2026 (dari pilihan jadwal petugas). Kolom Gelombang &amp; Kelas = USULAN (Gelombang 1 = 7 Okt = Kelas 1; Gelombang 2 = 8 Okt = Kelas 2, 3 &amp; 4); ubah angkanya, ringkasan ikut berubah.</t>
  </si>
  <si>
    <t xml:space="preserve">No</t>
  </si>
  <si>
    <t xml:space="preserve">Nama</t>
  </si>
  <si>
    <t xml:space="preserve">Peran</t>
  </si>
  <si>
    <t xml:space="preserve">Kecamatan</t>
  </si>
  <si>
    <t xml:space="preserve">Nagari</t>
  </si>
  <si>
    <t xml:space="preserve">No. HP</t>
  </si>
  <si>
    <t xml:space="preserve">Tim (PML)</t>
  </si>
  <si>
    <t xml:space="preserve">Pilihan jadwal</t>
  </si>
  <si>
    <t xml:space="preserve">Bergabung grup WA</t>
  </si>
  <si>
    <t xml:space="preserve">Gelombang</t>
  </si>
  <si>
    <t xml:space="preserve">Kelas</t>
  </si>
  <si>
    <t xml:space="preserve">Sesuai pilihan?</t>
  </si>
  <si>
    <t xml:space="preserve">Catatan</t>
  </si>
  <si>
    <t xml:space="preserve">Leni Fatimah</t>
  </si>
  <si>
    <t xml:space="preserve">PPL</t>
  </si>
  <si>
    <t xml:space="preserve">Koto Sani</t>
  </si>
  <si>
    <t xml:space="preserve">+6283178005904</t>
  </si>
  <si>
    <t xml:space="preserve">Tanpa PML</t>
  </si>
  <si>
    <t xml:space="preserve">7 Okt</t>
  </si>
  <si>
    <t xml:space="preserve">05-10 08:04</t>
  </si>
  <si>
    <t xml:space="preserve">Belum punya PML di plotting</t>
  </si>
  <si>
    <t xml:space="preserve">Rahmad Hidayat</t>
  </si>
  <si>
    <t xml:space="preserve">Sungai Nanam</t>
  </si>
  <si>
    <t xml:space="preserve">+6281374176022</t>
  </si>
  <si>
    <t xml:space="preserve">05-10 13:07</t>
  </si>
  <si>
    <t xml:space="preserve">Dessy Meiyarni</t>
  </si>
  <si>
    <t xml:space="preserve">PML</t>
  </si>
  <si>
    <t xml:space="preserve">Sumani</t>
  </si>
  <si>
    <t xml:space="preserve">+6282285844564</t>
  </si>
  <si>
    <t xml:space="preserve">Tim Dessy Meiyarni</t>
  </si>
  <si>
    <t xml:space="preserve">06-10 04:55</t>
  </si>
  <si>
    <t xml:space="preserve">Imilsi asgra varka</t>
  </si>
  <si>
    <t xml:space="preserve">Koto Baru</t>
  </si>
  <si>
    <t xml:space="preserve">+6281370572508</t>
  </si>
  <si>
    <t xml:space="preserve">04-10 15:53</t>
  </si>
  <si>
    <t xml:space="preserve">Hariston</t>
  </si>
  <si>
    <t xml:space="preserve">Tim Hariston (PML organik)</t>
  </si>
  <si>
    <t xml:space="preserve">(belum memilih)</t>
  </si>
  <si>
    <t xml:space="preserve">(organik)</t>
  </si>
  <si>
    <t xml:space="preserve">Pegawai organik; di luar hitungan 78 petugas grup WA</t>
  </si>
  <si>
    <t xml:space="preserve">Puji Putri</t>
  </si>
  <si>
    <t xml:space="preserve">Muaro Pingai</t>
  </si>
  <si>
    <t xml:space="preserve">+6282382832500</t>
  </si>
  <si>
    <t xml:space="preserve">Reni Fatriani</t>
  </si>
  <si>
    <t xml:space="preserve">Paninggahan</t>
  </si>
  <si>
    <t xml:space="preserve">+6281261728253</t>
  </si>
  <si>
    <t xml:space="preserve">7 &amp; 8 Okt</t>
  </si>
  <si>
    <t xml:space="preserve">Robi Alvian</t>
  </si>
  <si>
    <t xml:space="preserve">+6282384030463</t>
  </si>
  <si>
    <t xml:space="preserve">Tim Rifa Amelia (PML, menolak)</t>
  </si>
  <si>
    <t xml:space="preserve">PML (Rifa Amelia) menolak - perlu PML baru</t>
  </si>
  <si>
    <t xml:space="preserve">Widya elvera</t>
  </si>
  <si>
    <t xml:space="preserve">+6285356931012</t>
  </si>
  <si>
    <t xml:space="preserve">Tim Widya Elvera</t>
  </si>
  <si>
    <t xml:space="preserve">8 Okt</t>
  </si>
  <si>
    <t xml:space="preserve">Bayu pratama</t>
  </si>
  <si>
    <t xml:space="preserve">+6281311144431</t>
  </si>
  <si>
    <t xml:space="preserve">Jahar Nas</t>
  </si>
  <si>
    <t xml:space="preserve">+6282391381273</t>
  </si>
  <si>
    <t xml:space="preserve">04-10 18:05</t>
  </si>
  <si>
    <t xml:space="preserve">Nur Aisyah</t>
  </si>
  <si>
    <t xml:space="preserve">Aripan</t>
  </si>
  <si>
    <t xml:space="preserve">+6282268555992</t>
  </si>
  <si>
    <t xml:space="preserve">Leni Marta</t>
  </si>
  <si>
    <t xml:space="preserve">(belum bergabung)</t>
  </si>
  <si>
    <t xml:space="preserve">Ditambahkan 6 Okt (status diterima); PML ditetapkan atas arahan; belum bergabung grup WA</t>
  </si>
  <si>
    <t xml:space="preserve">Widya Verawati</t>
  </si>
  <si>
    <t xml:space="preserve">+6285274775368</t>
  </si>
  <si>
    <t xml:space="preserve">Tim Widya Verawati</t>
  </si>
  <si>
    <t xml:space="preserve">04-10 18:56</t>
  </si>
  <si>
    <t xml:space="preserve">Anggun Rahma Fajar</t>
  </si>
  <si>
    <t xml:space="preserve">+6282285315252</t>
  </si>
  <si>
    <t xml:space="preserve">Ayang Syafriani</t>
  </si>
  <si>
    <t xml:space="preserve">Talang</t>
  </si>
  <si>
    <t xml:space="preserve">+6283157632112</t>
  </si>
  <si>
    <t xml:space="preserve">04-10 20:39</t>
  </si>
  <si>
    <t xml:space="preserve">Dhini oktaviani</t>
  </si>
  <si>
    <t xml:space="preserve">Cupak</t>
  </si>
  <si>
    <t xml:space="preserve">+6282285112903</t>
  </si>
  <si>
    <t xml:space="preserve">04-10 17:30</t>
  </si>
  <si>
    <t xml:space="preserve">Yurneti</t>
  </si>
  <si>
    <t xml:space="preserve">Selayo</t>
  </si>
  <si>
    <t xml:space="preserve">+6281266709257</t>
  </si>
  <si>
    <t xml:space="preserve">Tim Yurneti</t>
  </si>
  <si>
    <t xml:space="preserve">04-10 16:46</t>
  </si>
  <si>
    <t xml:space="preserve">Eka ramadani</t>
  </si>
  <si>
    <t xml:space="preserve">+6289523016352</t>
  </si>
  <si>
    <t xml:space="preserve">04-10 17:39</t>
  </si>
  <si>
    <t xml:space="preserve">Fikri Mardiyani</t>
  </si>
  <si>
    <t xml:space="preserve">Tanjuang Bingkuang</t>
  </si>
  <si>
    <t xml:space="preserve">+6288271538973</t>
  </si>
  <si>
    <t xml:space="preserve">04-10 17:32</t>
  </si>
  <si>
    <t xml:space="preserve">Nelva Roza Oktakia</t>
  </si>
  <si>
    <t xml:space="preserve">+6282171992943</t>
  </si>
  <si>
    <t xml:space="preserve">Devi Kardila</t>
  </si>
  <si>
    <t xml:space="preserve">+6282285034316</t>
  </si>
  <si>
    <t xml:space="preserve">Ditambahkan atas arahan; status database masih menolak. Belum bergabung grup WA</t>
  </si>
  <si>
    <t xml:space="preserve">Yusnita susanti</t>
  </si>
  <si>
    <t xml:space="preserve">+6282169634047</t>
  </si>
  <si>
    <t xml:space="preserve">Tim Yusnita Susanti</t>
  </si>
  <si>
    <t xml:space="preserve">Fuji erizka</t>
  </si>
  <si>
    <t xml:space="preserve">+6285126568146</t>
  </si>
  <si>
    <t xml:space="preserve">Idora Atia</t>
  </si>
  <si>
    <t xml:space="preserve">Koto Anau</t>
  </si>
  <si>
    <t xml:space="preserve">+62895325906513</t>
  </si>
  <si>
    <t xml:space="preserve">Mira Rozalinda</t>
  </si>
  <si>
    <t xml:space="preserve">+6281374080153</t>
  </si>
  <si>
    <t xml:space="preserve">Deswaty, SST.</t>
  </si>
  <si>
    <t xml:space="preserve">SIT-IN</t>
  </si>
  <si>
    <t xml:space="preserve">Pegawai organik, ikut sit in (bukan peserta lapangan)</t>
  </si>
  <si>
    <t xml:space="preserve">Riva Hestaria, A.Md.</t>
  </si>
  <si>
    <t xml:space="preserve">Ayu Sepriani</t>
  </si>
  <si>
    <t xml:space="preserve">+6281266863316</t>
  </si>
  <si>
    <t xml:space="preserve">Tim Ayu Sepriani</t>
  </si>
  <si>
    <t xml:space="preserve">Wina Zurlaili</t>
  </si>
  <si>
    <t xml:space="preserve">+6282391089161</t>
  </si>
  <si>
    <t xml:space="preserve">Budi Pernandes</t>
  </si>
  <si>
    <t xml:space="preserve">+6285271306838</t>
  </si>
  <si>
    <t xml:space="preserve">Tim Budi Pernandes</t>
  </si>
  <si>
    <t xml:space="preserve">Febri Handayani</t>
  </si>
  <si>
    <t xml:space="preserve">Kuncia</t>
  </si>
  <si>
    <t xml:space="preserve">+6281365092925</t>
  </si>
  <si>
    <t xml:space="preserve">05-10 18:07</t>
  </si>
  <si>
    <t xml:space="preserve">Indri septiadi</t>
  </si>
  <si>
    <t xml:space="preserve">+6282285049476</t>
  </si>
  <si>
    <t xml:space="preserve">05-10 12:08</t>
  </si>
  <si>
    <t xml:space="preserve">Minda Susanti</t>
  </si>
  <si>
    <t xml:space="preserve">+6282288003542</t>
  </si>
  <si>
    <t xml:space="preserve">Rini Nofsiska Sari</t>
  </si>
  <si>
    <t xml:space="preserve">081365430914</t>
  </si>
  <si>
    <t xml:space="preserve">Ferianto</t>
  </si>
  <si>
    <t xml:space="preserve">+6281374306238</t>
  </si>
  <si>
    <t xml:space="preserve">Tim Ferianto</t>
  </si>
  <si>
    <t xml:space="preserve">Biki Wabihamdika</t>
  </si>
  <si>
    <t xml:space="preserve">Gantuang Ciri</t>
  </si>
  <si>
    <t xml:space="preserve">+6285363471771</t>
  </si>
  <si>
    <t xml:space="preserve">Defitra Yeni</t>
  </si>
  <si>
    <t xml:space="preserve">+6285274146565</t>
  </si>
  <si>
    <t xml:space="preserve">Naila Sabatini</t>
  </si>
  <si>
    <t xml:space="preserve">+6282288598933</t>
  </si>
  <si>
    <t xml:space="preserve">Yola septya syamsi</t>
  </si>
  <si>
    <t xml:space="preserve">Koto Gaek Guguak</t>
  </si>
  <si>
    <t xml:space="preserve">+6282171806551</t>
  </si>
  <si>
    <t xml:space="preserve">Nila sari</t>
  </si>
  <si>
    <t xml:space="preserve">+6283193601031</t>
  </si>
  <si>
    <t xml:space="preserve">Irawita</t>
  </si>
  <si>
    <t xml:space="preserve">Koto Gadang Guguak</t>
  </si>
  <si>
    <t xml:space="preserve">+6281364496059</t>
  </si>
  <si>
    <t xml:space="preserve">Tim Irawita</t>
  </si>
  <si>
    <t xml:space="preserve">Diana Endang Pratiwi</t>
  </si>
  <si>
    <t xml:space="preserve">Batang Barus</t>
  </si>
  <si>
    <t xml:space="preserve">+6285375955011</t>
  </si>
  <si>
    <t xml:space="preserve">Mardiati</t>
  </si>
  <si>
    <t xml:space="preserve">+6281270186117</t>
  </si>
  <si>
    <t xml:space="preserve">Sonya aldes fatma</t>
  </si>
  <si>
    <t xml:space="preserve">+6285191087032</t>
  </si>
  <si>
    <t xml:space="preserve">Valina alsisri</t>
  </si>
  <si>
    <t xml:space="preserve">+6282288879380</t>
  </si>
  <si>
    <t xml:space="preserve">Berni desriyanti</t>
  </si>
  <si>
    <t xml:space="preserve">+6285374078252</t>
  </si>
  <si>
    <t xml:space="preserve">Ditambahkan atas arahan; sebelumnya menolak, kini bersedia (6 Okt). Belum bergabung grup WA</t>
  </si>
  <si>
    <t xml:space="preserve">Megawati</t>
  </si>
  <si>
    <t xml:space="preserve">+6285256932265</t>
  </si>
  <si>
    <t xml:space="preserve">Tim Megawati</t>
  </si>
  <si>
    <t xml:space="preserve">Amelia</t>
  </si>
  <si>
    <t xml:space="preserve">Saniang Baka</t>
  </si>
  <si>
    <t xml:space="preserve">+6282169359854</t>
  </si>
  <si>
    <t xml:space="preserve">05-10 12:10</t>
  </si>
  <si>
    <t xml:space="preserve">Adriyanto</t>
  </si>
  <si>
    <t xml:space="preserve">Lucia Veronica</t>
  </si>
  <si>
    <t xml:space="preserve">Kafsal, SE.</t>
  </si>
  <si>
    <t xml:space="preserve">-</t>
  </si>
  <si>
    <t xml:space="preserve">Lia angraini</t>
  </si>
  <si>
    <t xml:space="preserve">Tikalak</t>
  </si>
  <si>
    <t xml:space="preserve">+6285364584187</t>
  </si>
  <si>
    <t xml:space="preserve">Tim Lia Angraini</t>
  </si>
  <si>
    <t xml:space="preserve">Dara muhaima febriana</t>
  </si>
  <si>
    <t xml:space="preserve">Kacang</t>
  </si>
  <si>
    <t xml:space="preserve">+6281372464259</t>
  </si>
  <si>
    <t xml:space="preserve">Ira Wahyuni</t>
  </si>
  <si>
    <t xml:space="preserve">+6283164675622</t>
  </si>
  <si>
    <t xml:space="preserve">Rivo Nofri Armon</t>
  </si>
  <si>
    <t xml:space="preserve">+6288708273993</t>
  </si>
  <si>
    <t xml:space="preserve">Lucky Melan Sari</t>
  </si>
  <si>
    <t xml:space="preserve">+6281276525824</t>
  </si>
  <si>
    <t xml:space="preserve">Tim Lucky Melan Sari</t>
  </si>
  <si>
    <t xml:space="preserve">Mustika Sari</t>
  </si>
  <si>
    <t xml:space="preserve">+6285274912493</t>
  </si>
  <si>
    <t xml:space="preserve">Nanda Westia Ade Ningsih</t>
  </si>
  <si>
    <t xml:space="preserve">+6281371311527</t>
  </si>
  <si>
    <t xml:space="preserve">Putri Nasriati</t>
  </si>
  <si>
    <t xml:space="preserve">+6281276725914</t>
  </si>
  <si>
    <t xml:space="preserve">Yulia ningsih</t>
  </si>
  <si>
    <t xml:space="preserve">+6285263774832</t>
  </si>
  <si>
    <t xml:space="preserve">Mega Nana Yulianti</t>
  </si>
  <si>
    <t xml:space="preserve">+6285376699005</t>
  </si>
  <si>
    <t xml:space="preserve">Tim Mega Nana Yulianti</t>
  </si>
  <si>
    <t xml:space="preserve">04-10 16:33</t>
  </si>
  <si>
    <t xml:space="preserve">Farah Sahara</t>
  </si>
  <si>
    <t xml:space="preserve">Panyakalan</t>
  </si>
  <si>
    <t xml:space="preserve">+6285213953564</t>
  </si>
  <si>
    <t xml:space="preserve">Nilam Sitaresmi Cahyono</t>
  </si>
  <si>
    <t xml:space="preserve">Guguak Sarai</t>
  </si>
  <si>
    <t xml:space="preserve">+6282382842793</t>
  </si>
  <si>
    <t xml:space="preserve">Sri wahyuni</t>
  </si>
  <si>
    <t xml:space="preserve">Saok Laweh</t>
  </si>
  <si>
    <t xml:space="preserve">081268518439</t>
  </si>
  <si>
    <t xml:space="preserve">Yenni Rizka Putri</t>
  </si>
  <si>
    <t xml:space="preserve">+6283112266291</t>
  </si>
  <si>
    <t xml:space="preserve">Saputra Ebel Feri</t>
  </si>
  <si>
    <t xml:space="preserve">+6281363066329</t>
  </si>
  <si>
    <t xml:space="preserve">Tim Saputra Ebel Feri</t>
  </si>
  <si>
    <t xml:space="preserve">Puspita Putri</t>
  </si>
  <si>
    <t xml:space="preserve">+6281277810008</t>
  </si>
  <si>
    <t xml:space="preserve">04-10 20:02</t>
  </si>
  <si>
    <t xml:space="preserve">Wirastri Widuri</t>
  </si>
  <si>
    <t xml:space="preserve">+6282386450982</t>
  </si>
  <si>
    <t xml:space="preserve">Yora Komala Sari</t>
  </si>
  <si>
    <t xml:space="preserve">+6285274886688</t>
  </si>
  <si>
    <t xml:space="preserve">Marvi gusneriza</t>
  </si>
  <si>
    <t xml:space="preserve">+6282285119197</t>
  </si>
  <si>
    <t xml:space="preserve">Ardial Jaraf</t>
  </si>
  <si>
    <t xml:space="preserve">Riko Putra Roma</t>
  </si>
  <si>
    <t xml:space="preserve">Adrianus</t>
  </si>
  <si>
    <t xml:space="preserve">Andria diana</t>
  </si>
  <si>
    <t xml:space="preserve">+6282310807737</t>
  </si>
  <si>
    <t xml:space="preserve">Ilham</t>
  </si>
  <si>
    <t xml:space="preserve">Tim Ilham (PML organik)</t>
  </si>
  <si>
    <t xml:space="preserve">Elvika oktasari</t>
  </si>
  <si>
    <t xml:space="preserve">Surian</t>
  </si>
  <si>
    <t xml:space="preserve">+6281268965390</t>
  </si>
  <si>
    <t xml:space="preserve">04-10 16:10</t>
  </si>
  <si>
    <t xml:space="preserve">Gusna Wirda</t>
  </si>
  <si>
    <t xml:space="preserve">Aie Dingin</t>
  </si>
  <si>
    <t xml:space="preserve">+6281374148038</t>
  </si>
  <si>
    <t xml:space="preserve">Wahyuni Oktavia</t>
  </si>
  <si>
    <t xml:space="preserve">+62895405417187</t>
  </si>
  <si>
    <t xml:space="preserve">Usyenti</t>
  </si>
  <si>
    <t xml:space="preserve">+6282388998063</t>
  </si>
  <si>
    <t xml:space="preserve">Tim Usyenti</t>
  </si>
  <si>
    <t xml:space="preserve">Hanes Figa Mulyani</t>
  </si>
  <si>
    <t xml:space="preserve">+6289502502929</t>
  </si>
  <si>
    <t xml:space="preserve">05-10 14:17</t>
  </si>
  <si>
    <t xml:space="preserve">M. Hafizh Dinu Aulia</t>
  </si>
  <si>
    <t xml:space="preserve">+6281272308650</t>
  </si>
  <si>
    <t xml:space="preserve">Novi Endria Jhoni</t>
  </si>
  <si>
    <t xml:space="preserve">+6282288714041</t>
  </si>
  <si>
    <t xml:space="preserve">Nurul vani fatia</t>
  </si>
  <si>
    <t xml:space="preserve">+6285187172026</t>
  </si>
  <si>
    <t xml:space="preserve">Yovinda Oktasia Rahmi</t>
  </si>
  <si>
    <t xml:space="preserve">+628127099100</t>
  </si>
  <si>
    <t xml:space="preserve">Yelli Novita Sari</t>
  </si>
  <si>
    <t xml:space="preserve">Gauang</t>
  </si>
  <si>
    <t xml:space="preserve">+6281363049023</t>
  </si>
  <si>
    <t xml:space="preserve">Tim Yelli Novita Sari</t>
  </si>
  <si>
    <t xml:space="preserve">Yogi eka Putra</t>
  </si>
  <si>
    <t xml:space="preserve">+6282172327337</t>
  </si>
  <si>
    <t xml:space="preserve">Yeni siswanti</t>
  </si>
  <si>
    <t xml:space="preserve">+6283823236068</t>
  </si>
  <si>
    <t xml:space="preserve">Tim Yeni Siswanti</t>
  </si>
  <si>
    <t xml:space="preserve">Anike Putri</t>
  </si>
  <si>
    <t xml:space="preserve">+6283181953864</t>
  </si>
  <si>
    <t xml:space="preserve">Clara Amelya Hendres</t>
  </si>
  <si>
    <t xml:space="preserve">Jawi-Jawi Guguak</t>
  </si>
  <si>
    <t xml:space="preserve">+6285191068735</t>
  </si>
  <si>
    <t xml:space="preserve">Luki Sirup Ramadan</t>
  </si>
  <si>
    <t xml:space="preserve">+6283182154338</t>
  </si>
  <si>
    <t xml:space="preserve">Zheta Renisa Azani</t>
  </si>
  <si>
    <t xml:space="preserve">+6285763788768</t>
  </si>
  <si>
    <t xml:space="preserve">Mirvan Harvia</t>
  </si>
  <si>
    <t xml:space="preserve">+6289673555367</t>
  </si>
  <si>
    <t xml:space="preserve">Dikeluarkan (rangkap SPDT NTP)</t>
  </si>
  <si>
    <t xml:space="preserve">PPL SPDT NTP (rangkap) - sudah digantikan Ayang Syafriani; tidak diikutkan kelas</t>
  </si>
  <si>
    <t xml:space="preserve">Usulan 4 kelas (aturan: 20-27 peserta per kelas termasuk sit-in; panitia 2 orang per kelas, di luar hitungan)</t>
  </si>
  <si>
    <t xml:space="preserve">Tanggal</t>
  </si>
  <si>
    <t xml:space="preserve">Peserta lapangan</t>
  </si>
  <si>
    <t xml:space="preserve">Sit-in</t>
  </si>
  <si>
    <t xml:space="preserve">Total</t>
  </si>
  <si>
    <t xml:space="preserve">Batas 20-27</t>
  </si>
  <si>
    <t xml:space="preserve">Panitia</t>
  </si>
  <si>
    <t xml:space="preserve">Tim (jumlah anggota)</t>
  </si>
  <si>
    <t xml:space="preserve">7 Okt 2026</t>
  </si>
  <si>
    <t xml:space="preserve">Mailani Putri + Arini Alva Syaadah</t>
  </si>
  <si>
    <t xml:space="preserve">Tanpa PML (2); Dessy Meiyarni (2); Hariston (PML organik) (3); Rifa Amelia (PML, menolak) (1); Widya Elvera (5); Widya Verawati (4); Yurneti (5); Yusnita Susanti (4)</t>
  </si>
  <si>
    <t xml:space="preserve">8 Okt 2026</t>
  </si>
  <si>
    <t xml:space="preserve">Faisal Siddiq + Dina Marizka</t>
  </si>
  <si>
    <t xml:space="preserve">Ayu Sepriani (2); Budi Pernandes (5); Ferianto (6); Irawita (6); Megawati (2)</t>
  </si>
  <si>
    <t xml:space="preserve">Oryza Maria Ulva + Nurafiza Thamrin</t>
  </si>
  <si>
    <t xml:space="preserve">Lia Angraini (4); Lucky Melan Sari (5); Mega Nana Yulianti (5); Saputra Ebel Feri (5)</t>
  </si>
  <si>
    <t xml:space="preserve">Alex Kandria + Witria Dasni</t>
  </si>
  <si>
    <t xml:space="preserve">Tanpa PML (1); Ilham (PML organik) (4); Usyenti (6); Yelli Novita Sari (2); Yeni Siswanti (5)</t>
  </si>
  <si>
    <t xml:space="preserve">Nama panitia pada kolom Panitia adalah USUL (pegawai organik); silakan ganti. Kelas 1 = 7 Okt, kelas 2-4 = 8 Okt.</t>
  </si>
  <si>
    <t xml:space="preserve">Mailani Putri</t>
  </si>
  <si>
    <t xml:space="preserve">Arini Alva Syaadah</t>
  </si>
  <si>
    <t xml:space="preserve">Faisal Siddiq</t>
  </si>
  <si>
    <t xml:space="preserve">Dina Marizka</t>
  </si>
  <si>
    <t xml:space="preserve">Oryza Maria Ulva</t>
  </si>
  <si>
    <t xml:space="preserve">Nurafiza Thamrin</t>
  </si>
  <si>
    <t xml:space="preserve">Alex Kandria</t>
  </si>
  <si>
    <t xml:space="preserve">Witria Dasni</t>
  </si>
  <si>
    <t xml:space="preserve">Tim</t>
  </si>
  <si>
    <t xml:space="preserve">Usulan gelombang</t>
  </si>
  <si>
    <t xml:space="preserve">Masalah</t>
  </si>
  <si>
    <t xml:space="preserve">Pilihan jadwalnya berbeda dari sesi timnya - tanyakan apakah bisa pindah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</si>
</sst>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E2A47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E3"/>
      </left>
      <right style="thin">
        <color rgb="FFC9D3E3"/>
      </right>
      <top style="thin">
        <color rgb="FFC9D3E3"/>
      </top>
      <bottom style="thin">
        <color rgb="FFC9D3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E2A4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2A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0"/>
    <col collapsed="false" customWidth="true" hidden="false" outlineLevel="0" max="2" min="2" style="1" width="14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</row>
    <row r="5" customFormat="false" ht="15" hidden="false" customHeight="true" outlineLevel="0" collapsed="false">
      <c r="A5" s="5" t="s">
        <v>4</v>
      </c>
      <c r="B5" s="6" t="n">
        <f aca="false">COUNTA('Daftar Peserta'!$B$5:$B$97)</f>
        <v>93</v>
      </c>
    </row>
    <row r="6" customFormat="false" ht="15" hidden="false" customHeight="true" outlineLevel="0" collapsed="false">
      <c r="A6" s="5" t="s">
        <v>5</v>
      </c>
      <c r="B6" s="6" t="n">
        <f aca="false">COUNTIF('Daftar Peserta'!$C$5:$C$97,"PML")</f>
        <v>19</v>
      </c>
    </row>
    <row r="7" customFormat="false" ht="15" hidden="false" customHeight="true" outlineLevel="0" collapsed="false">
      <c r="A7" s="5" t="s">
        <v>6</v>
      </c>
      <c r="B7" s="6" t="n">
        <f aca="false">COUNTIF('Daftar Peserta'!$C$5:$C$97,"PPL")</f>
        <v>65</v>
      </c>
    </row>
    <row r="8" customFormat="false" ht="15" hidden="false" customHeight="true" outlineLevel="0" collapsed="false">
      <c r="A8" s="5" t="s">
        <v>7</v>
      </c>
      <c r="B8" s="6" t="n">
        <f aca="false">COUNTIF('Daftar Peserta'!$C$5:$C$97,"-")</f>
        <v>1</v>
      </c>
    </row>
    <row r="9" customFormat="false" ht="15" hidden="false" customHeight="true" outlineLevel="0" collapsed="false">
      <c r="A9" s="5" t="s">
        <v>8</v>
      </c>
      <c r="B9" s="6" t="n">
        <f aca="false">COUNTIF('Daftar Peserta'!$M$5:$M$97,"Pegawai organik; di luar*")</f>
        <v>2</v>
      </c>
    </row>
    <row r="10" customFormat="false" ht="15" hidden="false" customHeight="true" outlineLevel="0" collapsed="false">
      <c r="A10" s="5" t="s">
        <v>9</v>
      </c>
      <c r="B10" s="6" t="n">
        <f aca="false">COUNT('Daftar Peserta'!$K$5:$K$97)</f>
        <v>92</v>
      </c>
    </row>
    <row r="11" customFormat="false" ht="15" hidden="false" customHeight="true" outlineLevel="0" collapsed="false">
      <c r="A11" s="5" t="s">
        <v>10</v>
      </c>
      <c r="B11" s="6" t="n">
        <f aca="false">COUNTIF('Daftar Peserta'!$C$5:$C$97,"SIT-IN")</f>
        <v>8</v>
      </c>
    </row>
    <row r="12" customFormat="false" ht="15" hidden="false" customHeight="true" outlineLevel="0" collapsed="false">
      <c r="A12" s="5" t="s">
        <v>11</v>
      </c>
      <c r="B12" s="6" t="n">
        <f aca="false">COUNTIF('Daftar Peserta'!$K$5:$K$97,1)</f>
        <v>26</v>
      </c>
    </row>
    <row r="13" customFormat="false" ht="15" hidden="false" customHeight="true" outlineLevel="0" collapsed="false">
      <c r="A13" s="5" t="s">
        <v>12</v>
      </c>
      <c r="B13" s="6" t="n">
        <f aca="false">COUNTIF('Daftar Peserta'!$K$5:$K$97,2)</f>
        <v>23</v>
      </c>
    </row>
    <row r="14" customFormat="false" ht="15" hidden="false" customHeight="true" outlineLevel="0" collapsed="false">
      <c r="A14" s="5" t="s">
        <v>13</v>
      </c>
      <c r="B14" s="6" t="n">
        <f aca="false">COUNTIF('Daftar Peserta'!$K$5:$K$97,3)</f>
        <v>22</v>
      </c>
    </row>
    <row r="15" customFormat="false" ht="15" hidden="false" customHeight="true" outlineLevel="0" collapsed="false">
      <c r="A15" s="5" t="s">
        <v>14</v>
      </c>
      <c r="B15" s="6" t="n">
        <f aca="false">COUNTIF('Daftar Peserta'!$K$5:$K$97,4)</f>
        <v>21</v>
      </c>
    </row>
    <row r="16" customFormat="false" ht="15" hidden="false" customHeight="true" outlineLevel="0" collapsed="false">
      <c r="A16" s="5" t="s">
        <v>15</v>
      </c>
      <c r="B16" s="6" t="n">
        <v>8</v>
      </c>
    </row>
    <row r="17" customFormat="false" ht="15" hidden="false" customHeight="true" outlineLevel="0" collapsed="false">
      <c r="A17" s="5" t="s">
        <v>16</v>
      </c>
      <c r="B17" s="6" t="n">
        <f aca="false">COUNTIF('Daftar Peserta'!$L$5:$L$97,"Tidak")</f>
        <v>16</v>
      </c>
    </row>
    <row r="18" customFormat="false" ht="15" hidden="false" customHeight="true" outlineLevel="0" collapsed="false">
      <c r="A18" s="5" t="s">
        <v>17</v>
      </c>
      <c r="B18" s="6" t="n">
        <f aca="false">COUNTIF('Daftar Peserta'!$H$5:$H$97,"7 Okt")</f>
        <v>28</v>
      </c>
    </row>
    <row r="19" customFormat="false" ht="15" hidden="false" customHeight="true" outlineLevel="0" collapsed="false">
      <c r="A19" s="5" t="s">
        <v>18</v>
      </c>
      <c r="B19" s="6" t="n">
        <f aca="false">COUNTIF('Daftar Peserta'!$H$5:$H$97,"8 Okt")</f>
        <v>35</v>
      </c>
    </row>
    <row r="20" customFormat="false" ht="15" hidden="false" customHeight="true" outlineLevel="0" collapsed="false">
      <c r="A20" s="5" t="s">
        <v>19</v>
      </c>
      <c r="B20" s="6" t="n">
        <f aca="false">COUNTIF('Daftar Peserta'!$H$5:$H$97,"7 &amp; 8 Okt")</f>
        <v>15</v>
      </c>
    </row>
    <row r="22" customFormat="false" ht="15" hidden="false" customHeight="true" outlineLevel="0" collapsed="false">
      <c r="A22" s="4" t="s">
        <v>20</v>
      </c>
      <c r="B22" s="4" t="s">
        <v>3</v>
      </c>
    </row>
    <row r="23" customFormat="false" ht="15" hidden="false" customHeight="true" outlineLevel="0" collapsed="false">
      <c r="A23" s="5" t="s">
        <v>21</v>
      </c>
      <c r="B23" s="6" t="n">
        <f aca="false">COUNTIF('Daftar Peserta'!$D$5:$D$97,A23)</f>
        <v>24</v>
      </c>
    </row>
    <row r="24" customFormat="false" ht="15" hidden="false" customHeight="true" outlineLevel="0" collapsed="false">
      <c r="A24" s="5" t="s">
        <v>22</v>
      </c>
      <c r="B24" s="6" t="n">
        <f aca="false">COUNTIF('Daftar Peserta'!$D$5:$D$97,A24)</f>
        <v>2</v>
      </c>
    </row>
    <row r="25" customFormat="false" ht="15" hidden="false" customHeight="true" outlineLevel="0" collapsed="false">
      <c r="A25" s="5" t="s">
        <v>23</v>
      </c>
      <c r="B25" s="6" t="n">
        <f aca="false">COUNTIF('Daftar Peserta'!$D$5:$D$97,A25)</f>
        <v>11</v>
      </c>
    </row>
    <row r="26" customFormat="false" ht="15" hidden="false" customHeight="true" outlineLevel="0" collapsed="false">
      <c r="A26" s="5" t="s">
        <v>24</v>
      </c>
      <c r="B26" s="6" t="n">
        <f aca="false">COUNTIF('Daftar Peserta'!$D$5:$D$97,A26)</f>
        <v>33</v>
      </c>
    </row>
    <row r="27" customFormat="false" ht="15" hidden="false" customHeight="true" outlineLevel="0" collapsed="false">
      <c r="A27" s="5" t="s">
        <v>25</v>
      </c>
      <c r="B27" s="6" t="n">
        <f aca="false">COUNTIF('Daftar Peserta'!$D$5:$D$97,A27)</f>
        <v>3</v>
      </c>
    </row>
    <row r="28" customFormat="false" ht="15" hidden="false" customHeight="true" outlineLevel="0" collapsed="false">
      <c r="A28" s="5" t="s">
        <v>26</v>
      </c>
      <c r="B28" s="6" t="n">
        <f aca="false">COUNTIF('Daftar Peserta'!$D$5:$D$97,A28)</f>
        <v>1</v>
      </c>
    </row>
    <row r="29" customFormat="false" ht="15" hidden="false" customHeight="true" outlineLevel="0" collapsed="false">
      <c r="A29" s="5" t="s">
        <v>27</v>
      </c>
      <c r="B29" s="6" t="n">
        <f aca="false">COUNTIF('Daftar Peserta'!$D$5:$D$97,A29)</f>
        <v>1</v>
      </c>
    </row>
    <row r="30" customFormat="false" ht="15" hidden="false" customHeight="true" outlineLevel="0" collapsed="false">
      <c r="A30" s="5" t="s">
        <v>28</v>
      </c>
      <c r="B30" s="6" t="n">
        <f aca="false">COUNTIF('Daftar Peserta'!$D$5:$D$97,A30)</f>
        <v>1</v>
      </c>
    </row>
    <row r="31" customFormat="false" ht="15" hidden="false" customHeight="true" outlineLevel="0" collapsed="false">
      <c r="A31" s="5" t="s">
        <v>29</v>
      </c>
      <c r="B31" s="6" t="n">
        <f aca="false">COUNTIF('Daftar Peserta'!$D$5:$D$97,A31)</f>
        <v>15</v>
      </c>
    </row>
    <row r="33" customFormat="false" ht="15" hidden="false" customHeight="true" outlineLevel="0" collapsed="false">
      <c r="A33" s="7" t="s">
        <v>30</v>
      </c>
      <c r="B33" s="7"/>
    </row>
    <row r="34" customFormat="false" ht="42" hidden="false" customHeight="true" outlineLevel="0" collapsed="false">
      <c r="A34" s="8" t="s">
        <v>31</v>
      </c>
      <c r="B34" s="8"/>
    </row>
    <row r="35" customFormat="false" ht="42" hidden="false" customHeight="true" outlineLevel="0" collapsed="false">
      <c r="A35" s="8" t="s">
        <v>32</v>
      </c>
      <c r="B35" s="8"/>
    </row>
    <row r="36" customFormat="false" ht="42" hidden="false" customHeight="true" outlineLevel="0" collapsed="false">
      <c r="A36" s="8" t="s">
        <v>33</v>
      </c>
      <c r="B36" s="8"/>
    </row>
    <row r="37" customFormat="false" ht="42" hidden="false" customHeight="true" outlineLevel="0" collapsed="false">
      <c r="A37" s="8" t="s">
        <v>34</v>
      </c>
      <c r="B37" s="8"/>
    </row>
  </sheetData>
  <mergeCells count="5">
    <mergeCell ref="A33:B33"/>
    <mergeCell ref="A34:B34"/>
    <mergeCell ref="A35:B35"/>
    <mergeCell ref="A36:B36"/>
    <mergeCell ref="A37:B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8"/>
    <col collapsed="false" customWidth="true" hidden="false" outlineLevel="0" max="4" min="4" style="1" width="20"/>
    <col collapsed="false" customWidth="true" hidden="false" outlineLevel="0" max="5" min="5" style="1" width="22"/>
    <col collapsed="false" customWidth="true" hidden="false" outlineLevel="0" max="6" min="6" style="1" width="17"/>
    <col collapsed="false" customWidth="true" hidden="false" outlineLevel="0" max="7" min="7" style="1" width="28"/>
    <col collapsed="false" customWidth="true" hidden="false" outlineLevel="0" max="8" min="8" style="1" width="14"/>
    <col collapsed="false" customWidth="true" hidden="false" outlineLevel="0" max="9" min="9" style="1" width="20"/>
    <col collapsed="false" customWidth="true" hidden="false" outlineLevel="0" max="10" min="10" style="1" width="10"/>
    <col collapsed="false" customWidth="true" hidden="false" outlineLevel="0" max="11" min="11" style="1" width="7"/>
    <col collapsed="false" customWidth="true" hidden="false" outlineLevel="0" max="12" min="12" style="1" width="12"/>
    <col collapsed="false" customWidth="true" hidden="false" outlineLevel="0" max="13" min="13" style="1" width="60"/>
  </cols>
  <sheetData>
    <row r="1" customFormat="false" ht="15" hidden="false" customHeight="true" outlineLevel="0" collapsed="false">
      <c r="A1" s="9" t="s">
        <v>35</v>
      </c>
    </row>
    <row r="2" customFormat="false" ht="15" hidden="false" customHeight="true" outlineLevel="0" collapsed="false">
      <c r="A2" s="3" t="s">
        <v>36</v>
      </c>
    </row>
    <row r="4" customFormat="false" ht="23.25" hidden="false" customHeight="true" outlineLevel="0" collapsed="false">
      <c r="A4" s="4" t="s">
        <v>37</v>
      </c>
      <c r="B4" s="4" t="s">
        <v>38</v>
      </c>
      <c r="C4" s="4" t="s">
        <v>39</v>
      </c>
      <c r="D4" s="4" t="s">
        <v>40</v>
      </c>
      <c r="E4" s="4" t="s">
        <v>41</v>
      </c>
      <c r="F4" s="4" t="s">
        <v>42</v>
      </c>
      <c r="G4" s="4" t="s">
        <v>43</v>
      </c>
      <c r="H4" s="4" t="s">
        <v>44</v>
      </c>
      <c r="I4" s="4" t="s">
        <v>45</v>
      </c>
      <c r="J4" s="4" t="s">
        <v>46</v>
      </c>
      <c r="K4" s="4" t="s">
        <v>47</v>
      </c>
      <c r="L4" s="4" t="s">
        <v>48</v>
      </c>
      <c r="M4" s="4" t="s">
        <v>49</v>
      </c>
    </row>
    <row r="5" customFormat="false" ht="15" hidden="false" customHeight="true" outlineLevel="0" collapsed="false">
      <c r="A5" s="10" t="n">
        <v>1</v>
      </c>
      <c r="B5" s="5" t="s">
        <v>50</v>
      </c>
      <c r="C5" s="5" t="s">
        <v>51</v>
      </c>
      <c r="D5" s="5" t="s">
        <v>29</v>
      </c>
      <c r="E5" s="5" t="s">
        <v>52</v>
      </c>
      <c r="F5" s="5" t="s">
        <v>53</v>
      </c>
      <c r="G5" s="5" t="s">
        <v>54</v>
      </c>
      <c r="H5" s="5" t="s">
        <v>55</v>
      </c>
      <c r="I5" s="10" t="s">
        <v>56</v>
      </c>
      <c r="J5" s="10" t="n">
        <v>1</v>
      </c>
      <c r="K5" s="10" t="n">
        <v>1</v>
      </c>
      <c r="L5" s="10" t="str">
        <f aca="false">IF(OR(J5="",H5="(belum memilih)",H5="(organik)"),"",IF(OR(H5="7 &amp; 8 Okt",H5="(kosong)",AND(H5="7 Okt",J5=1),AND(H5="8 Okt",J5=2)),"Ya","Tidak"))</f>
        <v>Ya</v>
      </c>
      <c r="M5" s="5" t="s">
        <v>57</v>
      </c>
    </row>
    <row r="6" customFormat="false" ht="15" hidden="false" customHeight="true" outlineLevel="0" collapsed="false">
      <c r="A6" s="10" t="n">
        <v>2</v>
      </c>
      <c r="B6" s="5" t="s">
        <v>58</v>
      </c>
      <c r="C6" s="5" t="s">
        <v>51</v>
      </c>
      <c r="D6" s="5" t="s">
        <v>25</v>
      </c>
      <c r="E6" s="5" t="s">
        <v>59</v>
      </c>
      <c r="F6" s="5" t="s">
        <v>60</v>
      </c>
      <c r="G6" s="5" t="s">
        <v>54</v>
      </c>
      <c r="H6" s="5" t="s">
        <v>55</v>
      </c>
      <c r="I6" s="10" t="s">
        <v>61</v>
      </c>
      <c r="J6" s="10" t="n">
        <v>1</v>
      </c>
      <c r="K6" s="10" t="n">
        <v>1</v>
      </c>
      <c r="L6" s="10" t="str">
        <f aca="false">IF(OR(J6="",H6="(belum memilih)",H6="(organik)"),"",IF(OR(H6="7 &amp; 8 Okt",H6="(kosong)",AND(H6="7 Okt",J6=1),AND(H6="8 Okt",J6=2)),"Ya","Tidak"))</f>
        <v>Ya</v>
      </c>
      <c r="M6" s="5" t="s">
        <v>57</v>
      </c>
    </row>
    <row r="7" customFormat="false" ht="15" hidden="false" customHeight="true" outlineLevel="0" collapsed="false">
      <c r="A7" s="10" t="n">
        <v>3</v>
      </c>
      <c r="B7" s="5" t="s">
        <v>62</v>
      </c>
      <c r="C7" s="5" t="s">
        <v>63</v>
      </c>
      <c r="D7" s="5" t="s">
        <v>29</v>
      </c>
      <c r="E7" s="5" t="s">
        <v>64</v>
      </c>
      <c r="F7" s="5" t="s">
        <v>65</v>
      </c>
      <c r="G7" s="5" t="s">
        <v>66</v>
      </c>
      <c r="H7" s="5" t="s">
        <v>55</v>
      </c>
      <c r="I7" s="10" t="s">
        <v>67</v>
      </c>
      <c r="J7" s="10" t="n">
        <v>1</v>
      </c>
      <c r="K7" s="10" t="n">
        <v>1</v>
      </c>
      <c r="L7" s="10" t="str">
        <f aca="false">IF(OR(J7="",H7="(belum memilih)",H7="(organik)"),"",IF(OR(H7="7 &amp; 8 Okt",H7="(kosong)",AND(H7="7 Okt",J7=1),AND(H7="8 Okt",J7=2)),"Ya","Tidak"))</f>
        <v>Ya</v>
      </c>
      <c r="M7" s="5"/>
    </row>
    <row r="8" customFormat="false" ht="15" hidden="false" customHeight="true" outlineLevel="0" collapsed="false">
      <c r="A8" s="10" t="n">
        <v>4</v>
      </c>
      <c r="B8" s="5" t="s">
        <v>68</v>
      </c>
      <c r="C8" s="5" t="s">
        <v>51</v>
      </c>
      <c r="D8" s="5" t="s">
        <v>24</v>
      </c>
      <c r="E8" s="5" t="s">
        <v>69</v>
      </c>
      <c r="F8" s="5" t="s">
        <v>70</v>
      </c>
      <c r="G8" s="5" t="s">
        <v>66</v>
      </c>
      <c r="H8" s="5" t="s">
        <v>55</v>
      </c>
      <c r="I8" s="10" t="s">
        <v>71</v>
      </c>
      <c r="J8" s="10" t="n">
        <v>1</v>
      </c>
      <c r="K8" s="10" t="n">
        <v>1</v>
      </c>
      <c r="L8" s="10" t="str">
        <f aca="false">IF(OR(J8="",H8="(belum memilih)",H8="(organik)"),"",IF(OR(H8="7 &amp; 8 Okt",H8="(kosong)",AND(H8="7 Okt",J8=1),AND(H8="8 Okt",J8=2)),"Ya","Tidak"))</f>
        <v>Ya</v>
      </c>
      <c r="M8" s="5"/>
    </row>
    <row r="9" customFormat="false" ht="15" hidden="false" customHeight="true" outlineLevel="0" collapsed="false">
      <c r="A9" s="10" t="n">
        <v>5</v>
      </c>
      <c r="B9" s="5" t="s">
        <v>72</v>
      </c>
      <c r="C9" s="5" t="s">
        <v>63</v>
      </c>
      <c r="D9" s="5" t="s">
        <v>24</v>
      </c>
      <c r="E9" s="5"/>
      <c r="F9" s="5"/>
      <c r="G9" s="5" t="s">
        <v>73</v>
      </c>
      <c r="H9" s="5" t="s">
        <v>74</v>
      </c>
      <c r="I9" s="10" t="s">
        <v>75</v>
      </c>
      <c r="J9" s="10" t="n">
        <v>1</v>
      </c>
      <c r="K9" s="10" t="n">
        <v>1</v>
      </c>
      <c r="L9" s="10" t="str">
        <f aca="false">IF(OR(J9="",H9="(belum memilih)",H9="(organik)"),"",IF(OR(H9="7 &amp; 8 Okt",H9="(kosong)",AND(H9="7 Okt",J9=1),AND(H9="8 Okt",J9=2)),"Ya","Tidak"))</f>
        <v/>
      </c>
      <c r="M9" s="5" t="s">
        <v>76</v>
      </c>
    </row>
    <row r="10" customFormat="false" ht="15" hidden="false" customHeight="true" outlineLevel="0" collapsed="false">
      <c r="A10" s="10" t="n">
        <v>6</v>
      </c>
      <c r="B10" s="5" t="s">
        <v>77</v>
      </c>
      <c r="C10" s="5" t="s">
        <v>51</v>
      </c>
      <c r="D10" s="5" t="s">
        <v>23</v>
      </c>
      <c r="E10" s="5" t="s">
        <v>78</v>
      </c>
      <c r="F10" s="5" t="s">
        <v>79</v>
      </c>
      <c r="G10" s="5" t="s">
        <v>73</v>
      </c>
      <c r="H10" s="5" t="s">
        <v>55</v>
      </c>
      <c r="I10" s="10" t="s">
        <v>71</v>
      </c>
      <c r="J10" s="10" t="n">
        <v>1</v>
      </c>
      <c r="K10" s="10" t="n">
        <v>1</v>
      </c>
      <c r="L10" s="10" t="str">
        <f aca="false">IF(OR(J10="",H10="(belum memilih)",H10="(organik)"),"",IF(OR(H10="7 &amp; 8 Okt",H10="(kosong)",AND(H10="7 Okt",J10=1),AND(H10="8 Okt",J10=2)),"Ya","Tidak"))</f>
        <v>Ya</v>
      </c>
      <c r="M10" s="5"/>
    </row>
    <row r="11" customFormat="false" ht="15" hidden="false" customHeight="true" outlineLevel="0" collapsed="false">
      <c r="A11" s="10" t="n">
        <v>7</v>
      </c>
      <c r="B11" s="5" t="s">
        <v>80</v>
      </c>
      <c r="C11" s="5" t="s">
        <v>51</v>
      </c>
      <c r="D11" s="5" t="s">
        <v>23</v>
      </c>
      <c r="E11" s="5" t="s">
        <v>81</v>
      </c>
      <c r="F11" s="5" t="s">
        <v>82</v>
      </c>
      <c r="G11" s="5" t="s">
        <v>73</v>
      </c>
      <c r="H11" s="5" t="s">
        <v>83</v>
      </c>
      <c r="I11" s="10" t="s">
        <v>71</v>
      </c>
      <c r="J11" s="10" t="n">
        <v>1</v>
      </c>
      <c r="K11" s="10" t="n">
        <v>1</v>
      </c>
      <c r="L11" s="10" t="str">
        <f aca="false">IF(OR(J11="",H11="(belum memilih)",H11="(organik)"),"",IF(OR(H11="7 &amp; 8 Okt",H11="(kosong)",AND(H11="7 Okt",J11=1),AND(H11="8 Okt",J11=2)),"Ya","Tidak"))</f>
        <v>Ya</v>
      </c>
      <c r="M11" s="5"/>
    </row>
    <row r="12" customFormat="false" ht="15" hidden="false" customHeight="true" outlineLevel="0" collapsed="false">
      <c r="A12" s="10" t="n">
        <v>8</v>
      </c>
      <c r="B12" s="5" t="s">
        <v>84</v>
      </c>
      <c r="C12" s="5" t="s">
        <v>51</v>
      </c>
      <c r="D12" s="5" t="s">
        <v>23</v>
      </c>
      <c r="E12" s="5" t="s">
        <v>78</v>
      </c>
      <c r="F12" s="5" t="s">
        <v>85</v>
      </c>
      <c r="G12" s="5" t="s">
        <v>86</v>
      </c>
      <c r="H12" s="5" t="s">
        <v>55</v>
      </c>
      <c r="I12" s="10" t="s">
        <v>71</v>
      </c>
      <c r="J12" s="10" t="n">
        <v>1</v>
      </c>
      <c r="K12" s="10" t="n">
        <v>1</v>
      </c>
      <c r="L12" s="10" t="str">
        <f aca="false">IF(OR(J12="",H12="(belum memilih)",H12="(organik)"),"",IF(OR(H12="7 &amp; 8 Okt",H12="(kosong)",AND(H12="7 Okt",J12=1),AND(H12="8 Okt",J12=2)),"Ya","Tidak"))</f>
        <v>Ya</v>
      </c>
      <c r="M12" s="5" t="s">
        <v>87</v>
      </c>
    </row>
    <row r="13" customFormat="false" ht="15" hidden="false" customHeight="true" outlineLevel="0" collapsed="false">
      <c r="A13" s="10" t="n">
        <v>9</v>
      </c>
      <c r="B13" s="5" t="s">
        <v>88</v>
      </c>
      <c r="C13" s="5" t="s">
        <v>63</v>
      </c>
      <c r="D13" s="5" t="s">
        <v>29</v>
      </c>
      <c r="E13" s="5" t="s">
        <v>52</v>
      </c>
      <c r="F13" s="5" t="s">
        <v>89</v>
      </c>
      <c r="G13" s="5" t="s">
        <v>90</v>
      </c>
      <c r="H13" s="5" t="s">
        <v>91</v>
      </c>
      <c r="I13" s="10" t="s">
        <v>71</v>
      </c>
      <c r="J13" s="10" t="n">
        <v>1</v>
      </c>
      <c r="K13" s="10" t="n">
        <v>1</v>
      </c>
      <c r="L13" s="10" t="str">
        <f aca="false">IF(OR(J13="",H13="(belum memilih)",H13="(organik)"),"",IF(OR(H13="7 &amp; 8 Okt",H13="(kosong)",AND(H13="7 Okt",J13=1),AND(H13="8 Okt",J13=2)),"Ya","Tidak"))</f>
        <v>Tidak</v>
      </c>
      <c r="M13" s="5"/>
    </row>
    <row r="14" customFormat="false" ht="15" hidden="false" customHeight="true" outlineLevel="0" collapsed="false">
      <c r="A14" s="10" t="n">
        <v>10</v>
      </c>
      <c r="B14" s="5" t="s">
        <v>92</v>
      </c>
      <c r="C14" s="5" t="s">
        <v>51</v>
      </c>
      <c r="D14" s="5" t="s">
        <v>29</v>
      </c>
      <c r="E14" s="5" t="s">
        <v>64</v>
      </c>
      <c r="F14" s="5" t="s">
        <v>93</v>
      </c>
      <c r="G14" s="5" t="s">
        <v>90</v>
      </c>
      <c r="H14" s="5" t="s">
        <v>55</v>
      </c>
      <c r="I14" s="10" t="s">
        <v>71</v>
      </c>
      <c r="J14" s="10" t="n">
        <v>1</v>
      </c>
      <c r="K14" s="10" t="n">
        <v>1</v>
      </c>
      <c r="L14" s="10" t="str">
        <f aca="false">IF(OR(J14="",H14="(belum memilih)",H14="(organik)"),"",IF(OR(H14="7 &amp; 8 Okt",H14="(kosong)",AND(H14="7 Okt",J14=1),AND(H14="8 Okt",J14=2)),"Ya","Tidak"))</f>
        <v>Ya</v>
      </c>
      <c r="M14" s="5"/>
    </row>
    <row r="15" customFormat="false" ht="15" hidden="false" customHeight="true" outlineLevel="0" collapsed="false">
      <c r="A15" s="10" t="n">
        <v>11</v>
      </c>
      <c r="B15" s="5" t="s">
        <v>94</v>
      </c>
      <c r="C15" s="5" t="s">
        <v>51</v>
      </c>
      <c r="D15" s="5" t="s">
        <v>29</v>
      </c>
      <c r="E15" s="5" t="s">
        <v>52</v>
      </c>
      <c r="F15" s="5" t="s">
        <v>95</v>
      </c>
      <c r="G15" s="5" t="s">
        <v>90</v>
      </c>
      <c r="H15" s="5" t="s">
        <v>55</v>
      </c>
      <c r="I15" s="10" t="s">
        <v>96</v>
      </c>
      <c r="J15" s="10" t="n">
        <v>1</v>
      </c>
      <c r="K15" s="10" t="n">
        <v>1</v>
      </c>
      <c r="L15" s="10" t="str">
        <f aca="false">IF(OR(J15="",H15="(belum memilih)",H15="(organik)"),"",IF(OR(H15="7 &amp; 8 Okt",H15="(kosong)",AND(H15="7 Okt",J15=1),AND(H15="8 Okt",J15=2)),"Ya","Tidak"))</f>
        <v>Ya</v>
      </c>
      <c r="M15" s="5"/>
    </row>
    <row r="16" customFormat="false" ht="15" hidden="false" customHeight="true" outlineLevel="0" collapsed="false">
      <c r="A16" s="10" t="n">
        <v>12</v>
      </c>
      <c r="B16" s="5" t="s">
        <v>97</v>
      </c>
      <c r="C16" s="5" t="s">
        <v>51</v>
      </c>
      <c r="D16" s="5" t="s">
        <v>29</v>
      </c>
      <c r="E16" s="5" t="s">
        <v>98</v>
      </c>
      <c r="F16" s="5" t="s">
        <v>99</v>
      </c>
      <c r="G16" s="5" t="s">
        <v>90</v>
      </c>
      <c r="H16" s="5" t="s">
        <v>55</v>
      </c>
      <c r="I16" s="10" t="s">
        <v>67</v>
      </c>
      <c r="J16" s="10" t="n">
        <v>1</v>
      </c>
      <c r="K16" s="10" t="n">
        <v>1</v>
      </c>
      <c r="L16" s="10" t="str">
        <f aca="false">IF(OR(J16="",H16="(belum memilih)",H16="(organik)"),"",IF(OR(H16="7 &amp; 8 Okt",H16="(kosong)",AND(H16="7 Okt",J16=1),AND(H16="8 Okt",J16=2)),"Ya","Tidak"))</f>
        <v>Ya</v>
      </c>
      <c r="M16" s="5"/>
    </row>
    <row r="17" customFormat="false" ht="15" hidden="false" customHeight="true" outlineLevel="0" collapsed="false">
      <c r="A17" s="10" t="n">
        <v>13</v>
      </c>
      <c r="B17" s="5" t="s">
        <v>100</v>
      </c>
      <c r="C17" s="5" t="s">
        <v>51</v>
      </c>
      <c r="D17" s="5" t="s">
        <v>24</v>
      </c>
      <c r="E17" s="5"/>
      <c r="F17" s="5"/>
      <c r="G17" s="5" t="s">
        <v>90</v>
      </c>
      <c r="H17" s="5" t="s">
        <v>74</v>
      </c>
      <c r="I17" s="10" t="s">
        <v>101</v>
      </c>
      <c r="J17" s="10" t="n">
        <v>1</v>
      </c>
      <c r="K17" s="10" t="n">
        <v>1</v>
      </c>
      <c r="L17" s="10" t="str">
        <f aca="false">IF(OR(J17="",H17="(belum memilih)",H17="(organik)"),"",IF(OR(H17="7 &amp; 8 Okt",H17="(kosong)",AND(H17="7 Okt",J17=1),AND(H17="8 Okt",J17=2)),"Ya","Tidak"))</f>
        <v/>
      </c>
      <c r="M17" s="5" t="s">
        <v>102</v>
      </c>
    </row>
    <row r="18" customFormat="false" ht="15" hidden="false" customHeight="true" outlineLevel="0" collapsed="false">
      <c r="A18" s="10" t="n">
        <v>14</v>
      </c>
      <c r="B18" s="5" t="s">
        <v>103</v>
      </c>
      <c r="C18" s="5" t="s">
        <v>63</v>
      </c>
      <c r="D18" s="5" t="s">
        <v>24</v>
      </c>
      <c r="E18" s="5" t="s">
        <v>69</v>
      </c>
      <c r="F18" s="5" t="s">
        <v>104</v>
      </c>
      <c r="G18" s="5" t="s">
        <v>105</v>
      </c>
      <c r="H18" s="5" t="s">
        <v>83</v>
      </c>
      <c r="I18" s="10" t="s">
        <v>106</v>
      </c>
      <c r="J18" s="10" t="n">
        <v>1</v>
      </c>
      <c r="K18" s="10" t="n">
        <v>1</v>
      </c>
      <c r="L18" s="10" t="str">
        <f aca="false">IF(OR(J18="",H18="(belum memilih)",H18="(organik)"),"",IF(OR(H18="7 &amp; 8 Okt",H18="(kosong)",AND(H18="7 Okt",J18=1),AND(H18="8 Okt",J18=2)),"Ya","Tidak"))</f>
        <v>Ya</v>
      </c>
      <c r="M18" s="5"/>
    </row>
    <row r="19" customFormat="false" ht="15" hidden="false" customHeight="true" outlineLevel="0" collapsed="false">
      <c r="A19" s="10" t="n">
        <v>15</v>
      </c>
      <c r="B19" s="5" t="s">
        <v>107</v>
      </c>
      <c r="C19" s="5" t="s">
        <v>51</v>
      </c>
      <c r="D19" s="5" t="s">
        <v>24</v>
      </c>
      <c r="E19" s="5" t="s">
        <v>69</v>
      </c>
      <c r="F19" s="5" t="s">
        <v>108</v>
      </c>
      <c r="G19" s="5" t="s">
        <v>105</v>
      </c>
      <c r="H19" s="5" t="s">
        <v>55</v>
      </c>
      <c r="I19" s="10" t="s">
        <v>71</v>
      </c>
      <c r="J19" s="10" t="n">
        <v>1</v>
      </c>
      <c r="K19" s="10" t="n">
        <v>1</v>
      </c>
      <c r="L19" s="10" t="str">
        <f aca="false">IF(OR(J19="",H19="(belum memilih)",H19="(organik)"),"",IF(OR(H19="7 &amp; 8 Okt",H19="(kosong)",AND(H19="7 Okt",J19=1),AND(H19="8 Okt",J19=2)),"Ya","Tidak"))</f>
        <v>Ya</v>
      </c>
      <c r="M19" s="5"/>
    </row>
    <row r="20" customFormat="false" ht="15" hidden="false" customHeight="true" outlineLevel="0" collapsed="false">
      <c r="A20" s="10" t="n">
        <v>16</v>
      </c>
      <c r="B20" s="5" t="s">
        <v>109</v>
      </c>
      <c r="C20" s="5" t="s">
        <v>51</v>
      </c>
      <c r="D20" s="5" t="s">
        <v>21</v>
      </c>
      <c r="E20" s="5" t="s">
        <v>110</v>
      </c>
      <c r="F20" s="5" t="s">
        <v>111</v>
      </c>
      <c r="G20" s="5" t="s">
        <v>105</v>
      </c>
      <c r="H20" s="5" t="s">
        <v>55</v>
      </c>
      <c r="I20" s="10" t="s">
        <v>112</v>
      </c>
      <c r="J20" s="10" t="n">
        <v>1</v>
      </c>
      <c r="K20" s="10" t="n">
        <v>1</v>
      </c>
      <c r="L20" s="10" t="str">
        <f aca="false">IF(OR(J20="",H20="(belum memilih)",H20="(organik)"),"",IF(OR(H20="7 &amp; 8 Okt",H20="(kosong)",AND(H20="7 Okt",J20=1),AND(H20="8 Okt",J20=2)),"Ya","Tidak"))</f>
        <v>Ya</v>
      </c>
      <c r="M20" s="5"/>
    </row>
    <row r="21" customFormat="false" ht="15" hidden="false" customHeight="true" outlineLevel="0" collapsed="false">
      <c r="A21" s="10" t="n">
        <v>17</v>
      </c>
      <c r="B21" s="5" t="s">
        <v>113</v>
      </c>
      <c r="C21" s="5" t="s">
        <v>51</v>
      </c>
      <c r="D21" s="5" t="s">
        <v>21</v>
      </c>
      <c r="E21" s="5" t="s">
        <v>114</v>
      </c>
      <c r="F21" s="5" t="s">
        <v>115</v>
      </c>
      <c r="G21" s="5" t="s">
        <v>105</v>
      </c>
      <c r="H21" s="5" t="s">
        <v>91</v>
      </c>
      <c r="I21" s="10" t="s">
        <v>116</v>
      </c>
      <c r="J21" s="10" t="n">
        <v>1</v>
      </c>
      <c r="K21" s="10" t="n">
        <v>1</v>
      </c>
      <c r="L21" s="10" t="str">
        <f aca="false">IF(OR(J21="",H21="(belum memilih)",H21="(organik)"),"",IF(OR(H21="7 &amp; 8 Okt",H21="(kosong)",AND(H21="7 Okt",J21=1),AND(H21="8 Okt",J21=2)),"Ya","Tidak"))</f>
        <v>Tidak</v>
      </c>
      <c r="M21" s="5"/>
    </row>
    <row r="22" customFormat="false" ht="15" hidden="false" customHeight="true" outlineLevel="0" collapsed="false">
      <c r="A22" s="10" t="n">
        <v>18</v>
      </c>
      <c r="B22" s="5" t="s">
        <v>117</v>
      </c>
      <c r="C22" s="5" t="s">
        <v>63</v>
      </c>
      <c r="D22" s="5" t="s">
        <v>24</v>
      </c>
      <c r="E22" s="5" t="s">
        <v>118</v>
      </c>
      <c r="F22" s="5" t="s">
        <v>119</v>
      </c>
      <c r="G22" s="5" t="s">
        <v>120</v>
      </c>
      <c r="H22" s="5" t="s">
        <v>55</v>
      </c>
      <c r="I22" s="10" t="s">
        <v>121</v>
      </c>
      <c r="J22" s="10" t="n">
        <v>1</v>
      </c>
      <c r="K22" s="10" t="n">
        <v>1</v>
      </c>
      <c r="L22" s="10" t="str">
        <f aca="false">IF(OR(J22="",H22="(belum memilih)",H22="(organik)"),"",IF(OR(H22="7 &amp; 8 Okt",H22="(kosong)",AND(H22="7 Okt",J22=1),AND(H22="8 Okt",J22=2)),"Ya","Tidak"))</f>
        <v>Ya</v>
      </c>
      <c r="M22" s="5"/>
    </row>
    <row r="23" customFormat="false" ht="15" hidden="false" customHeight="true" outlineLevel="0" collapsed="false">
      <c r="A23" s="10" t="n">
        <v>19</v>
      </c>
      <c r="B23" s="5" t="s">
        <v>122</v>
      </c>
      <c r="C23" s="5" t="s">
        <v>51</v>
      </c>
      <c r="D23" s="5" t="s">
        <v>24</v>
      </c>
      <c r="E23" s="5" t="s">
        <v>118</v>
      </c>
      <c r="F23" s="5" t="s">
        <v>123</v>
      </c>
      <c r="G23" s="5" t="s">
        <v>120</v>
      </c>
      <c r="H23" s="5" t="s">
        <v>55</v>
      </c>
      <c r="I23" s="10" t="s">
        <v>124</v>
      </c>
      <c r="J23" s="10" t="n">
        <v>1</v>
      </c>
      <c r="K23" s="10" t="n">
        <v>1</v>
      </c>
      <c r="L23" s="10" t="str">
        <f aca="false">IF(OR(J23="",H23="(belum memilih)",H23="(organik)"),"",IF(OR(H23="7 &amp; 8 Okt",H23="(kosong)",AND(H23="7 Okt",J23=1),AND(H23="8 Okt",J23=2)),"Ya","Tidak"))</f>
        <v>Ya</v>
      </c>
      <c r="M23" s="5"/>
    </row>
    <row r="24" customFormat="false" ht="15" hidden="false" customHeight="true" outlineLevel="0" collapsed="false">
      <c r="A24" s="10" t="n">
        <v>20</v>
      </c>
      <c r="B24" s="5" t="s">
        <v>125</v>
      </c>
      <c r="C24" s="5" t="s">
        <v>51</v>
      </c>
      <c r="D24" s="5" t="s">
        <v>24</v>
      </c>
      <c r="E24" s="5" t="s">
        <v>126</v>
      </c>
      <c r="F24" s="5" t="s">
        <v>127</v>
      </c>
      <c r="G24" s="5" t="s">
        <v>120</v>
      </c>
      <c r="H24" s="5" t="s">
        <v>91</v>
      </c>
      <c r="I24" s="10" t="s">
        <v>128</v>
      </c>
      <c r="J24" s="10" t="n">
        <v>1</v>
      </c>
      <c r="K24" s="10" t="n">
        <v>1</v>
      </c>
      <c r="L24" s="10" t="str">
        <f aca="false">IF(OR(J24="",H24="(belum memilih)",H24="(organik)"),"",IF(OR(H24="7 &amp; 8 Okt",H24="(kosong)",AND(H24="7 Okt",J24=1),AND(H24="8 Okt",J24=2)),"Ya","Tidak"))</f>
        <v>Tidak</v>
      </c>
      <c r="M24" s="5"/>
    </row>
    <row r="25" customFormat="false" ht="15" hidden="false" customHeight="true" outlineLevel="0" collapsed="false">
      <c r="A25" s="10" t="n">
        <v>21</v>
      </c>
      <c r="B25" s="5" t="s">
        <v>129</v>
      </c>
      <c r="C25" s="5" t="s">
        <v>51</v>
      </c>
      <c r="D25" s="5" t="s">
        <v>24</v>
      </c>
      <c r="E25" s="5" t="s">
        <v>118</v>
      </c>
      <c r="F25" s="5" t="s">
        <v>130</v>
      </c>
      <c r="G25" s="5" t="s">
        <v>120</v>
      </c>
      <c r="H25" s="5" t="s">
        <v>55</v>
      </c>
      <c r="I25" s="10" t="s">
        <v>71</v>
      </c>
      <c r="J25" s="10" t="n">
        <v>1</v>
      </c>
      <c r="K25" s="10" t="n">
        <v>1</v>
      </c>
      <c r="L25" s="10" t="str">
        <f aca="false">IF(OR(J25="",H25="(belum memilih)",H25="(organik)"),"",IF(OR(H25="7 &amp; 8 Okt",H25="(kosong)",AND(H25="7 Okt",J25=1),AND(H25="8 Okt",J25=2)),"Ya","Tidak"))</f>
        <v>Ya</v>
      </c>
      <c r="M25" s="5"/>
    </row>
    <row r="26" customFormat="false" ht="15" hidden="false" customHeight="true" outlineLevel="0" collapsed="false">
      <c r="A26" s="10" t="n">
        <v>22</v>
      </c>
      <c r="B26" s="5" t="s">
        <v>131</v>
      </c>
      <c r="C26" s="5" t="s">
        <v>51</v>
      </c>
      <c r="D26" s="5" t="s">
        <v>24</v>
      </c>
      <c r="E26" s="5" t="s">
        <v>118</v>
      </c>
      <c r="F26" s="5" t="s">
        <v>132</v>
      </c>
      <c r="G26" s="5" t="s">
        <v>120</v>
      </c>
      <c r="H26" s="5" t="s">
        <v>74</v>
      </c>
      <c r="I26" s="10" t="s">
        <v>101</v>
      </c>
      <c r="J26" s="10" t="n">
        <v>1</v>
      </c>
      <c r="K26" s="10" t="n">
        <v>1</v>
      </c>
      <c r="L26" s="10" t="str">
        <f aca="false">IF(OR(J26="",H26="(belum memilih)",H26="(organik)"),"",IF(OR(H26="7 &amp; 8 Okt",H26="(kosong)",AND(H26="7 Okt",J26=1),AND(H26="8 Okt",J26=2)),"Ya","Tidak"))</f>
        <v/>
      </c>
      <c r="M26" s="5" t="s">
        <v>133</v>
      </c>
    </row>
    <row r="27" customFormat="false" ht="15" hidden="false" customHeight="true" outlineLevel="0" collapsed="false">
      <c r="A27" s="10" t="n">
        <v>23</v>
      </c>
      <c r="B27" s="5" t="s">
        <v>134</v>
      </c>
      <c r="C27" s="5" t="s">
        <v>63</v>
      </c>
      <c r="D27" s="5" t="s">
        <v>24</v>
      </c>
      <c r="E27" s="5" t="s">
        <v>118</v>
      </c>
      <c r="F27" s="5" t="s">
        <v>135</v>
      </c>
      <c r="G27" s="5" t="s">
        <v>136</v>
      </c>
      <c r="H27" s="5" t="s">
        <v>91</v>
      </c>
      <c r="I27" s="10" t="s">
        <v>116</v>
      </c>
      <c r="J27" s="10" t="n">
        <v>1</v>
      </c>
      <c r="K27" s="10" t="n">
        <v>1</v>
      </c>
      <c r="L27" s="10" t="str">
        <f aca="false">IF(OR(J27="",H27="(belum memilih)",H27="(organik)"),"",IF(OR(H27="7 &amp; 8 Okt",H27="(kosong)",AND(H27="7 Okt",J27=1),AND(H27="8 Okt",J27=2)),"Ya","Tidak"))</f>
        <v>Tidak</v>
      </c>
      <c r="M27" s="5"/>
    </row>
    <row r="28" customFormat="false" ht="15" hidden="false" customHeight="true" outlineLevel="0" collapsed="false">
      <c r="A28" s="10" t="n">
        <v>24</v>
      </c>
      <c r="B28" s="5" t="s">
        <v>137</v>
      </c>
      <c r="C28" s="5" t="s">
        <v>51</v>
      </c>
      <c r="D28" s="5" t="s">
        <v>24</v>
      </c>
      <c r="E28" s="5" t="s">
        <v>69</v>
      </c>
      <c r="F28" s="5" t="s">
        <v>138</v>
      </c>
      <c r="G28" s="5" t="s">
        <v>136</v>
      </c>
      <c r="H28" s="5" t="s">
        <v>83</v>
      </c>
      <c r="I28" s="10" t="s">
        <v>71</v>
      </c>
      <c r="J28" s="10" t="n">
        <v>1</v>
      </c>
      <c r="K28" s="10" t="n">
        <v>1</v>
      </c>
      <c r="L28" s="10" t="str">
        <f aca="false">IF(OR(J28="",H28="(belum memilih)",H28="(organik)"),"",IF(OR(H28="7 &amp; 8 Okt",H28="(kosong)",AND(H28="7 Okt",J28=1),AND(H28="8 Okt",J28=2)),"Ya","Tidak"))</f>
        <v>Ya</v>
      </c>
      <c r="M28" s="5"/>
    </row>
    <row r="29" customFormat="false" ht="15" hidden="false" customHeight="true" outlineLevel="0" collapsed="false">
      <c r="A29" s="10" t="n">
        <v>25</v>
      </c>
      <c r="B29" s="5" t="s">
        <v>139</v>
      </c>
      <c r="C29" s="5" t="s">
        <v>51</v>
      </c>
      <c r="D29" s="5" t="s">
        <v>26</v>
      </c>
      <c r="E29" s="5" t="s">
        <v>140</v>
      </c>
      <c r="F29" s="5" t="s">
        <v>141</v>
      </c>
      <c r="G29" s="5" t="s">
        <v>136</v>
      </c>
      <c r="H29" s="5" t="s">
        <v>55</v>
      </c>
      <c r="I29" s="10" t="s">
        <v>71</v>
      </c>
      <c r="J29" s="10" t="n">
        <v>1</v>
      </c>
      <c r="K29" s="10" t="n">
        <v>1</v>
      </c>
      <c r="L29" s="10" t="str">
        <f aca="false">IF(OR(J29="",H29="(belum memilih)",H29="(organik)"),"",IF(OR(H29="7 &amp; 8 Okt",H29="(kosong)",AND(H29="7 Okt",J29=1),AND(H29="8 Okt",J29=2)),"Ya","Tidak"))</f>
        <v>Ya</v>
      </c>
      <c r="M29" s="5"/>
    </row>
    <row r="30" customFormat="false" ht="15" hidden="false" customHeight="true" outlineLevel="0" collapsed="false">
      <c r="A30" s="10" t="n">
        <v>26</v>
      </c>
      <c r="B30" s="5" t="s">
        <v>142</v>
      </c>
      <c r="C30" s="5" t="s">
        <v>51</v>
      </c>
      <c r="D30" s="5" t="s">
        <v>24</v>
      </c>
      <c r="E30" s="5" t="s">
        <v>69</v>
      </c>
      <c r="F30" s="5" t="s">
        <v>143</v>
      </c>
      <c r="G30" s="5" t="s">
        <v>136</v>
      </c>
      <c r="H30" s="5" t="s">
        <v>55</v>
      </c>
      <c r="I30" s="10" t="s">
        <v>71</v>
      </c>
      <c r="J30" s="10" t="n">
        <v>1</v>
      </c>
      <c r="K30" s="10" t="n">
        <v>1</v>
      </c>
      <c r="L30" s="10" t="str">
        <f aca="false">IF(OR(J30="",H30="(belum memilih)",H30="(organik)"),"",IF(OR(H30="7 &amp; 8 Okt",H30="(kosong)",AND(H30="7 Okt",J30=1),AND(H30="8 Okt",J30=2)),"Ya","Tidak"))</f>
        <v>Ya</v>
      </c>
      <c r="M30" s="5"/>
    </row>
    <row r="31" customFormat="false" ht="15" hidden="false" customHeight="true" outlineLevel="0" collapsed="false">
      <c r="A31" s="10" t="n">
        <v>27</v>
      </c>
      <c r="B31" s="5" t="s">
        <v>144</v>
      </c>
      <c r="C31" s="5" t="s">
        <v>145</v>
      </c>
      <c r="D31" s="5" t="s">
        <v>21</v>
      </c>
      <c r="E31" s="5"/>
      <c r="F31" s="5"/>
      <c r="G31" s="5" t="s">
        <v>10</v>
      </c>
      <c r="H31" s="5" t="s">
        <v>75</v>
      </c>
      <c r="I31" s="10" t="s">
        <v>75</v>
      </c>
      <c r="J31" s="10" t="n">
        <v>2</v>
      </c>
      <c r="K31" s="10" t="n">
        <v>2</v>
      </c>
      <c r="L31" s="10" t="str">
        <f aca="false">IF(OR(J31="",H31="(belum memilih)",H31="(organik)"),"",IF(OR(H31="7 &amp; 8 Okt",H31="(kosong)",AND(H31="7 Okt",J31=1),AND(H31="8 Okt",J31=2)),"Ya","Tidak"))</f>
        <v/>
      </c>
      <c r="M31" s="5" t="s">
        <v>146</v>
      </c>
    </row>
    <row r="32" customFormat="false" ht="15" hidden="false" customHeight="true" outlineLevel="0" collapsed="false">
      <c r="A32" s="10" t="n">
        <v>28</v>
      </c>
      <c r="B32" s="5" t="s">
        <v>147</v>
      </c>
      <c r="C32" s="5" t="s">
        <v>145</v>
      </c>
      <c r="D32" s="5" t="s">
        <v>21</v>
      </c>
      <c r="E32" s="5"/>
      <c r="F32" s="5"/>
      <c r="G32" s="5" t="s">
        <v>10</v>
      </c>
      <c r="H32" s="5" t="s">
        <v>75</v>
      </c>
      <c r="I32" s="10" t="s">
        <v>75</v>
      </c>
      <c r="J32" s="10" t="n">
        <v>2</v>
      </c>
      <c r="K32" s="10" t="n">
        <v>2</v>
      </c>
      <c r="L32" s="10" t="str">
        <f aca="false">IF(OR(J32="",H32="(belum memilih)",H32="(organik)"),"",IF(OR(H32="7 &amp; 8 Okt",H32="(kosong)",AND(H32="7 Okt",J32=1),AND(H32="8 Okt",J32=2)),"Ya","Tidak"))</f>
        <v/>
      </c>
      <c r="M32" s="5" t="s">
        <v>146</v>
      </c>
    </row>
    <row r="33" customFormat="false" ht="15" hidden="false" customHeight="true" outlineLevel="0" collapsed="false">
      <c r="A33" s="10" t="n">
        <v>29</v>
      </c>
      <c r="B33" s="5" t="s">
        <v>148</v>
      </c>
      <c r="C33" s="5" t="s">
        <v>63</v>
      </c>
      <c r="D33" s="5" t="s">
        <v>29</v>
      </c>
      <c r="E33" s="5" t="s">
        <v>52</v>
      </c>
      <c r="F33" s="5" t="s">
        <v>149</v>
      </c>
      <c r="G33" s="5" t="s">
        <v>150</v>
      </c>
      <c r="H33" s="5" t="s">
        <v>83</v>
      </c>
      <c r="I33" s="10" t="s">
        <v>71</v>
      </c>
      <c r="J33" s="10" t="n">
        <v>2</v>
      </c>
      <c r="K33" s="10" t="n">
        <v>2</v>
      </c>
      <c r="L33" s="10" t="str">
        <f aca="false">IF(OR(J33="",H33="(belum memilih)",H33="(organik)"),"",IF(OR(H33="7 &amp; 8 Okt",H33="(kosong)",AND(H33="7 Okt",J33=1),AND(H33="8 Okt",J33=2)),"Ya","Tidak"))</f>
        <v>Ya</v>
      </c>
      <c r="M33" s="5"/>
    </row>
    <row r="34" customFormat="false" ht="15" hidden="false" customHeight="true" outlineLevel="0" collapsed="false">
      <c r="A34" s="10" t="n">
        <v>30</v>
      </c>
      <c r="B34" s="5" t="s">
        <v>151</v>
      </c>
      <c r="C34" s="5" t="s">
        <v>51</v>
      </c>
      <c r="D34" s="5" t="s">
        <v>24</v>
      </c>
      <c r="E34" s="5" t="s">
        <v>69</v>
      </c>
      <c r="F34" s="5" t="s">
        <v>152</v>
      </c>
      <c r="G34" s="5" t="s">
        <v>150</v>
      </c>
      <c r="H34" s="5" t="s">
        <v>91</v>
      </c>
      <c r="I34" s="10" t="s">
        <v>71</v>
      </c>
      <c r="J34" s="10" t="n">
        <v>2</v>
      </c>
      <c r="K34" s="10" t="n">
        <v>2</v>
      </c>
      <c r="L34" s="10" t="str">
        <f aca="false">IF(OR(J34="",H34="(belum memilih)",H34="(organik)"),"",IF(OR(H34="7 &amp; 8 Okt",H34="(kosong)",AND(H34="7 Okt",J34=1),AND(H34="8 Okt",J34=2)),"Ya","Tidak"))</f>
        <v>Ya</v>
      </c>
      <c r="M34" s="5"/>
    </row>
    <row r="35" customFormat="false" ht="15" hidden="false" customHeight="true" outlineLevel="0" collapsed="false">
      <c r="A35" s="10" t="n">
        <v>31</v>
      </c>
      <c r="B35" s="5" t="s">
        <v>153</v>
      </c>
      <c r="C35" s="5" t="s">
        <v>63</v>
      </c>
      <c r="D35" s="5" t="s">
        <v>23</v>
      </c>
      <c r="E35" s="5" t="s">
        <v>81</v>
      </c>
      <c r="F35" s="5" t="s">
        <v>154</v>
      </c>
      <c r="G35" s="5" t="s">
        <v>155</v>
      </c>
      <c r="H35" s="5" t="s">
        <v>55</v>
      </c>
      <c r="I35" s="10" t="s">
        <v>71</v>
      </c>
      <c r="J35" s="10" t="n">
        <v>2</v>
      </c>
      <c r="K35" s="10" t="n">
        <v>2</v>
      </c>
      <c r="L35" s="10" t="str">
        <f aca="false">IF(OR(J35="",H35="(belum memilih)",H35="(organik)"),"",IF(OR(H35="7 &amp; 8 Okt",H35="(kosong)",AND(H35="7 Okt",J35=1),AND(H35="8 Okt",J35=2)),"Ya","Tidak"))</f>
        <v>Tidak</v>
      </c>
      <c r="M35" s="5"/>
    </row>
    <row r="36" customFormat="false" ht="15" hidden="false" customHeight="true" outlineLevel="0" collapsed="false">
      <c r="A36" s="10" t="n">
        <v>32</v>
      </c>
      <c r="B36" s="5" t="s">
        <v>156</v>
      </c>
      <c r="C36" s="5" t="s">
        <v>51</v>
      </c>
      <c r="D36" s="5" t="s">
        <v>28</v>
      </c>
      <c r="E36" s="5" t="s">
        <v>157</v>
      </c>
      <c r="F36" s="5" t="s">
        <v>158</v>
      </c>
      <c r="G36" s="5" t="s">
        <v>155</v>
      </c>
      <c r="H36" s="5" t="s">
        <v>91</v>
      </c>
      <c r="I36" s="10" t="s">
        <v>159</v>
      </c>
      <c r="J36" s="10" t="n">
        <v>2</v>
      </c>
      <c r="K36" s="10" t="n">
        <v>2</v>
      </c>
      <c r="L36" s="10" t="str">
        <f aca="false">IF(OR(J36="",H36="(belum memilih)",H36="(organik)"),"",IF(OR(H36="7 &amp; 8 Okt",H36="(kosong)",AND(H36="7 Okt",J36=1),AND(H36="8 Okt",J36=2)),"Ya","Tidak"))</f>
        <v>Ya</v>
      </c>
      <c r="M36" s="5"/>
    </row>
    <row r="37" customFormat="false" ht="15" hidden="false" customHeight="true" outlineLevel="0" collapsed="false">
      <c r="A37" s="10" t="n">
        <v>33</v>
      </c>
      <c r="B37" s="5" t="s">
        <v>160</v>
      </c>
      <c r="C37" s="5" t="s">
        <v>51</v>
      </c>
      <c r="D37" s="5" t="s">
        <v>21</v>
      </c>
      <c r="E37" s="5" t="s">
        <v>110</v>
      </c>
      <c r="F37" s="5" t="s">
        <v>161</v>
      </c>
      <c r="G37" s="5" t="s">
        <v>155</v>
      </c>
      <c r="H37" s="5" t="s">
        <v>91</v>
      </c>
      <c r="I37" s="10" t="s">
        <v>162</v>
      </c>
      <c r="J37" s="10" t="n">
        <v>2</v>
      </c>
      <c r="K37" s="10" t="n">
        <v>2</v>
      </c>
      <c r="L37" s="10" t="str">
        <f aca="false">IF(OR(J37="",H37="(belum memilih)",H37="(organik)"),"",IF(OR(H37="7 &amp; 8 Okt",H37="(kosong)",AND(H37="7 Okt",J37=1),AND(H37="8 Okt",J37=2)),"Ya","Tidak"))</f>
        <v>Ya</v>
      </c>
      <c r="M37" s="5"/>
    </row>
    <row r="38" customFormat="false" ht="15" hidden="false" customHeight="true" outlineLevel="0" collapsed="false">
      <c r="A38" s="10" t="n">
        <v>34</v>
      </c>
      <c r="B38" s="5" t="s">
        <v>163</v>
      </c>
      <c r="C38" s="5" t="s">
        <v>51</v>
      </c>
      <c r="D38" s="5" t="s">
        <v>23</v>
      </c>
      <c r="E38" s="5" t="s">
        <v>81</v>
      </c>
      <c r="F38" s="5" t="s">
        <v>164</v>
      </c>
      <c r="G38" s="5" t="s">
        <v>155</v>
      </c>
      <c r="H38" s="5" t="s">
        <v>55</v>
      </c>
      <c r="I38" s="10" t="s">
        <v>61</v>
      </c>
      <c r="J38" s="10" t="n">
        <v>2</v>
      </c>
      <c r="K38" s="10" t="n">
        <v>2</v>
      </c>
      <c r="L38" s="10" t="str">
        <f aca="false">IF(OR(J38="",H38="(belum memilih)",H38="(organik)"),"",IF(OR(H38="7 &amp; 8 Okt",H38="(kosong)",AND(H38="7 Okt",J38=1),AND(H38="8 Okt",J38=2)),"Ya","Tidak"))</f>
        <v>Tidak</v>
      </c>
      <c r="M38" s="5"/>
    </row>
    <row r="39" customFormat="false" ht="15" hidden="false" customHeight="true" outlineLevel="0" collapsed="false">
      <c r="A39" s="10" t="n">
        <v>35</v>
      </c>
      <c r="B39" s="5" t="s">
        <v>165</v>
      </c>
      <c r="C39" s="5" t="s">
        <v>51</v>
      </c>
      <c r="D39" s="5" t="s">
        <v>23</v>
      </c>
      <c r="E39" s="5"/>
      <c r="F39" s="5" t="s">
        <v>166</v>
      </c>
      <c r="G39" s="5" t="s">
        <v>155</v>
      </c>
      <c r="H39" s="5" t="s">
        <v>91</v>
      </c>
      <c r="I39" s="10" t="s">
        <v>67</v>
      </c>
      <c r="J39" s="10" t="n">
        <v>2</v>
      </c>
      <c r="K39" s="10" t="n">
        <v>2</v>
      </c>
      <c r="L39" s="10" t="str">
        <f aca="false">IF(OR(J39="",H39="(belum memilih)",H39="(organik)"),"",IF(OR(H39="7 &amp; 8 Okt",H39="(kosong)",AND(H39="7 Okt",J39=1),AND(H39="8 Okt",J39=2)),"Ya","Tidak"))</f>
        <v>Ya</v>
      </c>
      <c r="M39" s="5"/>
    </row>
    <row r="40" customFormat="false" ht="15" hidden="false" customHeight="true" outlineLevel="0" collapsed="false">
      <c r="A40" s="10" t="n">
        <v>36</v>
      </c>
      <c r="B40" s="5" t="s">
        <v>167</v>
      </c>
      <c r="C40" s="5" t="s">
        <v>63</v>
      </c>
      <c r="D40" s="5" t="s">
        <v>24</v>
      </c>
      <c r="E40" s="5" t="s">
        <v>69</v>
      </c>
      <c r="F40" s="5" t="s">
        <v>168</v>
      </c>
      <c r="G40" s="5" t="s">
        <v>169</v>
      </c>
      <c r="H40" s="5" t="s">
        <v>83</v>
      </c>
      <c r="I40" s="10" t="s">
        <v>71</v>
      </c>
      <c r="J40" s="10" t="n">
        <v>2</v>
      </c>
      <c r="K40" s="10" t="n">
        <v>2</v>
      </c>
      <c r="L40" s="10" t="str">
        <f aca="false">IF(OR(J40="",H40="(belum memilih)",H40="(organik)"),"",IF(OR(H40="7 &amp; 8 Okt",H40="(kosong)",AND(H40="7 Okt",J40=1),AND(H40="8 Okt",J40=2)),"Ya","Tidak"))</f>
        <v>Ya</v>
      </c>
      <c r="M40" s="5"/>
    </row>
    <row r="41" customFormat="false" ht="15" hidden="false" customHeight="true" outlineLevel="0" collapsed="false">
      <c r="A41" s="10" t="n">
        <v>37</v>
      </c>
      <c r="B41" s="5" t="s">
        <v>170</v>
      </c>
      <c r="C41" s="5" t="s">
        <v>51</v>
      </c>
      <c r="D41" s="5" t="s">
        <v>24</v>
      </c>
      <c r="E41" s="5" t="s">
        <v>171</v>
      </c>
      <c r="F41" s="5" t="s">
        <v>172</v>
      </c>
      <c r="G41" s="5" t="s">
        <v>169</v>
      </c>
      <c r="H41" s="5" t="s">
        <v>91</v>
      </c>
      <c r="I41" s="10" t="s">
        <v>162</v>
      </c>
      <c r="J41" s="10" t="n">
        <v>2</v>
      </c>
      <c r="K41" s="10" t="n">
        <v>2</v>
      </c>
      <c r="L41" s="10" t="str">
        <f aca="false">IF(OR(J41="",H41="(belum memilih)",H41="(organik)"),"",IF(OR(H41="7 &amp; 8 Okt",H41="(kosong)",AND(H41="7 Okt",J41=1),AND(H41="8 Okt",J41=2)),"Ya","Tidak"))</f>
        <v>Ya</v>
      </c>
      <c r="M41" s="5"/>
    </row>
    <row r="42" customFormat="false" ht="15" hidden="false" customHeight="true" outlineLevel="0" collapsed="false">
      <c r="A42" s="10" t="n">
        <v>38</v>
      </c>
      <c r="B42" s="5" t="s">
        <v>173</v>
      </c>
      <c r="C42" s="5" t="s">
        <v>51</v>
      </c>
      <c r="D42" s="5" t="s">
        <v>24</v>
      </c>
      <c r="E42" s="5" t="s">
        <v>69</v>
      </c>
      <c r="F42" s="5" t="s">
        <v>174</v>
      </c>
      <c r="G42" s="5" t="s">
        <v>169</v>
      </c>
      <c r="H42" s="5" t="s">
        <v>55</v>
      </c>
      <c r="I42" s="10" t="s">
        <v>71</v>
      </c>
      <c r="J42" s="10" t="n">
        <v>2</v>
      </c>
      <c r="K42" s="10" t="n">
        <v>2</v>
      </c>
      <c r="L42" s="10" t="str">
        <f aca="false">IF(OR(J42="",H42="(belum memilih)",H42="(organik)"),"",IF(OR(H42="7 &amp; 8 Okt",H42="(kosong)",AND(H42="7 Okt",J42=1),AND(H42="8 Okt",J42=2)),"Ya","Tidak"))</f>
        <v>Tidak</v>
      </c>
      <c r="M42" s="5"/>
    </row>
    <row r="43" customFormat="false" ht="15" hidden="false" customHeight="true" outlineLevel="0" collapsed="false">
      <c r="A43" s="10" t="n">
        <v>39</v>
      </c>
      <c r="B43" s="5" t="s">
        <v>175</v>
      </c>
      <c r="C43" s="5" t="s">
        <v>51</v>
      </c>
      <c r="D43" s="5" t="s">
        <v>21</v>
      </c>
      <c r="E43" s="5" t="s">
        <v>114</v>
      </c>
      <c r="F43" s="5" t="s">
        <v>176</v>
      </c>
      <c r="G43" s="5" t="s">
        <v>169</v>
      </c>
      <c r="H43" s="5" t="s">
        <v>91</v>
      </c>
      <c r="I43" s="10" t="s">
        <v>71</v>
      </c>
      <c r="J43" s="10" t="n">
        <v>2</v>
      </c>
      <c r="K43" s="10" t="n">
        <v>2</v>
      </c>
      <c r="L43" s="10" t="str">
        <f aca="false">IF(OR(J43="",H43="(belum memilih)",H43="(organik)"),"",IF(OR(H43="7 &amp; 8 Okt",H43="(kosong)",AND(H43="7 Okt",J43=1),AND(H43="8 Okt",J43=2)),"Ya","Tidak"))</f>
        <v>Ya</v>
      </c>
      <c r="M43" s="5"/>
    </row>
    <row r="44" customFormat="false" ht="15" hidden="false" customHeight="true" outlineLevel="0" collapsed="false">
      <c r="A44" s="10" t="n">
        <v>40</v>
      </c>
      <c r="B44" s="5" t="s">
        <v>177</v>
      </c>
      <c r="C44" s="5" t="s">
        <v>51</v>
      </c>
      <c r="D44" s="5" t="s">
        <v>21</v>
      </c>
      <c r="E44" s="5" t="s">
        <v>178</v>
      </c>
      <c r="F44" s="5" t="s">
        <v>179</v>
      </c>
      <c r="G44" s="5" t="s">
        <v>169</v>
      </c>
      <c r="H44" s="5" t="s">
        <v>91</v>
      </c>
      <c r="I44" s="10" t="s">
        <v>71</v>
      </c>
      <c r="J44" s="10" t="n">
        <v>2</v>
      </c>
      <c r="K44" s="10" t="n">
        <v>2</v>
      </c>
      <c r="L44" s="10" t="str">
        <f aca="false">IF(OR(J44="",H44="(belum memilih)",H44="(organik)"),"",IF(OR(H44="7 &amp; 8 Okt",H44="(kosong)",AND(H44="7 Okt",J44=1),AND(H44="8 Okt",J44=2)),"Ya","Tidak"))</f>
        <v>Ya</v>
      </c>
      <c r="M44" s="5"/>
    </row>
    <row r="45" customFormat="false" ht="15" hidden="false" customHeight="true" outlineLevel="0" collapsed="false">
      <c r="A45" s="10" t="n">
        <v>41</v>
      </c>
      <c r="B45" s="5" t="s">
        <v>180</v>
      </c>
      <c r="C45" s="5" t="s">
        <v>51</v>
      </c>
      <c r="D45" s="5" t="s">
        <v>21</v>
      </c>
      <c r="E45" s="5" t="s">
        <v>114</v>
      </c>
      <c r="F45" s="5" t="s">
        <v>181</v>
      </c>
      <c r="G45" s="5" t="s">
        <v>169</v>
      </c>
      <c r="H45" s="5" t="s">
        <v>74</v>
      </c>
      <c r="I45" s="10" t="s">
        <v>101</v>
      </c>
      <c r="J45" s="10" t="n">
        <v>2</v>
      </c>
      <c r="K45" s="10" t="n">
        <v>2</v>
      </c>
      <c r="L45" s="10" t="str">
        <f aca="false">IF(OR(J45="",H45="(belum memilih)",H45="(organik)"),"",IF(OR(H45="7 &amp; 8 Okt",H45="(kosong)",AND(H45="7 Okt",J45=1),AND(H45="8 Okt",J45=2)),"Ya","Tidak"))</f>
        <v/>
      </c>
      <c r="M45" s="5" t="s">
        <v>102</v>
      </c>
    </row>
    <row r="46" customFormat="false" ht="15" hidden="false" customHeight="true" outlineLevel="0" collapsed="false">
      <c r="A46" s="10" t="n">
        <v>42</v>
      </c>
      <c r="B46" s="5" t="s">
        <v>182</v>
      </c>
      <c r="C46" s="5" t="s">
        <v>63</v>
      </c>
      <c r="D46" s="5" t="s">
        <v>21</v>
      </c>
      <c r="E46" s="5" t="s">
        <v>183</v>
      </c>
      <c r="F46" s="5" t="s">
        <v>184</v>
      </c>
      <c r="G46" s="5" t="s">
        <v>185</v>
      </c>
      <c r="H46" s="5" t="s">
        <v>91</v>
      </c>
      <c r="I46" s="10" t="s">
        <v>71</v>
      </c>
      <c r="J46" s="10" t="n">
        <v>2</v>
      </c>
      <c r="K46" s="10" t="n">
        <v>2</v>
      </c>
      <c r="L46" s="10" t="str">
        <f aca="false">IF(OR(J46="",H46="(belum memilih)",H46="(organik)"),"",IF(OR(H46="7 &amp; 8 Okt",H46="(kosong)",AND(H46="7 Okt",J46=1),AND(H46="8 Okt",J46=2)),"Ya","Tidak"))</f>
        <v>Ya</v>
      </c>
      <c r="M46" s="5"/>
    </row>
    <row r="47" customFormat="false" ht="15" hidden="false" customHeight="true" outlineLevel="0" collapsed="false">
      <c r="A47" s="10" t="n">
        <v>43</v>
      </c>
      <c r="B47" s="5" t="s">
        <v>186</v>
      </c>
      <c r="C47" s="5" t="s">
        <v>51</v>
      </c>
      <c r="D47" s="5" t="s">
        <v>21</v>
      </c>
      <c r="E47" s="5" t="s">
        <v>187</v>
      </c>
      <c r="F47" s="5" t="s">
        <v>188</v>
      </c>
      <c r="G47" s="5" t="s">
        <v>185</v>
      </c>
      <c r="H47" s="5" t="s">
        <v>55</v>
      </c>
      <c r="I47" s="10" t="s">
        <v>71</v>
      </c>
      <c r="J47" s="10" t="n">
        <v>2</v>
      </c>
      <c r="K47" s="10" t="n">
        <v>2</v>
      </c>
      <c r="L47" s="10" t="str">
        <f aca="false">IF(OR(J47="",H47="(belum memilih)",H47="(organik)"),"",IF(OR(H47="7 &amp; 8 Okt",H47="(kosong)",AND(H47="7 Okt",J47=1),AND(H47="8 Okt",J47=2)),"Ya","Tidak"))</f>
        <v>Tidak</v>
      </c>
      <c r="M47" s="5"/>
    </row>
    <row r="48" customFormat="false" ht="15" hidden="false" customHeight="true" outlineLevel="0" collapsed="false">
      <c r="A48" s="10" t="n">
        <v>44</v>
      </c>
      <c r="B48" s="5" t="s">
        <v>189</v>
      </c>
      <c r="C48" s="5" t="s">
        <v>51</v>
      </c>
      <c r="D48" s="5" t="s">
        <v>21</v>
      </c>
      <c r="E48" s="5" t="s">
        <v>183</v>
      </c>
      <c r="F48" s="5" t="s">
        <v>190</v>
      </c>
      <c r="G48" s="5" t="s">
        <v>185</v>
      </c>
      <c r="H48" s="5" t="s">
        <v>91</v>
      </c>
      <c r="I48" s="10" t="s">
        <v>71</v>
      </c>
      <c r="J48" s="10" t="n">
        <v>2</v>
      </c>
      <c r="K48" s="10" t="n">
        <v>2</v>
      </c>
      <c r="L48" s="10" t="str">
        <f aca="false">IF(OR(J48="",H48="(belum memilih)",H48="(organik)"),"",IF(OR(H48="7 &amp; 8 Okt",H48="(kosong)",AND(H48="7 Okt",J48=1),AND(H48="8 Okt",J48=2)),"Ya","Tidak"))</f>
        <v>Ya</v>
      </c>
      <c r="M48" s="5"/>
    </row>
    <row r="49" customFormat="false" ht="15" hidden="false" customHeight="true" outlineLevel="0" collapsed="false">
      <c r="A49" s="10" t="n">
        <v>45</v>
      </c>
      <c r="B49" s="5" t="s">
        <v>191</v>
      </c>
      <c r="C49" s="5" t="s">
        <v>51</v>
      </c>
      <c r="D49" s="5" t="s">
        <v>21</v>
      </c>
      <c r="E49" s="5" t="s">
        <v>187</v>
      </c>
      <c r="F49" s="5" t="s">
        <v>192</v>
      </c>
      <c r="G49" s="5" t="s">
        <v>185</v>
      </c>
      <c r="H49" s="5" t="s">
        <v>55</v>
      </c>
      <c r="I49" s="10" t="s">
        <v>71</v>
      </c>
      <c r="J49" s="10" t="n">
        <v>2</v>
      </c>
      <c r="K49" s="10" t="n">
        <v>2</v>
      </c>
      <c r="L49" s="10" t="str">
        <f aca="false">IF(OR(J49="",H49="(belum memilih)",H49="(organik)"),"",IF(OR(H49="7 &amp; 8 Okt",H49="(kosong)",AND(H49="7 Okt",J49=1),AND(H49="8 Okt",J49=2)),"Ya","Tidak"))</f>
        <v>Tidak</v>
      </c>
      <c r="M49" s="5"/>
    </row>
    <row r="50" customFormat="false" ht="15" hidden="false" customHeight="true" outlineLevel="0" collapsed="false">
      <c r="A50" s="10" t="n">
        <v>46</v>
      </c>
      <c r="B50" s="5" t="s">
        <v>193</v>
      </c>
      <c r="C50" s="5" t="s">
        <v>51</v>
      </c>
      <c r="D50" s="5" t="s">
        <v>21</v>
      </c>
      <c r="E50" s="5" t="s">
        <v>183</v>
      </c>
      <c r="F50" s="5" t="s">
        <v>194</v>
      </c>
      <c r="G50" s="5" t="s">
        <v>185</v>
      </c>
      <c r="H50" s="5" t="s">
        <v>91</v>
      </c>
      <c r="I50" s="10" t="s">
        <v>71</v>
      </c>
      <c r="J50" s="10" t="n">
        <v>2</v>
      </c>
      <c r="K50" s="10" t="n">
        <v>2</v>
      </c>
      <c r="L50" s="10" t="str">
        <f aca="false">IF(OR(J50="",H50="(belum memilih)",H50="(organik)"),"",IF(OR(H50="7 &amp; 8 Okt",H50="(kosong)",AND(H50="7 Okt",J50=1),AND(H50="8 Okt",J50=2)),"Ya","Tidak"))</f>
        <v>Ya</v>
      </c>
      <c r="M50" s="5"/>
    </row>
    <row r="51" customFormat="false" ht="15" hidden="false" customHeight="true" outlineLevel="0" collapsed="false">
      <c r="A51" s="10" t="n">
        <v>47</v>
      </c>
      <c r="B51" s="5" t="s">
        <v>195</v>
      </c>
      <c r="C51" s="5" t="s">
        <v>51</v>
      </c>
      <c r="D51" s="5" t="s">
        <v>21</v>
      </c>
      <c r="E51" s="5" t="s">
        <v>178</v>
      </c>
      <c r="F51" s="5" t="s">
        <v>196</v>
      </c>
      <c r="G51" s="5" t="s">
        <v>185</v>
      </c>
      <c r="H51" s="5" t="s">
        <v>74</v>
      </c>
      <c r="I51" s="10" t="s">
        <v>101</v>
      </c>
      <c r="J51" s="10" t="n">
        <v>2</v>
      </c>
      <c r="K51" s="10" t="n">
        <v>2</v>
      </c>
      <c r="L51" s="10" t="str">
        <f aca="false">IF(OR(J51="",H51="(belum memilih)",H51="(organik)"),"",IF(OR(H51="7 &amp; 8 Okt",H51="(kosong)",AND(H51="7 Okt",J51=1),AND(H51="8 Okt",J51=2)),"Ya","Tidak"))</f>
        <v/>
      </c>
      <c r="M51" s="5" t="s">
        <v>197</v>
      </c>
    </row>
    <row r="52" customFormat="false" ht="15" hidden="false" customHeight="true" outlineLevel="0" collapsed="false">
      <c r="A52" s="10" t="n">
        <v>48</v>
      </c>
      <c r="B52" s="5" t="s">
        <v>198</v>
      </c>
      <c r="C52" s="5" t="s">
        <v>63</v>
      </c>
      <c r="D52" s="5" t="s">
        <v>23</v>
      </c>
      <c r="E52" s="5" t="s">
        <v>81</v>
      </c>
      <c r="F52" s="5" t="s">
        <v>199</v>
      </c>
      <c r="G52" s="5" t="s">
        <v>200</v>
      </c>
      <c r="H52" s="5" t="s">
        <v>83</v>
      </c>
      <c r="I52" s="10" t="s">
        <v>71</v>
      </c>
      <c r="J52" s="10" t="n">
        <v>2</v>
      </c>
      <c r="K52" s="10" t="n">
        <v>2</v>
      </c>
      <c r="L52" s="10" t="str">
        <f aca="false">IF(OR(J52="",H52="(belum memilih)",H52="(organik)"),"",IF(OR(H52="7 &amp; 8 Okt",H52="(kosong)",AND(H52="7 Okt",J52=1),AND(H52="8 Okt",J52=2)),"Ya","Tidak"))</f>
        <v>Ya</v>
      </c>
      <c r="M52" s="5"/>
    </row>
    <row r="53" customFormat="false" ht="15" hidden="false" customHeight="true" outlineLevel="0" collapsed="false">
      <c r="A53" s="10" t="n">
        <v>49</v>
      </c>
      <c r="B53" s="5" t="s">
        <v>201</v>
      </c>
      <c r="C53" s="5" t="s">
        <v>51</v>
      </c>
      <c r="D53" s="5" t="s">
        <v>29</v>
      </c>
      <c r="E53" s="5" t="s">
        <v>202</v>
      </c>
      <c r="F53" s="5" t="s">
        <v>203</v>
      </c>
      <c r="G53" s="5" t="s">
        <v>200</v>
      </c>
      <c r="H53" s="5" t="s">
        <v>91</v>
      </c>
      <c r="I53" s="10" t="s">
        <v>204</v>
      </c>
      <c r="J53" s="10" t="n">
        <v>2</v>
      </c>
      <c r="K53" s="10" t="n">
        <v>2</v>
      </c>
      <c r="L53" s="10" t="str">
        <f aca="false">IF(OR(J53="",H53="(belum memilih)",H53="(organik)"),"",IF(OR(H53="7 &amp; 8 Okt",H53="(kosong)",AND(H53="7 Okt",J53=1),AND(H53="8 Okt",J53=2)),"Ya","Tidak"))</f>
        <v>Ya</v>
      </c>
      <c r="M53" s="5"/>
    </row>
    <row r="54" customFormat="false" ht="15" hidden="false" customHeight="true" outlineLevel="0" collapsed="false">
      <c r="A54" s="10" t="n">
        <v>50</v>
      </c>
      <c r="B54" s="5" t="s">
        <v>205</v>
      </c>
      <c r="C54" s="5" t="s">
        <v>145</v>
      </c>
      <c r="D54" s="5" t="s">
        <v>24</v>
      </c>
      <c r="E54" s="5"/>
      <c r="F54" s="5"/>
      <c r="G54" s="5" t="s">
        <v>10</v>
      </c>
      <c r="H54" s="5" t="s">
        <v>75</v>
      </c>
      <c r="I54" s="10" t="s">
        <v>75</v>
      </c>
      <c r="J54" s="10" t="n">
        <v>2</v>
      </c>
      <c r="K54" s="10" t="n">
        <v>3</v>
      </c>
      <c r="L54" s="10" t="str">
        <f aca="false">IF(OR(J54="",H54="(belum memilih)",H54="(organik)"),"",IF(OR(H54="7 &amp; 8 Okt",H54="(kosong)",AND(H54="7 Okt",J54=1),AND(H54="8 Okt",J54=2)),"Ya","Tidak"))</f>
        <v/>
      </c>
      <c r="M54" s="5" t="s">
        <v>146</v>
      </c>
    </row>
    <row r="55" customFormat="false" ht="15" hidden="false" customHeight="true" outlineLevel="0" collapsed="false">
      <c r="A55" s="10" t="n">
        <v>51</v>
      </c>
      <c r="B55" s="5" t="s">
        <v>206</v>
      </c>
      <c r="C55" s="5" t="s">
        <v>145</v>
      </c>
      <c r="D55" s="5" t="s">
        <v>24</v>
      </c>
      <c r="E55" s="5"/>
      <c r="F55" s="5"/>
      <c r="G55" s="5" t="s">
        <v>10</v>
      </c>
      <c r="H55" s="5" t="s">
        <v>75</v>
      </c>
      <c r="I55" s="10" t="s">
        <v>75</v>
      </c>
      <c r="J55" s="10" t="n">
        <v>2</v>
      </c>
      <c r="K55" s="10" t="n">
        <v>3</v>
      </c>
      <c r="L55" s="10" t="str">
        <f aca="false">IF(OR(J55="",H55="(belum memilih)",H55="(organik)"),"",IF(OR(H55="7 &amp; 8 Okt",H55="(kosong)",AND(H55="7 Okt",J55=1),AND(H55="8 Okt",J55=2)),"Ya","Tidak"))</f>
        <v/>
      </c>
      <c r="M55" s="5" t="s">
        <v>146</v>
      </c>
    </row>
    <row r="56" customFormat="false" ht="15" hidden="false" customHeight="true" outlineLevel="0" collapsed="false">
      <c r="A56" s="10" t="n">
        <v>52</v>
      </c>
      <c r="B56" s="5" t="s">
        <v>207</v>
      </c>
      <c r="C56" s="5" t="s">
        <v>145</v>
      </c>
      <c r="D56" s="5" t="s">
        <v>208</v>
      </c>
      <c r="E56" s="5"/>
      <c r="F56" s="5"/>
      <c r="G56" s="5" t="s">
        <v>10</v>
      </c>
      <c r="H56" s="5" t="s">
        <v>75</v>
      </c>
      <c r="I56" s="10" t="s">
        <v>75</v>
      </c>
      <c r="J56" s="10" t="n">
        <v>2</v>
      </c>
      <c r="K56" s="10" t="n">
        <v>3</v>
      </c>
      <c r="L56" s="10" t="str">
        <f aca="false">IF(OR(J56="",H56="(belum memilih)",H56="(organik)"),"",IF(OR(H56="7 &amp; 8 Okt",H56="(kosong)",AND(H56="7 Okt",J56=1),AND(H56="8 Okt",J56=2)),"Ya","Tidak"))</f>
        <v/>
      </c>
      <c r="M56" s="5" t="s">
        <v>146</v>
      </c>
    </row>
    <row r="57" customFormat="false" ht="15" hidden="false" customHeight="true" outlineLevel="0" collapsed="false">
      <c r="A57" s="10" t="n">
        <v>53</v>
      </c>
      <c r="B57" s="5" t="s">
        <v>209</v>
      </c>
      <c r="C57" s="5" t="s">
        <v>63</v>
      </c>
      <c r="D57" s="5" t="s">
        <v>29</v>
      </c>
      <c r="E57" s="5" t="s">
        <v>210</v>
      </c>
      <c r="F57" s="5" t="s">
        <v>211</v>
      </c>
      <c r="G57" s="5" t="s">
        <v>212</v>
      </c>
      <c r="H57" s="5" t="s">
        <v>91</v>
      </c>
      <c r="I57" s="10" t="s">
        <v>71</v>
      </c>
      <c r="J57" s="10" t="n">
        <v>2</v>
      </c>
      <c r="K57" s="10" t="n">
        <v>3</v>
      </c>
      <c r="L57" s="10" t="str">
        <f aca="false">IF(OR(J57="",H57="(belum memilih)",H57="(organik)"),"",IF(OR(H57="7 &amp; 8 Okt",H57="(kosong)",AND(H57="7 Okt",J57=1),AND(H57="8 Okt",J57=2)),"Ya","Tidak"))</f>
        <v>Ya</v>
      </c>
      <c r="M57" s="5"/>
    </row>
    <row r="58" customFormat="false" ht="15" hidden="false" customHeight="true" outlineLevel="0" collapsed="false">
      <c r="A58" s="10" t="n">
        <v>54</v>
      </c>
      <c r="B58" s="5" t="s">
        <v>213</v>
      </c>
      <c r="C58" s="5" t="s">
        <v>51</v>
      </c>
      <c r="D58" s="5" t="s">
        <v>29</v>
      </c>
      <c r="E58" s="5" t="s">
        <v>214</v>
      </c>
      <c r="F58" s="5" t="s">
        <v>215</v>
      </c>
      <c r="G58" s="5" t="s">
        <v>212</v>
      </c>
      <c r="H58" s="5" t="s">
        <v>91</v>
      </c>
      <c r="I58" s="10" t="s">
        <v>162</v>
      </c>
      <c r="J58" s="10" t="n">
        <v>2</v>
      </c>
      <c r="K58" s="10" t="n">
        <v>3</v>
      </c>
      <c r="L58" s="10" t="str">
        <f aca="false">IF(OR(J58="",H58="(belum memilih)",H58="(organik)"),"",IF(OR(H58="7 &amp; 8 Okt",H58="(kosong)",AND(H58="7 Okt",J58=1),AND(H58="8 Okt",J58=2)),"Ya","Tidak"))</f>
        <v>Ya</v>
      </c>
      <c r="M58" s="5"/>
    </row>
    <row r="59" customFormat="false" ht="15" hidden="false" customHeight="true" outlineLevel="0" collapsed="false">
      <c r="A59" s="10" t="n">
        <v>55</v>
      </c>
      <c r="B59" s="5" t="s">
        <v>216</v>
      </c>
      <c r="C59" s="5" t="s">
        <v>51</v>
      </c>
      <c r="D59" s="5" t="s">
        <v>29</v>
      </c>
      <c r="E59" s="5" t="s">
        <v>210</v>
      </c>
      <c r="F59" s="5" t="s">
        <v>217</v>
      </c>
      <c r="G59" s="5" t="s">
        <v>212</v>
      </c>
      <c r="H59" s="5" t="s">
        <v>91</v>
      </c>
      <c r="I59" s="10" t="s">
        <v>106</v>
      </c>
      <c r="J59" s="10" t="n">
        <v>2</v>
      </c>
      <c r="K59" s="10" t="n">
        <v>3</v>
      </c>
      <c r="L59" s="10" t="str">
        <f aca="false">IF(OR(J59="",H59="(belum memilih)",H59="(organik)"),"",IF(OR(H59="7 &amp; 8 Okt",H59="(kosong)",AND(H59="7 Okt",J59=1),AND(H59="8 Okt",J59=2)),"Ya","Tidak"))</f>
        <v>Ya</v>
      </c>
      <c r="M59" s="5"/>
    </row>
    <row r="60" customFormat="false" ht="15" hidden="false" customHeight="true" outlineLevel="0" collapsed="false">
      <c r="A60" s="10" t="n">
        <v>56</v>
      </c>
      <c r="B60" s="5" t="s">
        <v>218</v>
      </c>
      <c r="C60" s="5" t="s">
        <v>51</v>
      </c>
      <c r="D60" s="5" t="s">
        <v>29</v>
      </c>
      <c r="E60" s="5" t="s">
        <v>210</v>
      </c>
      <c r="F60" s="5" t="s">
        <v>219</v>
      </c>
      <c r="G60" s="5" t="s">
        <v>212</v>
      </c>
      <c r="H60" s="5" t="s">
        <v>91</v>
      </c>
      <c r="I60" s="10" t="s">
        <v>71</v>
      </c>
      <c r="J60" s="10" t="n">
        <v>2</v>
      </c>
      <c r="K60" s="10" t="n">
        <v>3</v>
      </c>
      <c r="L60" s="10" t="str">
        <f aca="false">IF(OR(J60="",H60="(belum memilih)",H60="(organik)"),"",IF(OR(H60="7 &amp; 8 Okt",H60="(kosong)",AND(H60="7 Okt",J60=1),AND(H60="8 Okt",J60=2)),"Ya","Tidak"))</f>
        <v>Ya</v>
      </c>
      <c r="M60" s="5"/>
    </row>
    <row r="61" customFormat="false" ht="15" hidden="false" customHeight="true" outlineLevel="0" collapsed="false">
      <c r="A61" s="10" t="n">
        <v>57</v>
      </c>
      <c r="B61" s="5" t="s">
        <v>220</v>
      </c>
      <c r="C61" s="5" t="s">
        <v>63</v>
      </c>
      <c r="D61" s="5" t="s">
        <v>24</v>
      </c>
      <c r="E61" s="5" t="s">
        <v>171</v>
      </c>
      <c r="F61" s="5" t="s">
        <v>221</v>
      </c>
      <c r="G61" s="5" t="s">
        <v>222</v>
      </c>
      <c r="H61" s="5" t="s">
        <v>91</v>
      </c>
      <c r="I61" s="10" t="s">
        <v>71</v>
      </c>
      <c r="J61" s="10" t="n">
        <v>2</v>
      </c>
      <c r="K61" s="10" t="n">
        <v>3</v>
      </c>
      <c r="L61" s="10" t="str">
        <f aca="false">IF(OR(J61="",H61="(belum memilih)",H61="(organik)"),"",IF(OR(H61="7 &amp; 8 Okt",H61="(kosong)",AND(H61="7 Okt",J61=1),AND(H61="8 Okt",J61=2)),"Ya","Tidak"))</f>
        <v>Ya</v>
      </c>
      <c r="M61" s="5"/>
    </row>
    <row r="62" customFormat="false" ht="15" hidden="false" customHeight="true" outlineLevel="0" collapsed="false">
      <c r="A62" s="10" t="n">
        <v>58</v>
      </c>
      <c r="B62" s="5" t="s">
        <v>223</v>
      </c>
      <c r="C62" s="5" t="s">
        <v>51</v>
      </c>
      <c r="D62" s="5" t="s">
        <v>21</v>
      </c>
      <c r="E62" s="5" t="s">
        <v>178</v>
      </c>
      <c r="F62" s="5" t="s">
        <v>224</v>
      </c>
      <c r="G62" s="5" t="s">
        <v>222</v>
      </c>
      <c r="H62" s="5" t="s">
        <v>91</v>
      </c>
      <c r="I62" s="10" t="s">
        <v>71</v>
      </c>
      <c r="J62" s="10" t="n">
        <v>2</v>
      </c>
      <c r="K62" s="10" t="n">
        <v>3</v>
      </c>
      <c r="L62" s="10" t="str">
        <f aca="false">IF(OR(J62="",H62="(belum memilih)",H62="(organik)"),"",IF(OR(H62="7 &amp; 8 Okt",H62="(kosong)",AND(H62="7 Okt",J62=1),AND(H62="8 Okt",J62=2)),"Ya","Tidak"))</f>
        <v>Ya</v>
      </c>
      <c r="M62" s="5"/>
    </row>
    <row r="63" customFormat="false" ht="15" hidden="false" customHeight="true" outlineLevel="0" collapsed="false">
      <c r="A63" s="10" t="n">
        <v>59</v>
      </c>
      <c r="B63" s="5" t="s">
        <v>225</v>
      </c>
      <c r="C63" s="5" t="s">
        <v>51</v>
      </c>
      <c r="D63" s="5" t="s">
        <v>21</v>
      </c>
      <c r="E63" s="5" t="s">
        <v>178</v>
      </c>
      <c r="F63" s="5" t="s">
        <v>226</v>
      </c>
      <c r="G63" s="5" t="s">
        <v>222</v>
      </c>
      <c r="H63" s="5" t="s">
        <v>91</v>
      </c>
      <c r="I63" s="10" t="s">
        <v>71</v>
      </c>
      <c r="J63" s="10" t="n">
        <v>2</v>
      </c>
      <c r="K63" s="10" t="n">
        <v>3</v>
      </c>
      <c r="L63" s="10" t="str">
        <f aca="false">IF(OR(J63="",H63="(belum memilih)",H63="(organik)"),"",IF(OR(H63="7 &amp; 8 Okt",H63="(kosong)",AND(H63="7 Okt",J63=1),AND(H63="8 Okt",J63=2)),"Ya","Tidak"))</f>
        <v>Ya</v>
      </c>
      <c r="M63" s="5"/>
    </row>
    <row r="64" customFormat="false" ht="15" hidden="false" customHeight="true" outlineLevel="0" collapsed="false">
      <c r="A64" s="10" t="n">
        <v>60</v>
      </c>
      <c r="B64" s="5" t="s">
        <v>227</v>
      </c>
      <c r="C64" s="5" t="s">
        <v>51</v>
      </c>
      <c r="D64" s="5" t="s">
        <v>21</v>
      </c>
      <c r="E64" s="5" t="s">
        <v>187</v>
      </c>
      <c r="F64" s="5" t="s">
        <v>228</v>
      </c>
      <c r="G64" s="5" t="s">
        <v>222</v>
      </c>
      <c r="H64" s="5" t="s">
        <v>55</v>
      </c>
      <c r="I64" s="10" t="s">
        <v>71</v>
      </c>
      <c r="J64" s="10" t="n">
        <v>2</v>
      </c>
      <c r="K64" s="10" t="n">
        <v>3</v>
      </c>
      <c r="L64" s="10" t="str">
        <f aca="false">IF(OR(J64="",H64="(belum memilih)",H64="(organik)"),"",IF(OR(H64="7 &amp; 8 Okt",H64="(kosong)",AND(H64="7 Okt",J64=1),AND(H64="8 Okt",J64=2)),"Ya","Tidak"))</f>
        <v>Tidak</v>
      </c>
      <c r="M64" s="5"/>
    </row>
    <row r="65" customFormat="false" ht="15" hidden="false" customHeight="true" outlineLevel="0" collapsed="false">
      <c r="A65" s="10" t="n">
        <v>61</v>
      </c>
      <c r="B65" s="5" t="s">
        <v>229</v>
      </c>
      <c r="C65" s="5" t="s">
        <v>51</v>
      </c>
      <c r="D65" s="5" t="s">
        <v>21</v>
      </c>
      <c r="E65" s="5" t="s">
        <v>178</v>
      </c>
      <c r="F65" s="5" t="s">
        <v>230</v>
      </c>
      <c r="G65" s="5" t="s">
        <v>222</v>
      </c>
      <c r="H65" s="5" t="s">
        <v>55</v>
      </c>
      <c r="I65" s="10" t="s">
        <v>116</v>
      </c>
      <c r="J65" s="10" t="n">
        <v>2</v>
      </c>
      <c r="K65" s="10" t="n">
        <v>3</v>
      </c>
      <c r="L65" s="10" t="str">
        <f aca="false">IF(OR(J65="",H65="(belum memilih)",H65="(organik)"),"",IF(OR(H65="7 &amp; 8 Okt",H65="(kosong)",AND(H65="7 Okt",J65=1),AND(H65="8 Okt",J65=2)),"Ya","Tidak"))</f>
        <v>Tidak</v>
      </c>
      <c r="M65" s="5"/>
    </row>
    <row r="66" customFormat="false" ht="15" hidden="false" customHeight="true" outlineLevel="0" collapsed="false">
      <c r="A66" s="10" t="n">
        <v>62</v>
      </c>
      <c r="B66" s="5" t="s">
        <v>231</v>
      </c>
      <c r="C66" s="5" t="s">
        <v>63</v>
      </c>
      <c r="D66" s="5" t="s">
        <v>24</v>
      </c>
      <c r="E66" s="5" t="s">
        <v>118</v>
      </c>
      <c r="F66" s="5" t="s">
        <v>232</v>
      </c>
      <c r="G66" s="5" t="s">
        <v>233</v>
      </c>
      <c r="H66" s="5" t="s">
        <v>91</v>
      </c>
      <c r="I66" s="10" t="s">
        <v>234</v>
      </c>
      <c r="J66" s="10" t="n">
        <v>2</v>
      </c>
      <c r="K66" s="10" t="n">
        <v>3</v>
      </c>
      <c r="L66" s="10" t="str">
        <f aca="false">IF(OR(J66="",H66="(belum memilih)",H66="(organik)"),"",IF(OR(H66="7 &amp; 8 Okt",H66="(kosong)",AND(H66="7 Okt",J66=1),AND(H66="8 Okt",J66=2)),"Ya","Tidak"))</f>
        <v>Ya</v>
      </c>
      <c r="M66" s="5"/>
    </row>
    <row r="67" customFormat="false" ht="15" hidden="false" customHeight="true" outlineLevel="0" collapsed="false">
      <c r="A67" s="10" t="n">
        <v>63</v>
      </c>
      <c r="B67" s="5" t="s">
        <v>235</v>
      </c>
      <c r="C67" s="5" t="s">
        <v>51</v>
      </c>
      <c r="D67" s="5" t="s">
        <v>24</v>
      </c>
      <c r="E67" s="5" t="s">
        <v>236</v>
      </c>
      <c r="F67" s="5" t="s">
        <v>237</v>
      </c>
      <c r="G67" s="5" t="s">
        <v>233</v>
      </c>
      <c r="H67" s="5" t="s">
        <v>83</v>
      </c>
      <c r="I67" s="10" t="s">
        <v>234</v>
      </c>
      <c r="J67" s="10" t="n">
        <v>2</v>
      </c>
      <c r="K67" s="10" t="n">
        <v>3</v>
      </c>
      <c r="L67" s="10" t="str">
        <f aca="false">IF(OR(J67="",H67="(belum memilih)",H67="(organik)"),"",IF(OR(H67="7 &amp; 8 Okt",H67="(kosong)",AND(H67="7 Okt",J67=1),AND(H67="8 Okt",J67=2)),"Ya","Tidak"))</f>
        <v>Ya</v>
      </c>
      <c r="M67" s="5"/>
    </row>
    <row r="68" customFormat="false" ht="15" hidden="false" customHeight="true" outlineLevel="0" collapsed="false">
      <c r="A68" s="10" t="n">
        <v>64</v>
      </c>
      <c r="B68" s="5" t="s">
        <v>238</v>
      </c>
      <c r="C68" s="5" t="s">
        <v>51</v>
      </c>
      <c r="D68" s="5" t="s">
        <v>22</v>
      </c>
      <c r="E68" s="5" t="s">
        <v>239</v>
      </c>
      <c r="F68" s="5" t="s">
        <v>240</v>
      </c>
      <c r="G68" s="5" t="s">
        <v>233</v>
      </c>
      <c r="H68" s="5" t="s">
        <v>55</v>
      </c>
      <c r="I68" s="10" t="s">
        <v>71</v>
      </c>
      <c r="J68" s="10" t="n">
        <v>2</v>
      </c>
      <c r="K68" s="10" t="n">
        <v>3</v>
      </c>
      <c r="L68" s="10" t="str">
        <f aca="false">IF(OR(J68="",H68="(belum memilih)",H68="(organik)"),"",IF(OR(H68="7 &amp; 8 Okt",H68="(kosong)",AND(H68="7 Okt",J68=1),AND(H68="8 Okt",J68=2)),"Ya","Tidak"))</f>
        <v>Tidak</v>
      </c>
      <c r="M68" s="5"/>
    </row>
    <row r="69" customFormat="false" ht="15" hidden="false" customHeight="true" outlineLevel="0" collapsed="false">
      <c r="A69" s="10" t="n">
        <v>65</v>
      </c>
      <c r="B69" s="5" t="s">
        <v>241</v>
      </c>
      <c r="C69" s="5" t="s">
        <v>51</v>
      </c>
      <c r="D69" s="5" t="s">
        <v>24</v>
      </c>
      <c r="E69" s="5" t="s">
        <v>242</v>
      </c>
      <c r="F69" s="5" t="s">
        <v>243</v>
      </c>
      <c r="G69" s="5" t="s">
        <v>233</v>
      </c>
      <c r="H69" s="5" t="s">
        <v>91</v>
      </c>
      <c r="I69" s="10" t="s">
        <v>121</v>
      </c>
      <c r="J69" s="10" t="n">
        <v>2</v>
      </c>
      <c r="K69" s="10" t="n">
        <v>3</v>
      </c>
      <c r="L69" s="10" t="str">
        <f aca="false">IF(OR(J69="",H69="(belum memilih)",H69="(organik)"),"",IF(OR(H69="7 &amp; 8 Okt",H69="(kosong)",AND(H69="7 Okt",J69=1),AND(H69="8 Okt",J69=2)),"Ya","Tidak"))</f>
        <v>Ya</v>
      </c>
      <c r="M69" s="5"/>
    </row>
    <row r="70" customFormat="false" ht="15" hidden="false" customHeight="true" outlineLevel="0" collapsed="false">
      <c r="A70" s="10" t="n">
        <v>66</v>
      </c>
      <c r="B70" s="5" t="s">
        <v>244</v>
      </c>
      <c r="C70" s="5" t="s">
        <v>51</v>
      </c>
      <c r="D70" s="5" t="s">
        <v>24</v>
      </c>
      <c r="E70" s="5" t="s">
        <v>69</v>
      </c>
      <c r="F70" s="5" t="s">
        <v>245</v>
      </c>
      <c r="G70" s="5" t="s">
        <v>233</v>
      </c>
      <c r="H70" s="5" t="s">
        <v>91</v>
      </c>
      <c r="I70" s="10" t="s">
        <v>71</v>
      </c>
      <c r="J70" s="10" t="n">
        <v>2</v>
      </c>
      <c r="K70" s="10" t="n">
        <v>3</v>
      </c>
      <c r="L70" s="10" t="str">
        <f aca="false">IF(OR(J70="",H70="(belum memilih)",H70="(organik)"),"",IF(OR(H70="7 &amp; 8 Okt",H70="(kosong)",AND(H70="7 Okt",J70=1),AND(H70="8 Okt",J70=2)),"Ya","Tidak"))</f>
        <v>Ya</v>
      </c>
      <c r="M70" s="5"/>
    </row>
    <row r="71" customFormat="false" ht="15" hidden="false" customHeight="true" outlineLevel="0" collapsed="false">
      <c r="A71" s="10" t="n">
        <v>67</v>
      </c>
      <c r="B71" s="5" t="s">
        <v>246</v>
      </c>
      <c r="C71" s="5" t="s">
        <v>63</v>
      </c>
      <c r="D71" s="5" t="s">
        <v>24</v>
      </c>
      <c r="E71" s="5" t="s">
        <v>118</v>
      </c>
      <c r="F71" s="5" t="s">
        <v>247</v>
      </c>
      <c r="G71" s="5" t="s">
        <v>248</v>
      </c>
      <c r="H71" s="5" t="s">
        <v>83</v>
      </c>
      <c r="I71" s="10" t="s">
        <v>106</v>
      </c>
      <c r="J71" s="10" t="n">
        <v>2</v>
      </c>
      <c r="K71" s="10" t="n">
        <v>3</v>
      </c>
      <c r="L71" s="10" t="str">
        <f aca="false">IF(OR(J71="",H71="(belum memilih)",H71="(organik)"),"",IF(OR(H71="7 &amp; 8 Okt",H71="(kosong)",AND(H71="7 Okt",J71=1),AND(H71="8 Okt",J71=2)),"Ya","Tidak"))</f>
        <v>Ya</v>
      </c>
      <c r="M71" s="5"/>
    </row>
    <row r="72" customFormat="false" ht="15" hidden="false" customHeight="true" outlineLevel="0" collapsed="false">
      <c r="A72" s="10" t="n">
        <v>68</v>
      </c>
      <c r="B72" s="5" t="s">
        <v>249</v>
      </c>
      <c r="C72" s="5" t="s">
        <v>51</v>
      </c>
      <c r="D72" s="5" t="s">
        <v>21</v>
      </c>
      <c r="E72" s="5" t="s">
        <v>114</v>
      </c>
      <c r="F72" s="5" t="s">
        <v>250</v>
      </c>
      <c r="G72" s="5" t="s">
        <v>248</v>
      </c>
      <c r="H72" s="5" t="s">
        <v>91</v>
      </c>
      <c r="I72" s="10" t="s">
        <v>251</v>
      </c>
      <c r="J72" s="10" t="n">
        <v>2</v>
      </c>
      <c r="K72" s="10" t="n">
        <v>3</v>
      </c>
      <c r="L72" s="10" t="str">
        <f aca="false">IF(OR(J72="",H72="(belum memilih)",H72="(organik)"),"",IF(OR(H72="7 &amp; 8 Okt",H72="(kosong)",AND(H72="7 Okt",J72=1),AND(H72="8 Okt",J72=2)),"Ya","Tidak"))</f>
        <v>Ya</v>
      </c>
      <c r="M72" s="5"/>
    </row>
    <row r="73" customFormat="false" ht="15" hidden="false" customHeight="true" outlineLevel="0" collapsed="false">
      <c r="A73" s="10" t="n">
        <v>69</v>
      </c>
      <c r="B73" s="5" t="s">
        <v>252</v>
      </c>
      <c r="C73" s="5" t="s">
        <v>51</v>
      </c>
      <c r="D73" s="5" t="s">
        <v>22</v>
      </c>
      <c r="E73" s="5" t="s">
        <v>239</v>
      </c>
      <c r="F73" s="5" t="s">
        <v>253</v>
      </c>
      <c r="G73" s="5" t="s">
        <v>248</v>
      </c>
      <c r="H73" s="5" t="s">
        <v>83</v>
      </c>
      <c r="I73" s="10" t="s">
        <v>116</v>
      </c>
      <c r="J73" s="10" t="n">
        <v>2</v>
      </c>
      <c r="K73" s="10" t="n">
        <v>3</v>
      </c>
      <c r="L73" s="10" t="str">
        <f aca="false">IF(OR(J73="",H73="(belum memilih)",H73="(organik)"),"",IF(OR(H73="7 &amp; 8 Okt",H73="(kosong)",AND(H73="7 Okt",J73=1),AND(H73="8 Okt",J73=2)),"Ya","Tidak"))</f>
        <v>Ya</v>
      </c>
      <c r="M73" s="5"/>
    </row>
    <row r="74" customFormat="false" ht="15" hidden="false" customHeight="true" outlineLevel="0" collapsed="false">
      <c r="A74" s="10" t="n">
        <v>70</v>
      </c>
      <c r="B74" s="5" t="s">
        <v>254</v>
      </c>
      <c r="C74" s="5" t="s">
        <v>51</v>
      </c>
      <c r="D74" s="5" t="s">
        <v>24</v>
      </c>
      <c r="E74" s="5" t="s">
        <v>69</v>
      </c>
      <c r="F74" s="5" t="s">
        <v>255</v>
      </c>
      <c r="G74" s="5" t="s">
        <v>248</v>
      </c>
      <c r="H74" s="5" t="s">
        <v>91</v>
      </c>
      <c r="I74" s="10" t="s">
        <v>71</v>
      </c>
      <c r="J74" s="10" t="n">
        <v>2</v>
      </c>
      <c r="K74" s="10" t="n">
        <v>3</v>
      </c>
      <c r="L74" s="10" t="str">
        <f aca="false">IF(OR(J74="",H74="(belum memilih)",H74="(organik)"),"",IF(OR(H74="7 &amp; 8 Okt",H74="(kosong)",AND(H74="7 Okt",J74=1),AND(H74="8 Okt",J74=2)),"Ya","Tidak"))</f>
        <v>Ya</v>
      </c>
      <c r="M74" s="5"/>
    </row>
    <row r="75" customFormat="false" ht="15" hidden="false" customHeight="true" outlineLevel="0" collapsed="false">
      <c r="A75" s="10" t="n">
        <v>71</v>
      </c>
      <c r="B75" s="5" t="s">
        <v>256</v>
      </c>
      <c r="C75" s="5" t="s">
        <v>51</v>
      </c>
      <c r="D75" s="5" t="s">
        <v>24</v>
      </c>
      <c r="E75" s="5" t="s">
        <v>242</v>
      </c>
      <c r="F75" s="5" t="s">
        <v>257</v>
      </c>
      <c r="G75" s="5" t="s">
        <v>248</v>
      </c>
      <c r="H75" s="5" t="s">
        <v>74</v>
      </c>
      <c r="I75" s="10" t="s">
        <v>101</v>
      </c>
      <c r="J75" s="10" t="n">
        <v>2</v>
      </c>
      <c r="K75" s="10" t="n">
        <v>3</v>
      </c>
      <c r="L75" s="10" t="str">
        <f aca="false">IF(OR(J75="",H75="(belum memilih)",H75="(organik)"),"",IF(OR(H75="7 &amp; 8 Okt",H75="(kosong)",AND(H75="7 Okt",J75=1),AND(H75="8 Okt",J75=2)),"Ya","Tidak"))</f>
        <v/>
      </c>
      <c r="M75" s="5" t="s">
        <v>102</v>
      </c>
    </row>
    <row r="76" customFormat="false" ht="15" hidden="false" customHeight="true" outlineLevel="0" collapsed="false">
      <c r="A76" s="10" t="n">
        <v>72</v>
      </c>
      <c r="B76" s="5" t="s">
        <v>258</v>
      </c>
      <c r="C76" s="5" t="s">
        <v>145</v>
      </c>
      <c r="D76" s="5" t="s">
        <v>24</v>
      </c>
      <c r="E76" s="5"/>
      <c r="F76" s="5"/>
      <c r="G76" s="5" t="s">
        <v>10</v>
      </c>
      <c r="H76" s="5" t="s">
        <v>75</v>
      </c>
      <c r="I76" s="10" t="s">
        <v>75</v>
      </c>
      <c r="J76" s="10" t="n">
        <v>2</v>
      </c>
      <c r="K76" s="10" t="n">
        <v>4</v>
      </c>
      <c r="L76" s="10" t="str">
        <f aca="false">IF(OR(J76="",H76="(belum memilih)",H76="(organik)"),"",IF(OR(H76="7 &amp; 8 Okt",H76="(kosong)",AND(H76="7 Okt",J76=1),AND(H76="8 Okt",J76=2)),"Ya","Tidak"))</f>
        <v/>
      </c>
      <c r="M76" s="5" t="s">
        <v>146</v>
      </c>
    </row>
    <row r="77" customFormat="false" ht="15" hidden="false" customHeight="true" outlineLevel="0" collapsed="false">
      <c r="A77" s="10" t="n">
        <v>73</v>
      </c>
      <c r="B77" s="5" t="s">
        <v>259</v>
      </c>
      <c r="C77" s="5" t="s">
        <v>145</v>
      </c>
      <c r="D77" s="5" t="s">
        <v>24</v>
      </c>
      <c r="E77" s="5"/>
      <c r="F77" s="5"/>
      <c r="G77" s="5" t="s">
        <v>10</v>
      </c>
      <c r="H77" s="5" t="s">
        <v>75</v>
      </c>
      <c r="I77" s="10" t="s">
        <v>75</v>
      </c>
      <c r="J77" s="10" t="n">
        <v>2</v>
      </c>
      <c r="K77" s="10" t="n">
        <v>4</v>
      </c>
      <c r="L77" s="10" t="str">
        <f aca="false">IF(OR(J77="",H77="(belum memilih)",H77="(organik)"),"",IF(OR(H77="7 &amp; 8 Okt",H77="(kosong)",AND(H77="7 Okt",J77=1),AND(H77="8 Okt",J77=2)),"Ya","Tidak"))</f>
        <v/>
      </c>
      <c r="M77" s="5" t="s">
        <v>146</v>
      </c>
    </row>
    <row r="78" customFormat="false" ht="15" hidden="false" customHeight="true" outlineLevel="0" collapsed="false">
      <c r="A78" s="10" t="n">
        <v>74</v>
      </c>
      <c r="B78" s="5" t="s">
        <v>260</v>
      </c>
      <c r="C78" s="5" t="s">
        <v>145</v>
      </c>
      <c r="D78" s="5" t="s">
        <v>208</v>
      </c>
      <c r="E78" s="5"/>
      <c r="F78" s="5"/>
      <c r="G78" s="5" t="s">
        <v>10</v>
      </c>
      <c r="H78" s="5" t="s">
        <v>75</v>
      </c>
      <c r="I78" s="10" t="s">
        <v>75</v>
      </c>
      <c r="J78" s="10" t="n">
        <v>2</v>
      </c>
      <c r="K78" s="10" t="n">
        <v>4</v>
      </c>
      <c r="L78" s="10" t="str">
        <f aca="false">IF(OR(J78="",H78="(belum memilih)",H78="(organik)"),"",IF(OR(H78="7 &amp; 8 Okt",H78="(kosong)",AND(H78="7 Okt",J78=1),AND(H78="8 Okt",J78=2)),"Ya","Tidak"))</f>
        <v/>
      </c>
      <c r="M78" s="5" t="s">
        <v>146</v>
      </c>
    </row>
    <row r="79" customFormat="false" ht="15" hidden="false" customHeight="true" outlineLevel="0" collapsed="false">
      <c r="A79" s="10" t="n">
        <v>75</v>
      </c>
      <c r="B79" s="5" t="s">
        <v>261</v>
      </c>
      <c r="C79" s="5" t="s">
        <v>51</v>
      </c>
      <c r="D79" s="5" t="s">
        <v>23</v>
      </c>
      <c r="E79" s="5" t="s">
        <v>81</v>
      </c>
      <c r="F79" s="5" t="s">
        <v>262</v>
      </c>
      <c r="G79" s="5" t="s">
        <v>54</v>
      </c>
      <c r="H79" s="5" t="s">
        <v>83</v>
      </c>
      <c r="I79" s="10" t="s">
        <v>162</v>
      </c>
      <c r="J79" s="10" t="n">
        <v>2</v>
      </c>
      <c r="K79" s="10" t="n">
        <v>4</v>
      </c>
      <c r="L79" s="10" t="str">
        <f aca="false">IF(OR(J79="",H79="(belum memilih)",H79="(organik)"),"",IF(OR(H79="7 &amp; 8 Okt",H79="(kosong)",AND(H79="7 Okt",J79=1),AND(H79="8 Okt",J79=2)),"Ya","Tidak"))</f>
        <v>Ya</v>
      </c>
      <c r="M79" s="5" t="s">
        <v>57</v>
      </c>
    </row>
    <row r="80" customFormat="false" ht="15" hidden="false" customHeight="true" outlineLevel="0" collapsed="false">
      <c r="A80" s="10" t="n">
        <v>76</v>
      </c>
      <c r="B80" s="5" t="s">
        <v>263</v>
      </c>
      <c r="C80" s="5" t="s">
        <v>63</v>
      </c>
      <c r="D80" s="5" t="s">
        <v>21</v>
      </c>
      <c r="E80" s="5"/>
      <c r="F80" s="5"/>
      <c r="G80" s="5" t="s">
        <v>264</v>
      </c>
      <c r="H80" s="5" t="s">
        <v>74</v>
      </c>
      <c r="I80" s="10" t="s">
        <v>75</v>
      </c>
      <c r="J80" s="10" t="n">
        <v>2</v>
      </c>
      <c r="K80" s="10" t="n">
        <v>4</v>
      </c>
      <c r="L80" s="10" t="str">
        <f aca="false">IF(OR(J80="",H80="(belum memilih)",H80="(organik)"),"",IF(OR(H80="7 &amp; 8 Okt",H80="(kosong)",AND(H80="7 Okt",J80=1),AND(H80="8 Okt",J80=2)),"Ya","Tidak"))</f>
        <v/>
      </c>
      <c r="M80" s="5" t="s">
        <v>76</v>
      </c>
    </row>
    <row r="81" customFormat="false" ht="15" hidden="false" customHeight="true" outlineLevel="0" collapsed="false">
      <c r="A81" s="10" t="n">
        <v>77</v>
      </c>
      <c r="B81" s="5" t="s">
        <v>265</v>
      </c>
      <c r="C81" s="5" t="s">
        <v>51</v>
      </c>
      <c r="D81" s="5" t="s">
        <v>27</v>
      </c>
      <c r="E81" s="5" t="s">
        <v>266</v>
      </c>
      <c r="F81" s="5" t="s">
        <v>267</v>
      </c>
      <c r="G81" s="5" t="s">
        <v>264</v>
      </c>
      <c r="H81" s="5" t="s">
        <v>83</v>
      </c>
      <c r="I81" s="10" t="s">
        <v>268</v>
      </c>
      <c r="J81" s="10" t="n">
        <v>2</v>
      </c>
      <c r="K81" s="10" t="n">
        <v>4</v>
      </c>
      <c r="L81" s="10" t="str">
        <f aca="false">IF(OR(J81="",H81="(belum memilih)",H81="(organik)"),"",IF(OR(H81="7 &amp; 8 Okt",H81="(kosong)",AND(H81="7 Okt",J81=1),AND(H81="8 Okt",J81=2)),"Ya","Tidak"))</f>
        <v>Ya</v>
      </c>
      <c r="M81" s="5"/>
    </row>
    <row r="82" customFormat="false" ht="15" hidden="false" customHeight="true" outlineLevel="0" collapsed="false">
      <c r="A82" s="10" t="n">
        <v>78</v>
      </c>
      <c r="B82" s="5" t="s">
        <v>269</v>
      </c>
      <c r="C82" s="5" t="s">
        <v>51</v>
      </c>
      <c r="D82" s="5" t="s">
        <v>25</v>
      </c>
      <c r="E82" s="5" t="s">
        <v>270</v>
      </c>
      <c r="F82" s="5" t="s">
        <v>271</v>
      </c>
      <c r="G82" s="5" t="s">
        <v>264</v>
      </c>
      <c r="H82" s="5" t="s">
        <v>83</v>
      </c>
      <c r="I82" s="10" t="s">
        <v>71</v>
      </c>
      <c r="J82" s="10" t="n">
        <v>2</v>
      </c>
      <c r="K82" s="10" t="n">
        <v>4</v>
      </c>
      <c r="L82" s="10" t="str">
        <f aca="false">IF(OR(J82="",H82="(belum memilih)",H82="(organik)"),"",IF(OR(H82="7 &amp; 8 Okt",H82="(kosong)",AND(H82="7 Okt",J82=1),AND(H82="8 Okt",J82=2)),"Ya","Tidak"))</f>
        <v>Ya</v>
      </c>
      <c r="M82" s="5"/>
    </row>
    <row r="83" customFormat="false" ht="15" hidden="false" customHeight="true" outlineLevel="0" collapsed="false">
      <c r="A83" s="10" t="n">
        <v>79</v>
      </c>
      <c r="B83" s="5" t="s">
        <v>272</v>
      </c>
      <c r="C83" s="5" t="s">
        <v>51</v>
      </c>
      <c r="D83" s="5" t="s">
        <v>25</v>
      </c>
      <c r="E83" s="5" t="s">
        <v>270</v>
      </c>
      <c r="F83" s="5" t="s">
        <v>273</v>
      </c>
      <c r="G83" s="5" t="s">
        <v>264</v>
      </c>
      <c r="H83" s="5" t="s">
        <v>83</v>
      </c>
      <c r="I83" s="10" t="s">
        <v>71</v>
      </c>
      <c r="J83" s="10" t="n">
        <v>2</v>
      </c>
      <c r="K83" s="10" t="n">
        <v>4</v>
      </c>
      <c r="L83" s="10" t="str">
        <f aca="false">IF(OR(J83="",H83="(belum memilih)",H83="(organik)"),"",IF(OR(H83="7 &amp; 8 Okt",H83="(kosong)",AND(H83="7 Okt",J83=1),AND(H83="8 Okt",J83=2)),"Ya","Tidak"))</f>
        <v>Ya</v>
      </c>
      <c r="M83" s="5"/>
    </row>
    <row r="84" customFormat="false" ht="15" hidden="false" customHeight="true" outlineLevel="0" collapsed="false">
      <c r="A84" s="10" t="n">
        <v>80</v>
      </c>
      <c r="B84" s="5" t="s">
        <v>274</v>
      </c>
      <c r="C84" s="5" t="s">
        <v>63</v>
      </c>
      <c r="D84" s="5" t="s">
        <v>23</v>
      </c>
      <c r="E84" s="5" t="s">
        <v>81</v>
      </c>
      <c r="F84" s="5" t="s">
        <v>275</v>
      </c>
      <c r="G84" s="5" t="s">
        <v>276</v>
      </c>
      <c r="H84" s="5" t="s">
        <v>55</v>
      </c>
      <c r="I84" s="10" t="s">
        <v>71</v>
      </c>
      <c r="J84" s="10" t="n">
        <v>2</v>
      </c>
      <c r="K84" s="10" t="n">
        <v>4</v>
      </c>
      <c r="L84" s="10" t="str">
        <f aca="false">IF(OR(J84="",H84="(belum memilih)",H84="(organik)"),"",IF(OR(H84="7 &amp; 8 Okt",H84="(kosong)",AND(H84="7 Okt",J84=1),AND(H84="8 Okt",J84=2)),"Ya","Tidak"))</f>
        <v>Tidak</v>
      </c>
      <c r="M84" s="5"/>
    </row>
    <row r="85" customFormat="false" ht="15" hidden="false" customHeight="true" outlineLevel="0" collapsed="false">
      <c r="A85" s="10" t="n">
        <v>81</v>
      </c>
      <c r="B85" s="5" t="s">
        <v>277</v>
      </c>
      <c r="C85" s="5" t="s">
        <v>51</v>
      </c>
      <c r="D85" s="5" t="s">
        <v>23</v>
      </c>
      <c r="E85" s="5" t="s">
        <v>78</v>
      </c>
      <c r="F85" s="5" t="s">
        <v>278</v>
      </c>
      <c r="G85" s="5" t="s">
        <v>276</v>
      </c>
      <c r="H85" s="5" t="s">
        <v>55</v>
      </c>
      <c r="I85" s="10" t="s">
        <v>279</v>
      </c>
      <c r="J85" s="10" t="n">
        <v>2</v>
      </c>
      <c r="K85" s="10" t="n">
        <v>4</v>
      </c>
      <c r="L85" s="10" t="str">
        <f aca="false">IF(OR(J85="",H85="(belum memilih)",H85="(organik)"),"",IF(OR(H85="7 &amp; 8 Okt",H85="(kosong)",AND(H85="7 Okt",J85=1),AND(H85="8 Okt",J85=2)),"Ya","Tidak"))</f>
        <v>Tidak</v>
      </c>
      <c r="M85" s="5"/>
    </row>
    <row r="86" customFormat="false" ht="15" hidden="false" customHeight="true" outlineLevel="0" collapsed="false">
      <c r="A86" s="10" t="n">
        <v>82</v>
      </c>
      <c r="B86" s="5" t="s">
        <v>280</v>
      </c>
      <c r="C86" s="5" t="s">
        <v>51</v>
      </c>
      <c r="D86" s="5" t="s">
        <v>29</v>
      </c>
      <c r="E86" s="5" t="s">
        <v>214</v>
      </c>
      <c r="F86" s="5" t="s">
        <v>281</v>
      </c>
      <c r="G86" s="5" t="s">
        <v>276</v>
      </c>
      <c r="H86" s="5" t="s">
        <v>91</v>
      </c>
      <c r="I86" s="10" t="s">
        <v>162</v>
      </c>
      <c r="J86" s="10" t="n">
        <v>2</v>
      </c>
      <c r="K86" s="10" t="n">
        <v>4</v>
      </c>
      <c r="L86" s="10" t="str">
        <f aca="false">IF(OR(J86="",H86="(belum memilih)",H86="(organik)"),"",IF(OR(H86="7 &amp; 8 Okt",H86="(kosong)",AND(H86="7 Okt",J86=1),AND(H86="8 Okt",J86=2)),"Ya","Tidak"))</f>
        <v>Ya</v>
      </c>
      <c r="M86" s="5"/>
    </row>
    <row r="87" customFormat="false" ht="15" hidden="false" customHeight="true" outlineLevel="0" collapsed="false">
      <c r="A87" s="10" t="n">
        <v>83</v>
      </c>
      <c r="B87" s="5" t="s">
        <v>282</v>
      </c>
      <c r="C87" s="5" t="s">
        <v>51</v>
      </c>
      <c r="D87" s="5" t="s">
        <v>29</v>
      </c>
      <c r="E87" s="5" t="s">
        <v>214</v>
      </c>
      <c r="F87" s="5" t="s">
        <v>283</v>
      </c>
      <c r="G87" s="5" t="s">
        <v>276</v>
      </c>
      <c r="H87" s="5" t="s">
        <v>91</v>
      </c>
      <c r="I87" s="10" t="s">
        <v>162</v>
      </c>
      <c r="J87" s="10" t="n">
        <v>2</v>
      </c>
      <c r="K87" s="10" t="n">
        <v>4</v>
      </c>
      <c r="L87" s="10" t="str">
        <f aca="false">IF(OR(J87="",H87="(belum memilih)",H87="(organik)"),"",IF(OR(H87="7 &amp; 8 Okt",H87="(kosong)",AND(H87="7 Okt",J87=1),AND(H87="8 Okt",J87=2)),"Ya","Tidak"))</f>
        <v>Ya</v>
      </c>
      <c r="M87" s="5"/>
    </row>
    <row r="88" customFormat="false" ht="15" hidden="false" customHeight="true" outlineLevel="0" collapsed="false">
      <c r="A88" s="10" t="n">
        <v>84</v>
      </c>
      <c r="B88" s="5" t="s">
        <v>284</v>
      </c>
      <c r="C88" s="5" t="s">
        <v>51</v>
      </c>
      <c r="D88" s="5" t="s">
        <v>29</v>
      </c>
      <c r="E88" s="5" t="s">
        <v>214</v>
      </c>
      <c r="F88" s="5" t="s">
        <v>285</v>
      </c>
      <c r="G88" s="5" t="s">
        <v>276</v>
      </c>
      <c r="H88" s="5" t="s">
        <v>91</v>
      </c>
      <c r="I88" s="10" t="s">
        <v>106</v>
      </c>
      <c r="J88" s="10" t="n">
        <v>2</v>
      </c>
      <c r="K88" s="10" t="n">
        <v>4</v>
      </c>
      <c r="L88" s="10" t="str">
        <f aca="false">IF(OR(J88="",H88="(belum memilih)",H88="(organik)"),"",IF(OR(H88="7 &amp; 8 Okt",H88="(kosong)",AND(H88="7 Okt",J88=1),AND(H88="8 Okt",J88=2)),"Ya","Tidak"))</f>
        <v>Ya</v>
      </c>
      <c r="M88" s="5"/>
    </row>
    <row r="89" customFormat="false" ht="15" hidden="false" customHeight="true" outlineLevel="0" collapsed="false">
      <c r="A89" s="10" t="n">
        <v>85</v>
      </c>
      <c r="B89" s="5" t="s">
        <v>286</v>
      </c>
      <c r="C89" s="5" t="s">
        <v>51</v>
      </c>
      <c r="D89" s="5" t="s">
        <v>23</v>
      </c>
      <c r="E89" s="5" t="s">
        <v>78</v>
      </c>
      <c r="F89" s="5" t="s">
        <v>287</v>
      </c>
      <c r="G89" s="5" t="s">
        <v>276</v>
      </c>
      <c r="H89" s="5" t="s">
        <v>55</v>
      </c>
      <c r="I89" s="10" t="s">
        <v>279</v>
      </c>
      <c r="J89" s="10" t="n">
        <v>2</v>
      </c>
      <c r="K89" s="10" t="n">
        <v>4</v>
      </c>
      <c r="L89" s="10" t="str">
        <f aca="false">IF(OR(J89="",H89="(belum memilih)",H89="(organik)"),"",IF(OR(H89="7 &amp; 8 Okt",H89="(kosong)",AND(H89="7 Okt",J89=1),AND(H89="8 Okt",J89=2)),"Ya","Tidak"))</f>
        <v>Tidak</v>
      </c>
      <c r="M89" s="5"/>
    </row>
    <row r="90" customFormat="false" ht="15" hidden="false" customHeight="true" outlineLevel="0" collapsed="false">
      <c r="A90" s="10" t="n">
        <v>86</v>
      </c>
      <c r="B90" s="5" t="s">
        <v>288</v>
      </c>
      <c r="C90" s="5" t="s">
        <v>63</v>
      </c>
      <c r="D90" s="5" t="s">
        <v>24</v>
      </c>
      <c r="E90" s="5" t="s">
        <v>289</v>
      </c>
      <c r="F90" s="5" t="s">
        <v>290</v>
      </c>
      <c r="G90" s="5" t="s">
        <v>291</v>
      </c>
      <c r="H90" s="5" t="s">
        <v>91</v>
      </c>
      <c r="I90" s="10" t="s">
        <v>67</v>
      </c>
      <c r="J90" s="10" t="n">
        <v>2</v>
      </c>
      <c r="K90" s="10" t="n">
        <v>4</v>
      </c>
      <c r="L90" s="10" t="str">
        <f aca="false">IF(OR(J90="",H90="(belum memilih)",H90="(organik)"),"",IF(OR(H90="7 &amp; 8 Okt",H90="(kosong)",AND(H90="7 Okt",J90=1),AND(H90="8 Okt",J90=2)),"Ya","Tidak"))</f>
        <v>Ya</v>
      </c>
      <c r="M90" s="5"/>
    </row>
    <row r="91" customFormat="false" ht="15" hidden="false" customHeight="true" outlineLevel="0" collapsed="false">
      <c r="A91" s="10" t="n">
        <v>87</v>
      </c>
      <c r="B91" s="5" t="s">
        <v>292</v>
      </c>
      <c r="C91" s="5" t="s">
        <v>51</v>
      </c>
      <c r="D91" s="5" t="s">
        <v>24</v>
      </c>
      <c r="E91" s="5" t="s">
        <v>236</v>
      </c>
      <c r="F91" s="5" t="s">
        <v>293</v>
      </c>
      <c r="G91" s="5" t="s">
        <v>291</v>
      </c>
      <c r="H91" s="5" t="s">
        <v>83</v>
      </c>
      <c r="I91" s="10" t="s">
        <v>71</v>
      </c>
      <c r="J91" s="10" t="n">
        <v>2</v>
      </c>
      <c r="K91" s="10" t="n">
        <v>4</v>
      </c>
      <c r="L91" s="10" t="str">
        <f aca="false">IF(OR(J91="",H91="(belum memilih)",H91="(organik)"),"",IF(OR(H91="7 &amp; 8 Okt",H91="(kosong)",AND(H91="7 Okt",J91=1),AND(H91="8 Okt",J91=2)),"Ya","Tidak"))</f>
        <v>Ya</v>
      </c>
      <c r="M91" s="5"/>
    </row>
    <row r="92" customFormat="false" ht="15" hidden="false" customHeight="true" outlineLevel="0" collapsed="false">
      <c r="A92" s="10" t="n">
        <v>88</v>
      </c>
      <c r="B92" s="5" t="s">
        <v>294</v>
      </c>
      <c r="C92" s="5" t="s">
        <v>63</v>
      </c>
      <c r="D92" s="5" t="s">
        <v>24</v>
      </c>
      <c r="E92" s="5" t="s">
        <v>171</v>
      </c>
      <c r="F92" s="5" t="s">
        <v>295</v>
      </c>
      <c r="G92" s="5" t="s">
        <v>296</v>
      </c>
      <c r="H92" s="5" t="s">
        <v>83</v>
      </c>
      <c r="I92" s="10" t="s">
        <v>71</v>
      </c>
      <c r="J92" s="10" t="n">
        <v>2</v>
      </c>
      <c r="K92" s="10" t="n">
        <v>4</v>
      </c>
      <c r="L92" s="10" t="str">
        <f aca="false">IF(OR(J92="",H92="(belum memilih)",H92="(organik)"),"",IF(OR(H92="7 &amp; 8 Okt",H92="(kosong)",AND(H92="7 Okt",J92=1),AND(H92="8 Okt",J92=2)),"Ya","Tidak"))</f>
        <v>Ya</v>
      </c>
      <c r="M92" s="5"/>
    </row>
    <row r="93" customFormat="false" ht="15" hidden="false" customHeight="true" outlineLevel="0" collapsed="false">
      <c r="A93" s="10" t="n">
        <v>89</v>
      </c>
      <c r="B93" s="5" t="s">
        <v>297</v>
      </c>
      <c r="C93" s="5" t="s">
        <v>51</v>
      </c>
      <c r="D93" s="5" t="s">
        <v>24</v>
      </c>
      <c r="E93" s="5" t="s">
        <v>69</v>
      </c>
      <c r="F93" s="5" t="s">
        <v>298</v>
      </c>
      <c r="G93" s="5" t="s">
        <v>296</v>
      </c>
      <c r="H93" s="5" t="s">
        <v>55</v>
      </c>
      <c r="I93" s="10" t="s">
        <v>71</v>
      </c>
      <c r="J93" s="10" t="n">
        <v>2</v>
      </c>
      <c r="K93" s="10" t="n">
        <v>4</v>
      </c>
      <c r="L93" s="10" t="str">
        <f aca="false">IF(OR(J93="",H93="(belum memilih)",H93="(organik)"),"",IF(OR(H93="7 &amp; 8 Okt",H93="(kosong)",AND(H93="7 Okt",J93=1),AND(H93="8 Okt",J93=2)),"Ya","Tidak"))</f>
        <v>Tidak</v>
      </c>
      <c r="M93" s="5"/>
    </row>
    <row r="94" customFormat="false" ht="15" hidden="false" customHeight="true" outlineLevel="0" collapsed="false">
      <c r="A94" s="10" t="n">
        <v>90</v>
      </c>
      <c r="B94" s="5" t="s">
        <v>299</v>
      </c>
      <c r="C94" s="5" t="s">
        <v>51</v>
      </c>
      <c r="D94" s="5" t="s">
        <v>21</v>
      </c>
      <c r="E94" s="5" t="s">
        <v>300</v>
      </c>
      <c r="F94" s="5" t="s">
        <v>301</v>
      </c>
      <c r="G94" s="5" t="s">
        <v>296</v>
      </c>
      <c r="H94" s="5" t="s">
        <v>91</v>
      </c>
      <c r="I94" s="10" t="s">
        <v>67</v>
      </c>
      <c r="J94" s="10" t="n">
        <v>2</v>
      </c>
      <c r="K94" s="10" t="n">
        <v>4</v>
      </c>
      <c r="L94" s="10" t="str">
        <f aca="false">IF(OR(J94="",H94="(belum memilih)",H94="(organik)"),"",IF(OR(H94="7 &amp; 8 Okt",H94="(kosong)",AND(H94="7 Okt",J94=1),AND(H94="8 Okt",J94=2)),"Ya","Tidak"))</f>
        <v>Ya</v>
      </c>
      <c r="M94" s="5"/>
    </row>
    <row r="95" customFormat="false" ht="15" hidden="false" customHeight="true" outlineLevel="0" collapsed="false">
      <c r="A95" s="10" t="n">
        <v>91</v>
      </c>
      <c r="B95" s="5" t="s">
        <v>302</v>
      </c>
      <c r="C95" s="5" t="s">
        <v>51</v>
      </c>
      <c r="D95" s="5" t="s">
        <v>21</v>
      </c>
      <c r="E95" s="5" t="s">
        <v>110</v>
      </c>
      <c r="F95" s="5" t="s">
        <v>303</v>
      </c>
      <c r="G95" s="5" t="s">
        <v>296</v>
      </c>
      <c r="H95" s="5" t="s">
        <v>91</v>
      </c>
      <c r="I95" s="10" t="s">
        <v>116</v>
      </c>
      <c r="J95" s="10" t="n">
        <v>2</v>
      </c>
      <c r="K95" s="10" t="n">
        <v>4</v>
      </c>
      <c r="L95" s="10" t="str">
        <f aca="false">IF(OR(J95="",H95="(belum memilih)",H95="(organik)"),"",IF(OR(H95="7 &amp; 8 Okt",H95="(kosong)",AND(H95="7 Okt",J95=1),AND(H95="8 Okt",J95=2)),"Ya","Tidak"))</f>
        <v>Ya</v>
      </c>
      <c r="M95" s="5"/>
    </row>
    <row r="96" customFormat="false" ht="15" hidden="false" customHeight="true" outlineLevel="0" collapsed="false">
      <c r="A96" s="10" t="n">
        <v>92</v>
      </c>
      <c r="B96" s="5" t="s">
        <v>304</v>
      </c>
      <c r="C96" s="5" t="s">
        <v>51</v>
      </c>
      <c r="D96" s="5" t="s">
        <v>21</v>
      </c>
      <c r="E96" s="5" t="s">
        <v>300</v>
      </c>
      <c r="F96" s="5" t="s">
        <v>305</v>
      </c>
      <c r="G96" s="5" t="s">
        <v>296</v>
      </c>
      <c r="H96" s="5" t="s">
        <v>91</v>
      </c>
      <c r="I96" s="10" t="s">
        <v>67</v>
      </c>
      <c r="J96" s="10" t="n">
        <v>2</v>
      </c>
      <c r="K96" s="10" t="n">
        <v>4</v>
      </c>
      <c r="L96" s="10" t="str">
        <f aca="false">IF(OR(J96="",H96="(belum memilih)",H96="(organik)"),"",IF(OR(H96="7 &amp; 8 Okt",H96="(kosong)",AND(H96="7 Okt",J96=1),AND(H96="8 Okt",J96=2)),"Ya","Tidak"))</f>
        <v>Ya</v>
      </c>
      <c r="M96" s="5"/>
    </row>
    <row r="97" customFormat="false" ht="15" hidden="false" customHeight="false" outlineLevel="0" collapsed="false">
      <c r="A97" s="10" t="n">
        <v>93</v>
      </c>
      <c r="B97" s="5" t="s">
        <v>306</v>
      </c>
      <c r="C97" s="5" t="s">
        <v>208</v>
      </c>
      <c r="D97" s="5" t="s">
        <v>21</v>
      </c>
      <c r="E97" s="5" t="s">
        <v>110</v>
      </c>
      <c r="F97" s="5" t="s">
        <v>307</v>
      </c>
      <c r="G97" s="5" t="s">
        <v>308</v>
      </c>
      <c r="H97" s="5" t="s">
        <v>91</v>
      </c>
      <c r="I97" s="10" t="s">
        <v>234</v>
      </c>
      <c r="J97" s="10"/>
      <c r="K97" s="10"/>
      <c r="L97" s="10" t="str">
        <f aca="false">IF(OR(J92="",H92="(belum memilih)",H92="(organik)"),"",IF(OR(H92="7 &amp; 8 Okt",H92="(kosong)",AND(H92="7 Okt",J92=1),AND(H92="8 Okt",J92=2)),"Ya","Tidak"))</f>
        <v>Ya</v>
      </c>
      <c r="M97" s="5" t="s">
        <v>309</v>
      </c>
    </row>
  </sheetData>
  <autoFilter ref="A4:M9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6" min="5" style="1" width="8"/>
    <col collapsed="false" customWidth="true" hidden="false" outlineLevel="0" max="7" min="7" style="1" width="12"/>
    <col collapsed="false" customWidth="true" hidden="false" outlineLevel="0" max="8" min="8" style="1" width="34"/>
    <col collapsed="false" customWidth="true" hidden="false" outlineLevel="0" max="9" min="9" style="1" width="80"/>
  </cols>
  <sheetData>
    <row r="1" customFormat="false" ht="15" hidden="false" customHeight="true" outlineLevel="0" collapsed="false">
      <c r="A1" s="9" t="s">
        <v>310</v>
      </c>
    </row>
    <row r="3" customFormat="false" ht="23.25" hidden="false" customHeight="true" outlineLevel="0" collapsed="false">
      <c r="A3" s="4" t="s">
        <v>47</v>
      </c>
      <c r="B3" s="4" t="s">
        <v>46</v>
      </c>
      <c r="C3" s="4" t="s">
        <v>311</v>
      </c>
      <c r="D3" s="4" t="s">
        <v>312</v>
      </c>
      <c r="E3" s="4" t="s">
        <v>313</v>
      </c>
      <c r="F3" s="4" t="s">
        <v>314</v>
      </c>
      <c r="G3" s="4" t="s">
        <v>315</v>
      </c>
      <c r="H3" s="4" t="s">
        <v>316</v>
      </c>
      <c r="I3" s="4" t="s">
        <v>317</v>
      </c>
    </row>
    <row r="4" customFormat="false" ht="61.5" hidden="false" customHeight="true" outlineLevel="0" collapsed="false">
      <c r="A4" s="11" t="n">
        <v>1</v>
      </c>
      <c r="B4" s="11" t="n">
        <v>1</v>
      </c>
      <c r="C4" s="11" t="s">
        <v>318</v>
      </c>
      <c r="D4" s="11" t="n">
        <f aca="false">COUNTIFS('Daftar Peserta'!$K$5:$K$97,1,'Daftar Peserta'!$C$5:$C$97,"&lt;&gt;SIT-IN")</f>
        <v>26</v>
      </c>
      <c r="E4" s="11" t="n">
        <f aca="false">COUNTIFS('Daftar Peserta'!$K$5:$K$97,1,'Daftar Peserta'!$C$5:$C$97,"SIT-IN")</f>
        <v>0</v>
      </c>
      <c r="F4" s="11" t="n">
        <f aca="false">D4+E4</f>
        <v>26</v>
      </c>
      <c r="G4" s="11" t="str">
        <f aca="false">IF(AND(F4&gt;=20,F4&lt;=27),"OK",IF(F4&lt;20,"Kurang "&amp;(20-F4),"Lebih "&amp;(F4-27)))</f>
        <v>OK</v>
      </c>
      <c r="H4" s="12" t="s">
        <v>319</v>
      </c>
      <c r="I4" s="12" t="s">
        <v>320</v>
      </c>
    </row>
    <row r="5" customFormat="false" ht="61.5" hidden="false" customHeight="true" outlineLevel="0" collapsed="false">
      <c r="A5" s="11" t="n">
        <v>2</v>
      </c>
      <c r="B5" s="11" t="n">
        <v>2</v>
      </c>
      <c r="C5" s="11" t="s">
        <v>321</v>
      </c>
      <c r="D5" s="11" t="n">
        <f aca="false">COUNTIFS('Daftar Peserta'!$K$5:$K$97,2,'Daftar Peserta'!$C$5:$C$97,"&lt;&gt;SIT-IN")</f>
        <v>21</v>
      </c>
      <c r="E5" s="11" t="n">
        <f aca="false">COUNTIFS('Daftar Peserta'!$K$5:$K$97,2,'Daftar Peserta'!$C$5:$C$97,"SIT-IN")</f>
        <v>2</v>
      </c>
      <c r="F5" s="11" t="n">
        <f aca="false">D5+E5</f>
        <v>23</v>
      </c>
      <c r="G5" s="11" t="str">
        <f aca="false">IF(AND(F5&gt;=20,F5&lt;=27),"OK",IF(F5&lt;20,"Kurang "&amp;(20-F5),"Lebih "&amp;(F5-27)))</f>
        <v>OK</v>
      </c>
      <c r="H5" s="12" t="s">
        <v>322</v>
      </c>
      <c r="I5" s="12" t="s">
        <v>323</v>
      </c>
    </row>
    <row r="6" customFormat="false" ht="61.5" hidden="false" customHeight="true" outlineLevel="0" collapsed="false">
      <c r="A6" s="11" t="n">
        <v>3</v>
      </c>
      <c r="B6" s="11" t="n">
        <v>2</v>
      </c>
      <c r="C6" s="11" t="s">
        <v>321</v>
      </c>
      <c r="D6" s="11" t="n">
        <f aca="false">COUNTIFS('Daftar Peserta'!$K$5:$K$97,3,'Daftar Peserta'!$C$5:$C$97,"&lt;&gt;SIT-IN")</f>
        <v>19</v>
      </c>
      <c r="E6" s="11" t="n">
        <f aca="false">COUNTIFS('Daftar Peserta'!$K$5:$K$97,3,'Daftar Peserta'!$C$5:$C$97,"SIT-IN")</f>
        <v>3</v>
      </c>
      <c r="F6" s="11" t="n">
        <f aca="false">D6+E6</f>
        <v>22</v>
      </c>
      <c r="G6" s="11" t="str">
        <f aca="false">IF(AND(F6&gt;=20,F6&lt;=27),"OK",IF(F6&lt;20,"Kurang "&amp;(20-F6),"Lebih "&amp;(F6-27)))</f>
        <v>OK</v>
      </c>
      <c r="H6" s="12" t="s">
        <v>324</v>
      </c>
      <c r="I6" s="12" t="s">
        <v>325</v>
      </c>
    </row>
    <row r="7" customFormat="false" ht="61.5" hidden="false" customHeight="true" outlineLevel="0" collapsed="false">
      <c r="A7" s="11" t="n">
        <v>4</v>
      </c>
      <c r="B7" s="11" t="n">
        <v>2</v>
      </c>
      <c r="C7" s="11" t="s">
        <v>321</v>
      </c>
      <c r="D7" s="11" t="n">
        <f aca="false">COUNTIFS('Daftar Peserta'!$K$5:$K$97,4,'Daftar Peserta'!$C$5:$C$97,"&lt;&gt;SIT-IN")</f>
        <v>18</v>
      </c>
      <c r="E7" s="11" t="n">
        <f aca="false">COUNTIFS('Daftar Peserta'!$K$5:$K$97,4,'Daftar Peserta'!$C$5:$C$97,"SIT-IN")</f>
        <v>3</v>
      </c>
      <c r="F7" s="11" t="n">
        <f aca="false">D7+E7</f>
        <v>21</v>
      </c>
      <c r="G7" s="11" t="str">
        <f aca="false">IF(AND(F7&gt;=20,F7&lt;=27),"OK",IF(F7&lt;20,"Kurang "&amp;(20-F7),"Lebih "&amp;(F7-27)))</f>
        <v>OK</v>
      </c>
      <c r="H7" s="12" t="s">
        <v>326</v>
      </c>
      <c r="I7" s="12" t="s">
        <v>327</v>
      </c>
    </row>
    <row r="8" customFormat="false" ht="15" hidden="false" customHeight="true" outlineLevel="0" collapsed="false">
      <c r="A8" s="13" t="s">
        <v>314</v>
      </c>
      <c r="D8" s="14" t="n">
        <f aca="false">SUM(D4:D7)</f>
        <v>84</v>
      </c>
      <c r="E8" s="14" t="n">
        <f aca="false">SUM(E4:E7)</f>
        <v>8</v>
      </c>
      <c r="F8" s="14" t="n">
        <f aca="false">SUM(F4:F7)</f>
        <v>92</v>
      </c>
    </row>
    <row r="10" customFormat="false" ht="15" hidden="false" customHeight="true" outlineLevel="0" collapsed="false">
      <c r="A10" s="3" t="s">
        <v>328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8"/>
    <col collapsed="false" customWidth="true" hidden="false" outlineLevel="0" max="3" min="3" style="1" width="8"/>
    <col collapsed="false" customWidth="true" hidden="false" outlineLevel="0" max="4" min="4" style="1" width="14"/>
  </cols>
  <sheetData>
    <row r="1" customFormat="false" ht="15" hidden="false" customHeight="true" outlineLevel="0" collapsed="false">
      <c r="A1" s="4" t="s">
        <v>39</v>
      </c>
      <c r="B1" s="4" t="s">
        <v>38</v>
      </c>
      <c r="C1" s="4" t="s">
        <v>47</v>
      </c>
      <c r="D1" s="4" t="s">
        <v>311</v>
      </c>
    </row>
    <row r="2" customFormat="false" ht="15" hidden="false" customHeight="true" outlineLevel="0" collapsed="false">
      <c r="A2" s="5" t="s">
        <v>316</v>
      </c>
      <c r="B2" s="5" t="s">
        <v>329</v>
      </c>
      <c r="C2" s="5" t="n">
        <v>1</v>
      </c>
      <c r="D2" s="5" t="s">
        <v>318</v>
      </c>
    </row>
    <row r="3" customFormat="false" ht="15" hidden="false" customHeight="true" outlineLevel="0" collapsed="false">
      <c r="A3" s="5" t="s">
        <v>316</v>
      </c>
      <c r="B3" s="5" t="s">
        <v>330</v>
      </c>
      <c r="C3" s="5" t="n">
        <v>1</v>
      </c>
      <c r="D3" s="5" t="s">
        <v>318</v>
      </c>
    </row>
    <row r="4" customFormat="false" ht="15" hidden="false" customHeight="true" outlineLevel="0" collapsed="false">
      <c r="A4" s="5" t="s">
        <v>316</v>
      </c>
      <c r="B4" s="5" t="s">
        <v>331</v>
      </c>
      <c r="C4" s="5" t="n">
        <v>2</v>
      </c>
      <c r="D4" s="5" t="s">
        <v>321</v>
      </c>
    </row>
    <row r="5" customFormat="false" ht="15" hidden="false" customHeight="true" outlineLevel="0" collapsed="false">
      <c r="A5" s="5" t="s">
        <v>316</v>
      </c>
      <c r="B5" s="5" t="s">
        <v>332</v>
      </c>
      <c r="C5" s="5" t="n">
        <v>2</v>
      </c>
      <c r="D5" s="5" t="s">
        <v>321</v>
      </c>
    </row>
    <row r="6" customFormat="false" ht="15" hidden="false" customHeight="true" outlineLevel="0" collapsed="false">
      <c r="A6" s="5" t="s">
        <v>316</v>
      </c>
      <c r="B6" s="5" t="s">
        <v>333</v>
      </c>
      <c r="C6" s="5" t="n">
        <v>3</v>
      </c>
      <c r="D6" s="5" t="s">
        <v>321</v>
      </c>
    </row>
    <row r="7" customFormat="false" ht="15" hidden="false" customHeight="true" outlineLevel="0" collapsed="false">
      <c r="A7" s="5" t="s">
        <v>316</v>
      </c>
      <c r="B7" s="5" t="s">
        <v>334</v>
      </c>
      <c r="C7" s="5" t="n">
        <v>3</v>
      </c>
      <c r="D7" s="5" t="s">
        <v>321</v>
      </c>
    </row>
    <row r="8" customFormat="false" ht="15" hidden="false" customHeight="true" outlineLevel="0" collapsed="false">
      <c r="A8" s="5" t="s">
        <v>316</v>
      </c>
      <c r="B8" s="5" t="s">
        <v>335</v>
      </c>
      <c r="C8" s="5" t="n">
        <v>4</v>
      </c>
      <c r="D8" s="5" t="s">
        <v>321</v>
      </c>
    </row>
    <row r="9" customFormat="false" ht="15" hidden="false" customHeight="true" outlineLevel="0" collapsed="false">
      <c r="A9" s="5" t="s">
        <v>316</v>
      </c>
      <c r="B9" s="5" t="s">
        <v>336</v>
      </c>
      <c r="C9" s="5" t="n">
        <v>4</v>
      </c>
      <c r="D9" s="5" t="s">
        <v>321</v>
      </c>
    </row>
    <row r="10" customFormat="false" ht="15" hidden="false" customHeight="true" outlineLevel="0" collapsed="false">
      <c r="A10" s="5" t="s">
        <v>313</v>
      </c>
      <c r="B10" s="5" t="s">
        <v>144</v>
      </c>
      <c r="C10" s="5" t="n">
        <v>2</v>
      </c>
      <c r="D10" s="5" t="s">
        <v>321</v>
      </c>
    </row>
    <row r="11" customFormat="false" ht="15" hidden="false" customHeight="true" outlineLevel="0" collapsed="false">
      <c r="A11" s="5" t="s">
        <v>313</v>
      </c>
      <c r="B11" s="5" t="s">
        <v>147</v>
      </c>
      <c r="C11" s="5" t="n">
        <v>2</v>
      </c>
      <c r="D11" s="5" t="s">
        <v>321</v>
      </c>
    </row>
    <row r="12" customFormat="false" ht="15" hidden="false" customHeight="true" outlineLevel="0" collapsed="false">
      <c r="A12" s="5" t="s">
        <v>313</v>
      </c>
      <c r="B12" s="5" t="s">
        <v>205</v>
      </c>
      <c r="C12" s="5" t="n">
        <v>3</v>
      </c>
      <c r="D12" s="5" t="s">
        <v>321</v>
      </c>
    </row>
    <row r="13" customFormat="false" ht="15" hidden="false" customHeight="true" outlineLevel="0" collapsed="false">
      <c r="A13" s="5" t="s">
        <v>313</v>
      </c>
      <c r="B13" s="5" t="s">
        <v>206</v>
      </c>
      <c r="C13" s="5" t="n">
        <v>3</v>
      </c>
      <c r="D13" s="5" t="s">
        <v>321</v>
      </c>
    </row>
    <row r="14" customFormat="false" ht="15" hidden="false" customHeight="true" outlineLevel="0" collapsed="false">
      <c r="A14" s="5" t="s">
        <v>313</v>
      </c>
      <c r="B14" s="5" t="s">
        <v>207</v>
      </c>
      <c r="C14" s="5" t="n">
        <v>3</v>
      </c>
      <c r="D14" s="5" t="s">
        <v>321</v>
      </c>
    </row>
    <row r="15" customFormat="false" ht="15" hidden="false" customHeight="true" outlineLevel="0" collapsed="false">
      <c r="A15" s="5" t="s">
        <v>313</v>
      </c>
      <c r="B15" s="5" t="s">
        <v>258</v>
      </c>
      <c r="C15" s="5" t="n">
        <v>4</v>
      </c>
      <c r="D15" s="5" t="s">
        <v>321</v>
      </c>
    </row>
    <row r="16" customFormat="false" ht="15" hidden="false" customHeight="true" outlineLevel="0" collapsed="false">
      <c r="A16" s="5" t="s">
        <v>313</v>
      </c>
      <c r="B16" s="5" t="s">
        <v>259</v>
      </c>
      <c r="C16" s="5" t="n">
        <v>4</v>
      </c>
      <c r="D16" s="5" t="s">
        <v>321</v>
      </c>
    </row>
    <row r="17" customFormat="false" ht="15" hidden="false" customHeight="true" outlineLevel="0" collapsed="false">
      <c r="A17" s="5" t="s">
        <v>313</v>
      </c>
      <c r="B17" s="5" t="s">
        <v>260</v>
      </c>
      <c r="C17" s="5" t="n">
        <v>4</v>
      </c>
      <c r="D17" s="5" t="s">
        <v>321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70"/>
  </cols>
  <sheetData>
    <row r="1" customFormat="false" ht="23.25" hidden="false" customHeight="true" outlineLevel="0" collapsed="false">
      <c r="A1" s="4" t="s">
        <v>38</v>
      </c>
      <c r="B1" s="4" t="s">
        <v>39</v>
      </c>
      <c r="C1" s="4" t="s">
        <v>337</v>
      </c>
      <c r="D1" s="4" t="s">
        <v>44</v>
      </c>
      <c r="E1" s="4" t="s">
        <v>338</v>
      </c>
      <c r="F1" s="4" t="s">
        <v>339</v>
      </c>
    </row>
    <row r="2" customFormat="false" ht="15" hidden="false" customHeight="true" outlineLevel="0" collapsed="false">
      <c r="A2" s="15" t="s">
        <v>50</v>
      </c>
      <c r="B2" s="15" t="s">
        <v>51</v>
      </c>
      <c r="C2" s="15" t="s">
        <v>54</v>
      </c>
      <c r="D2" s="15" t="s">
        <v>55</v>
      </c>
      <c r="E2" s="15" t="n">
        <v>1</v>
      </c>
      <c r="F2" s="15" t="s">
        <v>57</v>
      </c>
    </row>
    <row r="3" customFormat="false" ht="15" hidden="false" customHeight="true" outlineLevel="0" collapsed="false">
      <c r="A3" s="15" t="s">
        <v>58</v>
      </c>
      <c r="B3" s="15" t="s">
        <v>51</v>
      </c>
      <c r="C3" s="15" t="s">
        <v>54</v>
      </c>
      <c r="D3" s="15" t="s">
        <v>55</v>
      </c>
      <c r="E3" s="15" t="n">
        <v>1</v>
      </c>
      <c r="F3" s="15" t="s">
        <v>57</v>
      </c>
    </row>
    <row r="4" customFormat="false" ht="15" hidden="false" customHeight="true" outlineLevel="0" collapsed="false">
      <c r="A4" s="15" t="s">
        <v>84</v>
      </c>
      <c r="B4" s="15" t="s">
        <v>51</v>
      </c>
      <c r="C4" s="15" t="s">
        <v>86</v>
      </c>
      <c r="D4" s="15" t="s">
        <v>55</v>
      </c>
      <c r="E4" s="15" t="n">
        <v>1</v>
      </c>
      <c r="F4" s="15" t="s">
        <v>87</v>
      </c>
    </row>
    <row r="5" customFormat="false" ht="15" hidden="false" customHeight="true" outlineLevel="0" collapsed="false">
      <c r="A5" s="15" t="s">
        <v>88</v>
      </c>
      <c r="B5" s="15" t="s">
        <v>63</v>
      </c>
      <c r="C5" s="15" t="s">
        <v>90</v>
      </c>
      <c r="D5" s="15" t="s">
        <v>91</v>
      </c>
      <c r="E5" s="15" t="n">
        <v>1</v>
      </c>
      <c r="F5" s="15" t="s">
        <v>340</v>
      </c>
    </row>
    <row r="6" customFormat="false" ht="15" hidden="false" customHeight="true" outlineLevel="0" collapsed="false">
      <c r="A6" s="15" t="s">
        <v>113</v>
      </c>
      <c r="B6" s="15" t="s">
        <v>51</v>
      </c>
      <c r="C6" s="15" t="s">
        <v>105</v>
      </c>
      <c r="D6" s="15" t="s">
        <v>91</v>
      </c>
      <c r="E6" s="15" t="n">
        <v>1</v>
      </c>
      <c r="F6" s="15" t="s">
        <v>340</v>
      </c>
    </row>
    <row r="7" customFormat="false" ht="15" hidden="false" customHeight="true" outlineLevel="0" collapsed="false">
      <c r="A7" s="15" t="s">
        <v>125</v>
      </c>
      <c r="B7" s="15" t="s">
        <v>51</v>
      </c>
      <c r="C7" s="15" t="s">
        <v>120</v>
      </c>
      <c r="D7" s="15" t="s">
        <v>91</v>
      </c>
      <c r="E7" s="15" t="n">
        <v>1</v>
      </c>
      <c r="F7" s="15" t="s">
        <v>340</v>
      </c>
    </row>
    <row r="8" customFormat="false" ht="15" hidden="false" customHeight="true" outlineLevel="0" collapsed="false">
      <c r="A8" s="15" t="s">
        <v>134</v>
      </c>
      <c r="B8" s="15" t="s">
        <v>63</v>
      </c>
      <c r="C8" s="15" t="s">
        <v>136</v>
      </c>
      <c r="D8" s="15" t="s">
        <v>91</v>
      </c>
      <c r="E8" s="15" t="n">
        <v>1</v>
      </c>
      <c r="F8" s="15" t="s">
        <v>340</v>
      </c>
    </row>
    <row r="9" customFormat="false" ht="15" hidden="false" customHeight="true" outlineLevel="0" collapsed="false">
      <c r="A9" s="15" t="s">
        <v>153</v>
      </c>
      <c r="B9" s="15" t="s">
        <v>63</v>
      </c>
      <c r="C9" s="15" t="s">
        <v>155</v>
      </c>
      <c r="D9" s="15" t="s">
        <v>55</v>
      </c>
      <c r="E9" s="15" t="n">
        <v>2</v>
      </c>
      <c r="F9" s="15" t="s">
        <v>340</v>
      </c>
    </row>
    <row r="10" customFormat="false" ht="15" hidden="false" customHeight="true" outlineLevel="0" collapsed="false">
      <c r="A10" s="15" t="s">
        <v>163</v>
      </c>
      <c r="B10" s="15" t="s">
        <v>51</v>
      </c>
      <c r="C10" s="15" t="s">
        <v>155</v>
      </c>
      <c r="D10" s="15" t="s">
        <v>55</v>
      </c>
      <c r="E10" s="15" t="n">
        <v>2</v>
      </c>
      <c r="F10" s="15" t="s">
        <v>340</v>
      </c>
    </row>
    <row r="11" customFormat="false" ht="15" hidden="false" customHeight="true" outlineLevel="0" collapsed="false">
      <c r="A11" s="15" t="s">
        <v>173</v>
      </c>
      <c r="B11" s="15" t="s">
        <v>51</v>
      </c>
      <c r="C11" s="15" t="s">
        <v>169</v>
      </c>
      <c r="D11" s="15" t="s">
        <v>55</v>
      </c>
      <c r="E11" s="15" t="n">
        <v>2</v>
      </c>
      <c r="F11" s="15" t="s">
        <v>340</v>
      </c>
    </row>
    <row r="12" customFormat="false" ht="15" hidden="false" customHeight="true" outlineLevel="0" collapsed="false">
      <c r="A12" s="15" t="s">
        <v>186</v>
      </c>
      <c r="B12" s="15" t="s">
        <v>51</v>
      </c>
      <c r="C12" s="15" t="s">
        <v>185</v>
      </c>
      <c r="D12" s="15" t="s">
        <v>55</v>
      </c>
      <c r="E12" s="15" t="n">
        <v>2</v>
      </c>
      <c r="F12" s="15" t="s">
        <v>340</v>
      </c>
    </row>
    <row r="13" customFormat="false" ht="15" hidden="false" customHeight="true" outlineLevel="0" collapsed="false">
      <c r="A13" s="15" t="s">
        <v>191</v>
      </c>
      <c r="B13" s="15" t="s">
        <v>51</v>
      </c>
      <c r="C13" s="15" t="s">
        <v>185</v>
      </c>
      <c r="D13" s="15" t="s">
        <v>55</v>
      </c>
      <c r="E13" s="15" t="n">
        <v>2</v>
      </c>
      <c r="F13" s="15" t="s">
        <v>340</v>
      </c>
    </row>
    <row r="14" customFormat="false" ht="15" hidden="false" customHeight="true" outlineLevel="0" collapsed="false">
      <c r="A14" s="15" t="s">
        <v>227</v>
      </c>
      <c r="B14" s="15" t="s">
        <v>51</v>
      </c>
      <c r="C14" s="15" t="s">
        <v>222</v>
      </c>
      <c r="D14" s="15" t="s">
        <v>55</v>
      </c>
      <c r="E14" s="15" t="n">
        <v>2</v>
      </c>
      <c r="F14" s="15" t="s">
        <v>340</v>
      </c>
    </row>
    <row r="15" customFormat="false" ht="15" hidden="false" customHeight="true" outlineLevel="0" collapsed="false">
      <c r="A15" s="15" t="s">
        <v>229</v>
      </c>
      <c r="B15" s="15" t="s">
        <v>51</v>
      </c>
      <c r="C15" s="15" t="s">
        <v>222</v>
      </c>
      <c r="D15" s="15" t="s">
        <v>55</v>
      </c>
      <c r="E15" s="15" t="n">
        <v>2</v>
      </c>
      <c r="F15" s="15" t="s">
        <v>340</v>
      </c>
    </row>
    <row r="16" customFormat="false" ht="15" hidden="false" customHeight="true" outlineLevel="0" collapsed="false">
      <c r="A16" s="15" t="s">
        <v>238</v>
      </c>
      <c r="B16" s="15" t="s">
        <v>51</v>
      </c>
      <c r="C16" s="15" t="s">
        <v>233</v>
      </c>
      <c r="D16" s="15" t="s">
        <v>55</v>
      </c>
      <c r="E16" s="15" t="n">
        <v>2</v>
      </c>
      <c r="F16" s="15" t="s">
        <v>340</v>
      </c>
    </row>
    <row r="17" customFormat="false" ht="15" hidden="false" customHeight="true" outlineLevel="0" collapsed="false">
      <c r="A17" s="15" t="s">
        <v>261</v>
      </c>
      <c r="B17" s="15" t="s">
        <v>51</v>
      </c>
      <c r="C17" s="15" t="s">
        <v>54</v>
      </c>
      <c r="D17" s="15" t="s">
        <v>83</v>
      </c>
      <c r="E17" s="15" t="n">
        <v>2</v>
      </c>
      <c r="F17" s="15" t="s">
        <v>57</v>
      </c>
    </row>
    <row r="18" customFormat="false" ht="15" hidden="false" customHeight="true" outlineLevel="0" collapsed="false">
      <c r="A18" s="15" t="s">
        <v>274</v>
      </c>
      <c r="B18" s="15" t="s">
        <v>63</v>
      </c>
      <c r="C18" s="15" t="s">
        <v>276</v>
      </c>
      <c r="D18" s="15" t="s">
        <v>55</v>
      </c>
      <c r="E18" s="15" t="n">
        <v>2</v>
      </c>
      <c r="F18" s="15" t="s">
        <v>340</v>
      </c>
    </row>
    <row r="19" customFormat="false" ht="15" hidden="false" customHeight="true" outlineLevel="0" collapsed="false">
      <c r="A19" s="15" t="s">
        <v>277</v>
      </c>
      <c r="B19" s="15" t="s">
        <v>51</v>
      </c>
      <c r="C19" s="15" t="s">
        <v>276</v>
      </c>
      <c r="D19" s="15" t="s">
        <v>55</v>
      </c>
      <c r="E19" s="15" t="n">
        <v>2</v>
      </c>
      <c r="F19" s="15" t="s">
        <v>340</v>
      </c>
    </row>
    <row r="20" customFormat="false" ht="15" hidden="false" customHeight="true" outlineLevel="0" collapsed="false">
      <c r="A20" s="15" t="s">
        <v>286</v>
      </c>
      <c r="B20" s="15" t="s">
        <v>51</v>
      </c>
      <c r="C20" s="15" t="s">
        <v>276</v>
      </c>
      <c r="D20" s="15" t="s">
        <v>55</v>
      </c>
      <c r="E20" s="15" t="n">
        <v>2</v>
      </c>
      <c r="F20" s="15" t="s">
        <v>340</v>
      </c>
    </row>
    <row r="21" customFormat="false" ht="15" hidden="false" customHeight="true" outlineLevel="0" collapsed="false">
      <c r="A21" s="15" t="s">
        <v>297</v>
      </c>
      <c r="B21" s="15" t="s">
        <v>51</v>
      </c>
      <c r="C21" s="15" t="s">
        <v>296</v>
      </c>
      <c r="D21" s="15" t="s">
        <v>55</v>
      </c>
      <c r="E21" s="15" t="n">
        <v>2</v>
      </c>
      <c r="F21" s="15" t="s">
        <v>340</v>
      </c>
    </row>
    <row r="22" customFormat="false" ht="15" hidden="false" customHeight="true" outlineLevel="0" collapsed="false">
      <c r="A22" s="15" t="s">
        <v>306</v>
      </c>
      <c r="B22" s="15" t="s">
        <v>208</v>
      </c>
      <c r="C22" s="15" t="s">
        <v>308</v>
      </c>
      <c r="D22" s="15" t="s">
        <v>91</v>
      </c>
      <c r="E22" s="15" t="s">
        <v>208</v>
      </c>
      <c r="F22" s="15" t="s">
        <v>309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2026-10-06T01:02:19Z</dcterms:created>
  <dc:creator>openpyxl</dc:creator>
  <dc:description/>
  <dc:language>en-US</dc:language>
  <cp:lastModifiedBy/>
  <dcterms:modified xsi:type="dcterms:W3CDTF">2026-10-06T09:42:28Z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