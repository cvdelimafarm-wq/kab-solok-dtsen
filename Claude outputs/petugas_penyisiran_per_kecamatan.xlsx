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kap per Kecamatan" sheetId="1" state="visible" r:id="rId3"/>
    <sheet name="Daftar Petug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<sst xmlns="http://schemas.openxmlformats.org/spreadsheetml/2006/main" count="483" uniqueCount="215">
  <si>
    <t xml:space="preserve">Rekap Petugas Penyisiran per Kecamatan (Perkiraan Lokasi Rumah)</t>
  </si>
  <si>
    <t xml:space="preserve">Kecamatan diperkirakan dari titik lokasi rumah petugas (lat/lng) dibandingkan ke pusat titik usaha yang tercatat di tiap kecamatan -- BUKAN penugasan resmi. Lihat sheet 'Daftar Petugas' untuk detail &amp; catatan per orang.</t>
  </si>
  <si>
    <t xml:space="preserve">Kecamatan</t>
  </si>
  <si>
    <t xml:space="preserve">Jumlah Petugas Aktif</t>
  </si>
  <si>
    <t xml:space="preserve">Jumlah Petugas Nonaktif</t>
  </si>
  <si>
    <t xml:space="preserve">Total</t>
  </si>
  <si>
    <t xml:space="preserve">BUKIT SUNDI</t>
  </si>
  <si>
    <t xml:space="preserve">DANAU KEMBAR</t>
  </si>
  <si>
    <t xml:space="preserve">GUNUNG TALANG</t>
  </si>
  <si>
    <t xml:space="preserve">HILIRAN GUMANTI</t>
  </si>
  <si>
    <t xml:space="preserve">IX KOTO SUNGAI LASI</t>
  </si>
  <si>
    <t xml:space="preserve">JUNJUNG SIRIH</t>
  </si>
  <si>
    <t xml:space="preserve">KUBUNG</t>
  </si>
  <si>
    <t xml:space="preserve">LEMBAH GUMANTI</t>
  </si>
  <si>
    <t xml:space="preserve">LEMBANG JAYA</t>
  </si>
  <si>
    <t xml:space="preserve">PANTAI CERMIN</t>
  </si>
  <si>
    <t xml:space="preserve">PAYUNG SEKAKI</t>
  </si>
  <si>
    <t xml:space="preserve">TIGO LURAH</t>
  </si>
  <si>
    <t xml:space="preserve">X KOTO DIATAS</t>
  </si>
  <si>
    <t xml:space="preserve">X KOTO SINGKARAK</t>
  </si>
  <si>
    <t xml:space="preserve">(Belum ada titik lokasi rumah)</t>
  </si>
  <si>
    <t xml:space="preserve">Catatan: dari 75 akun petugas, baru 10 yang punya titik lokasi rumah (terisi otomatis saat pertama login di tab Penyisiran Usaha). 65 sisanya belum bisa diperkirakan kecamatannya.</t>
  </si>
  <si>
    <t xml:space="preserve">Daftar Petugas Penyisiran Usaha SE2026 -- BPS Kabupaten Solok</t>
  </si>
  <si>
    <t xml:space="preserve">Sumber: tabel petugas_penyisiran_akun (Supabase), per 18 September 2026.</t>
  </si>
  <si>
    <t xml:space="preserve">No</t>
  </si>
  <si>
    <t xml:space="preserve">Nama</t>
  </si>
  <si>
    <t xml:space="preserve">NIP</t>
  </si>
  <si>
    <t xml:space="preserve">No. HP</t>
  </si>
  <si>
    <t xml:space="preserve">Status</t>
  </si>
  <si>
    <t xml:space="preserve">Kecamatan (Perkiraan)</t>
  </si>
  <si>
    <t xml:space="preserve">Jarak Rumah ke Pusat Kecamatan (km)</t>
  </si>
  <si>
    <t xml:space="preserve">Catatan</t>
  </si>
  <si>
    <t xml:space="preserve">Rini Ferani</t>
  </si>
  <si>
    <t xml:space="preserve">-</t>
  </si>
  <si>
    <t xml:space="preserve">Aktif</t>
  </si>
  <si>
    <t xml:space="preserve">Perkiraan dari lokasi rumah (GPS), bukan penugasan resmi.</t>
  </si>
  <si>
    <t xml:space="preserve">M. Iqbal Hadi</t>
  </si>
  <si>
    <t xml:space="preserve">Novriady</t>
  </si>
  <si>
    <t xml:space="preserve">Lidya Rahmawati Amsah</t>
  </si>
  <si>
    <t xml:space="preserve">Lia Angraini</t>
  </si>
  <si>
    <t xml:space="preserve">130322030016</t>
  </si>
  <si>
    <t xml:space="preserve">+62 853-6458-4187</t>
  </si>
  <si>
    <t xml:space="preserve">Megawati</t>
  </si>
  <si>
    <t xml:space="preserve">130322090066</t>
  </si>
  <si>
    <t xml:space="preserve">+62 852-5693-2265</t>
  </si>
  <si>
    <t xml:space="preserve">Ondri Yandi</t>
  </si>
  <si>
    <t xml:space="preserve">130326050202</t>
  </si>
  <si>
    <t xml:space="preserve">+62 813-8166-1987</t>
  </si>
  <si>
    <t xml:space="preserve">Elvira Okzayenti</t>
  </si>
  <si>
    <t xml:space="preserve">Mega Nana Yulianti</t>
  </si>
  <si>
    <t xml:space="preserve">130322030036</t>
  </si>
  <si>
    <t xml:space="preserve">+62 853-7669-9005</t>
  </si>
  <si>
    <t xml:space="preserve">Nisa Anggraini</t>
  </si>
  <si>
    <t xml:space="preserve">Anggi Mardianto</t>
  </si>
  <si>
    <t xml:space="preserve">(belum ada titik lokasi)</t>
  </si>
  <si>
    <t xml:space="preserve">Lokasi rumah belum tercatat -- belum pernah login di tab Penyisiran Usaha/Perencanaan Lapangan.</t>
  </si>
  <si>
    <t xml:space="preserve">Anggun Permata Munef</t>
  </si>
  <si>
    <t xml:space="preserve">Aprila Insan Suci</t>
  </si>
  <si>
    <t xml:space="preserve">130322090030</t>
  </si>
  <si>
    <t xml:space="preserve">+62 852-7481-2636</t>
  </si>
  <si>
    <t xml:space="preserve">Arini Alva Syaadah</t>
  </si>
  <si>
    <t xml:space="preserve">Bambang Suryanggono</t>
  </si>
  <si>
    <t xml:space="preserve">Deswaty</t>
  </si>
  <si>
    <t xml:space="preserve">Dina Marizka</t>
  </si>
  <si>
    <t xml:space="preserve">Fadhil Ananda</t>
  </si>
  <si>
    <t xml:space="preserve">130326050052</t>
  </si>
  <si>
    <t xml:space="preserve">+62 851-6574-3358</t>
  </si>
  <si>
    <t xml:space="preserve">Faisal Siddiq</t>
  </si>
  <si>
    <t xml:space="preserve">Hanifah Turahmi</t>
  </si>
  <si>
    <t xml:space="preserve">Irfan Salti</t>
  </si>
  <si>
    <t xml:space="preserve">130322020016</t>
  </si>
  <si>
    <t xml:space="preserve">+62 852-6396-9014</t>
  </si>
  <si>
    <t xml:space="preserve">Mailani Putri</t>
  </si>
  <si>
    <t xml:space="preserve">Nurafiza Thamrin</t>
  </si>
  <si>
    <t xml:space="preserve">Oryza Maria Ulva</t>
  </si>
  <si>
    <t xml:space="preserve">Riva Hestaria</t>
  </si>
  <si>
    <t xml:space="preserve">Uci Yumanda Rizki</t>
  </si>
  <si>
    <t xml:space="preserve">Velmarniati</t>
  </si>
  <si>
    <t xml:space="preserve">Wisnu Dwi Jayanto</t>
  </si>
  <si>
    <t xml:space="preserve">Witria Dasni</t>
  </si>
  <si>
    <t xml:space="preserve">Yudi Firdian</t>
  </si>
  <si>
    <t xml:space="preserve">Adri Yoy Marten</t>
  </si>
  <si>
    <t xml:space="preserve">130323020003</t>
  </si>
  <si>
    <t xml:space="preserve">+62 838-5252-0866</t>
  </si>
  <si>
    <t xml:space="preserve">Nonaktif</t>
  </si>
  <si>
    <t xml:space="preserve">Agung Maulana Dinata</t>
  </si>
  <si>
    <t xml:space="preserve">130326050198</t>
  </si>
  <si>
    <t xml:space="preserve">+62 815-3755-5241</t>
  </si>
  <si>
    <t xml:space="preserve">Alex Sandryadi</t>
  </si>
  <si>
    <t xml:space="preserve">130323030045</t>
  </si>
  <si>
    <t xml:space="preserve">+62 822-8368-3828</t>
  </si>
  <si>
    <t xml:space="preserve">Andika Muliawan</t>
  </si>
  <si>
    <t xml:space="preserve">130322020012</t>
  </si>
  <si>
    <t xml:space="preserve">+62 831-3418-4530</t>
  </si>
  <si>
    <t xml:space="preserve">Arianda Eka Saputra</t>
  </si>
  <si>
    <t xml:space="preserve">Asmifitra Dewi</t>
  </si>
  <si>
    <t xml:space="preserve">130322090117</t>
  </si>
  <si>
    <t xml:space="preserve">+62 812-7522-0511</t>
  </si>
  <si>
    <t xml:space="preserve">Atler Sardani</t>
  </si>
  <si>
    <t xml:space="preserve">130323050013</t>
  </si>
  <si>
    <t xml:space="preserve">+62 821-7044-4991</t>
  </si>
  <si>
    <t xml:space="preserve">Ayu Sepriani</t>
  </si>
  <si>
    <t xml:space="preserve">130322030008</t>
  </si>
  <si>
    <t xml:space="preserve">+62 812-6686-3316</t>
  </si>
  <si>
    <t xml:space="preserve">Bukhtiar</t>
  </si>
  <si>
    <t xml:space="preserve">130322090109</t>
  </si>
  <si>
    <t xml:space="preserve">+62 813-7453-6081</t>
  </si>
  <si>
    <t xml:space="preserve">Dessy Meiyarni</t>
  </si>
  <si>
    <t xml:space="preserve">130322030018</t>
  </si>
  <si>
    <t xml:space="preserve">+62 822-8584-4564</t>
  </si>
  <si>
    <t xml:space="preserve">Doli Putri Fahmi Sari</t>
  </si>
  <si>
    <t xml:space="preserve">130322090101</t>
  </si>
  <si>
    <t xml:space="preserve">+62 822-3996-6168</t>
  </si>
  <si>
    <t xml:space="preserve">Elmiyanti</t>
  </si>
  <si>
    <t xml:space="preserve">130322030049</t>
  </si>
  <si>
    <t xml:space="preserve">+62 083-9236-1112</t>
  </si>
  <si>
    <t xml:space="preserve">Ferianto</t>
  </si>
  <si>
    <t xml:space="preserve">130322020003</t>
  </si>
  <si>
    <t xml:space="preserve">+62 813-7430-6238</t>
  </si>
  <si>
    <t xml:space="preserve">Fitri Arestia</t>
  </si>
  <si>
    <t xml:space="preserve">130325110141</t>
  </si>
  <si>
    <t xml:space="preserve">+62 857-6074-2499</t>
  </si>
  <si>
    <t xml:space="preserve">Hudra Marfiadi</t>
  </si>
  <si>
    <t xml:space="preserve">130322100062</t>
  </si>
  <si>
    <t xml:space="preserve">+62 813-7240-4386</t>
  </si>
  <si>
    <t xml:space="preserve">Inggrit Yulia Hastri</t>
  </si>
  <si>
    <t xml:space="preserve">130322100052</t>
  </si>
  <si>
    <t xml:space="preserve">+62 852-6334-1414</t>
  </si>
  <si>
    <t xml:space="preserve">Irawita</t>
  </si>
  <si>
    <t xml:space="preserve">130322030012</t>
  </si>
  <si>
    <t xml:space="preserve">+62 813-6449-6059</t>
  </si>
  <si>
    <t xml:space="preserve">Kardina Putri Yanti</t>
  </si>
  <si>
    <t xml:space="preserve">130323110055</t>
  </si>
  <si>
    <t xml:space="preserve">+62 821-7009-0231</t>
  </si>
  <si>
    <t xml:space="preserve">Kodratul Iman</t>
  </si>
  <si>
    <t xml:space="preserve">130322030005</t>
  </si>
  <si>
    <t xml:space="preserve">+62 823-8540-8175</t>
  </si>
  <si>
    <t xml:space="preserve">Lara Febria Sari</t>
  </si>
  <si>
    <t xml:space="preserve">130322100015</t>
  </si>
  <si>
    <t xml:space="preserve">+62 812-7087-334</t>
  </si>
  <si>
    <t xml:space="preserve">Luki Sirup Ramadan</t>
  </si>
  <si>
    <t xml:space="preserve">130323030037</t>
  </si>
  <si>
    <t xml:space="preserve">+62 831-8215-4338</t>
  </si>
  <si>
    <t xml:space="preserve">Metri Jaya Putra</t>
  </si>
  <si>
    <t xml:space="preserve">130323030070</t>
  </si>
  <si>
    <t xml:space="preserve">+62 853-6502-9392</t>
  </si>
  <si>
    <t xml:space="preserve">Noval Afrian Putra</t>
  </si>
  <si>
    <t xml:space="preserve">130322020032</t>
  </si>
  <si>
    <t xml:space="preserve">+62 823-8683-6199</t>
  </si>
  <si>
    <t xml:space="preserve">Novia Lastri Suci</t>
  </si>
  <si>
    <t xml:space="preserve">130322030057</t>
  </si>
  <si>
    <t xml:space="preserve">+62 812-6129-9289</t>
  </si>
  <si>
    <t xml:space="preserve">Putri Marvina Coswari</t>
  </si>
  <si>
    <t xml:space="preserve">130322100082</t>
  </si>
  <si>
    <t xml:space="preserve">+62 823-9125-5343</t>
  </si>
  <si>
    <t xml:space="preserve">Rahmi Febrinasari</t>
  </si>
  <si>
    <t xml:space="preserve">130323110004</t>
  </si>
  <si>
    <t xml:space="preserve">+62 823-8308-8675</t>
  </si>
  <si>
    <t xml:space="preserve">Rahmy Annisa Adlis</t>
  </si>
  <si>
    <t xml:space="preserve">130322030046</t>
  </si>
  <si>
    <t xml:space="preserve">+62 813-7822-6970</t>
  </si>
  <si>
    <t xml:space="preserve">Riri Puspita</t>
  </si>
  <si>
    <t xml:space="preserve">130325110083</t>
  </si>
  <si>
    <t xml:space="preserve">+62 082-2889-88952</t>
  </si>
  <si>
    <t xml:space="preserve">Rora Natalia Susanty</t>
  </si>
  <si>
    <t xml:space="preserve">130322090188</t>
  </si>
  <si>
    <t xml:space="preserve">+62 823-8483-3363</t>
  </si>
  <si>
    <t xml:space="preserve">Rosserita</t>
  </si>
  <si>
    <t xml:space="preserve">130322020024</t>
  </si>
  <si>
    <t xml:space="preserve">+62 823-1829-9088</t>
  </si>
  <si>
    <t xml:space="preserve">Saputra Ebel Feri</t>
  </si>
  <si>
    <t xml:space="preserve">130322020036</t>
  </si>
  <si>
    <t xml:space="preserve">+62 813-6306-6329</t>
  </si>
  <si>
    <t xml:space="preserve">Sisri Suryani</t>
  </si>
  <si>
    <t xml:space="preserve">130322100132</t>
  </si>
  <si>
    <t xml:space="preserve">+62 085-2780-23418</t>
  </si>
  <si>
    <t xml:space="preserve">Solvia Maivita</t>
  </si>
  <si>
    <t xml:space="preserve">130323110043</t>
  </si>
  <si>
    <t xml:space="preserve">+62 813-6567-9188</t>
  </si>
  <si>
    <t xml:space="preserve">Sri Mulyati</t>
  </si>
  <si>
    <t xml:space="preserve">130322030045</t>
  </si>
  <si>
    <t xml:space="preserve">+62 853-7440-3812</t>
  </si>
  <si>
    <t xml:space="preserve">Usyenti</t>
  </si>
  <si>
    <t xml:space="preserve">130322020014</t>
  </si>
  <si>
    <t xml:space="preserve">+62 823-8899-8063</t>
  </si>
  <si>
    <t xml:space="preserve">Vegita Dwi Yuniza</t>
  </si>
  <si>
    <t xml:space="preserve">130326050201</t>
  </si>
  <si>
    <t xml:space="preserve">+62 822-8426-6196</t>
  </si>
  <si>
    <t xml:space="preserve">Weni Desti</t>
  </si>
  <si>
    <t xml:space="preserve">130326050204</t>
  </si>
  <si>
    <t xml:space="preserve">+62 821-7290-4394</t>
  </si>
  <si>
    <t xml:space="preserve">Widya Elvera</t>
  </si>
  <si>
    <t xml:space="preserve">130322020008</t>
  </si>
  <si>
    <t xml:space="preserve">+62 823-8966-3002</t>
  </si>
  <si>
    <t xml:space="preserve">Widya Verawati</t>
  </si>
  <si>
    <t xml:space="preserve">130322030025</t>
  </si>
  <si>
    <t xml:space="preserve">+62 852-7477-5368</t>
  </si>
  <si>
    <t xml:space="preserve">Yeni Siswanti</t>
  </si>
  <si>
    <t xml:space="preserve">130322020035</t>
  </si>
  <si>
    <t xml:space="preserve">+62 838-2323-6068</t>
  </si>
  <si>
    <t xml:space="preserve">Yesi Adriani</t>
  </si>
  <si>
    <t xml:space="preserve">130323040003</t>
  </si>
  <si>
    <t xml:space="preserve">+62 822-8960-0143</t>
  </si>
  <si>
    <t xml:space="preserve">Yesi Miharni</t>
  </si>
  <si>
    <t xml:space="preserve">130326050205</t>
  </si>
  <si>
    <t xml:space="preserve">+62 857-6507-7088</t>
  </si>
  <si>
    <t xml:space="preserve">Yola Mulia Putri</t>
  </si>
  <si>
    <t xml:space="preserve">130326050206</t>
  </si>
  <si>
    <t xml:space="preserve">+62 838-5889-037</t>
  </si>
  <si>
    <t xml:space="preserve">Yulia Geni Putri</t>
  </si>
  <si>
    <t xml:space="preserve">130322100108</t>
  </si>
  <si>
    <t xml:space="preserve">+62 853-6367-4304</t>
  </si>
  <si>
    <t xml:space="preserve">Yulia Hamdany</t>
  </si>
  <si>
    <t xml:space="preserve">130322100029</t>
  </si>
  <si>
    <t xml:space="preserve">+62 813-9807-5858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</si>
</sst>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sz val="10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COUNTIFS('Daftar Petugas'!$F$5:$F$79,"BUKIT SUNDI",'Daftar Petugas'!$E$5:$E$79,"Aktif")</f>
        <v>1</v>
      </c>
      <c r="C5" s="5" t="n">
        <f aca="false">COUNTIFS('Daftar Petugas'!$F$5:$F$79,"BUKIT SUNDI",'Daftar Petugas'!$E$5:$E$79,"Nonaktif")</f>
        <v>0</v>
      </c>
      <c r="D5" s="6" t="n">
        <f aca="false">B5+C5</f>
        <v>1</v>
      </c>
    </row>
    <row r="6" customFormat="false" ht="15" hidden="false" customHeight="false" outlineLevel="0" collapsed="false">
      <c r="A6" s="4" t="s">
        <v>7</v>
      </c>
      <c r="B6" s="5" t="n">
        <f aca="false">COUNTIFS('Daftar Petugas'!$F$5:$F$79,"DANAU KEMBAR",'Daftar Petugas'!$E$5:$E$79,"Aktif")</f>
        <v>0</v>
      </c>
      <c r="C6" s="5" t="n">
        <f aca="false">COUNTIFS('Daftar Petugas'!$F$5:$F$79,"DANAU KEMBAR",'Daftar Petugas'!$E$5:$E$79,"Nonaktif")</f>
        <v>0</v>
      </c>
      <c r="D6" s="6" t="n">
        <f aca="false">B6+C6</f>
        <v>0</v>
      </c>
    </row>
    <row r="7" customFormat="false" ht="15" hidden="false" customHeight="false" outlineLevel="0" collapsed="false">
      <c r="A7" s="4" t="s">
        <v>8</v>
      </c>
      <c r="B7" s="5" t="n">
        <f aca="false">COUNTIFS('Daftar Petugas'!$F$5:$F$79,"GUNUNG TALANG",'Daftar Petugas'!$E$5:$E$79,"Aktif")</f>
        <v>2</v>
      </c>
      <c r="C7" s="5" t="n">
        <f aca="false">COUNTIFS('Daftar Petugas'!$F$5:$F$79,"GUNUNG TALANG",'Daftar Petugas'!$E$5:$E$79,"Nonaktif")</f>
        <v>0</v>
      </c>
      <c r="D7" s="6" t="n">
        <f aca="false">B7+C7</f>
        <v>2</v>
      </c>
    </row>
    <row r="8" customFormat="false" ht="15" hidden="false" customHeight="false" outlineLevel="0" collapsed="false">
      <c r="A8" s="4" t="s">
        <v>9</v>
      </c>
      <c r="B8" s="5" t="n">
        <f aca="false">COUNTIFS('Daftar Petugas'!$F$5:$F$79,"HILIRAN GUMANTI",'Daftar Petugas'!$E$5:$E$79,"Aktif")</f>
        <v>0</v>
      </c>
      <c r="C8" s="5" t="n">
        <f aca="false">COUNTIFS('Daftar Petugas'!$F$5:$F$79,"HILIRAN GUMANTI",'Daftar Petugas'!$E$5:$E$79,"Nonaktif")</f>
        <v>0</v>
      </c>
      <c r="D8" s="6" t="n">
        <f aca="false">B8+C8</f>
        <v>0</v>
      </c>
    </row>
    <row r="9" customFormat="false" ht="15" hidden="false" customHeight="false" outlineLevel="0" collapsed="false">
      <c r="A9" s="4" t="s">
        <v>10</v>
      </c>
      <c r="B9" s="5" t="n">
        <f aca="false">COUNTIFS('Daftar Petugas'!$F$5:$F$79,"IX KOTO SUNGAI LASI",'Daftar Petugas'!$E$5:$E$79,"Aktif")</f>
        <v>1</v>
      </c>
      <c r="C9" s="5" t="n">
        <f aca="false">COUNTIFS('Daftar Petugas'!$F$5:$F$79,"IX KOTO SUNGAI LASI",'Daftar Petugas'!$E$5:$E$79,"Nonaktif")</f>
        <v>0</v>
      </c>
      <c r="D9" s="6" t="n">
        <f aca="false">B9+C9</f>
        <v>1</v>
      </c>
    </row>
    <row r="10" customFormat="false" ht="15" hidden="false" customHeight="false" outlineLevel="0" collapsed="false">
      <c r="A10" s="4" t="s">
        <v>11</v>
      </c>
      <c r="B10" s="5" t="n">
        <f aca="false">COUNTIFS('Daftar Petugas'!$F$5:$F$79,"JUNJUNG SIRIH",'Daftar Petugas'!$E$5:$E$79,"Aktif")</f>
        <v>3</v>
      </c>
      <c r="C10" s="5" t="n">
        <f aca="false">COUNTIFS('Daftar Petugas'!$F$5:$F$79,"JUNJUNG SIRIH",'Daftar Petugas'!$E$5:$E$79,"Nonaktif")</f>
        <v>0</v>
      </c>
      <c r="D10" s="6" t="n">
        <f aca="false">B10+C10</f>
        <v>3</v>
      </c>
    </row>
    <row r="11" customFormat="false" ht="15" hidden="false" customHeight="false" outlineLevel="0" collapsed="false">
      <c r="A11" s="4" t="s">
        <v>12</v>
      </c>
      <c r="B11" s="5" t="n">
        <f aca="false">COUNTIFS('Daftar Petugas'!$F$5:$F$79,"KUBUNG",'Daftar Petugas'!$E$5:$E$79,"Aktif")</f>
        <v>2</v>
      </c>
      <c r="C11" s="5" t="n">
        <f aca="false">COUNTIFS('Daftar Petugas'!$F$5:$F$79,"KUBUNG",'Daftar Petugas'!$E$5:$E$79,"Nonaktif")</f>
        <v>0</v>
      </c>
      <c r="D11" s="6" t="n">
        <f aca="false">B11+C11</f>
        <v>2</v>
      </c>
    </row>
    <row r="12" customFormat="false" ht="15" hidden="false" customHeight="false" outlineLevel="0" collapsed="false">
      <c r="A12" s="4" t="s">
        <v>13</v>
      </c>
      <c r="B12" s="5" t="n">
        <f aca="false">COUNTIFS('Daftar Petugas'!$F$5:$F$79,"LEMBAH GUMANTI",'Daftar Petugas'!$E$5:$E$79,"Aktif")</f>
        <v>0</v>
      </c>
      <c r="C12" s="5" t="n">
        <f aca="false">COUNTIFS('Daftar Petugas'!$F$5:$F$79,"LEMBAH GUMANTI",'Daftar Petugas'!$E$5:$E$79,"Nonaktif")</f>
        <v>0</v>
      </c>
      <c r="D12" s="6" t="n">
        <f aca="false">B12+C12</f>
        <v>0</v>
      </c>
    </row>
    <row r="13" customFormat="false" ht="15" hidden="false" customHeight="false" outlineLevel="0" collapsed="false">
      <c r="A13" s="4" t="s">
        <v>14</v>
      </c>
      <c r="B13" s="5" t="n">
        <f aca="false">COUNTIFS('Daftar Petugas'!$F$5:$F$79,"LEMBANG JAYA",'Daftar Petugas'!$E$5:$E$79,"Aktif")</f>
        <v>0</v>
      </c>
      <c r="C13" s="5" t="n">
        <f aca="false">COUNTIFS('Daftar Petugas'!$F$5:$F$79,"LEMBANG JAYA",'Daftar Petugas'!$E$5:$E$79,"Nonaktif")</f>
        <v>0</v>
      </c>
      <c r="D13" s="6" t="n">
        <f aca="false">B13+C13</f>
        <v>0</v>
      </c>
    </row>
    <row r="14" customFormat="false" ht="15" hidden="false" customHeight="false" outlineLevel="0" collapsed="false">
      <c r="A14" s="4" t="s">
        <v>15</v>
      </c>
      <c r="B14" s="5" t="n">
        <f aca="false">COUNTIFS('Daftar Petugas'!$F$5:$F$79,"PANTAI CERMIN",'Daftar Petugas'!$E$5:$E$79,"Aktif")</f>
        <v>1</v>
      </c>
      <c r="C14" s="5" t="n">
        <f aca="false">COUNTIFS('Daftar Petugas'!$F$5:$F$79,"PANTAI CERMIN",'Daftar Petugas'!$E$5:$E$79,"Nonaktif")</f>
        <v>0</v>
      </c>
      <c r="D14" s="6" t="n">
        <f aca="false">B14+C14</f>
        <v>1</v>
      </c>
    </row>
    <row r="15" customFormat="false" ht="15" hidden="false" customHeight="false" outlineLevel="0" collapsed="false">
      <c r="A15" s="4" t="s">
        <v>16</v>
      </c>
      <c r="B15" s="5" t="n">
        <f aca="false">COUNTIFS('Daftar Petugas'!$F$5:$F$79,"PAYUNG SEKAKI",'Daftar Petugas'!$E$5:$E$79,"Aktif")</f>
        <v>0</v>
      </c>
      <c r="C15" s="5" t="n">
        <f aca="false">COUNTIFS('Daftar Petugas'!$F$5:$F$79,"PAYUNG SEKAKI",'Daftar Petugas'!$E$5:$E$79,"Nonaktif")</f>
        <v>0</v>
      </c>
      <c r="D15" s="6" t="n">
        <f aca="false">B15+C15</f>
        <v>0</v>
      </c>
    </row>
    <row r="16" customFormat="false" ht="15" hidden="false" customHeight="false" outlineLevel="0" collapsed="false">
      <c r="A16" s="4" t="s">
        <v>17</v>
      </c>
      <c r="B16" s="5" t="n">
        <f aca="false">COUNTIFS('Daftar Petugas'!$F$5:$F$79,"TIGO LURAH",'Daftar Petugas'!$E$5:$E$79,"Aktif")</f>
        <v>0</v>
      </c>
      <c r="C16" s="5" t="n">
        <f aca="false">COUNTIFS('Daftar Petugas'!$F$5:$F$79,"TIGO LURAH",'Daftar Petugas'!$E$5:$E$79,"Nonaktif")</f>
        <v>0</v>
      </c>
      <c r="D16" s="6" t="n">
        <f aca="false">B16+C16</f>
        <v>0</v>
      </c>
    </row>
    <row r="17" customFormat="false" ht="15" hidden="false" customHeight="false" outlineLevel="0" collapsed="false">
      <c r="A17" s="4" t="s">
        <v>18</v>
      </c>
      <c r="B17" s="5" t="n">
        <f aca="false">COUNTIFS('Daftar Petugas'!$F$5:$F$79,"X KOTO DIATAS",'Daftar Petugas'!$E$5:$E$79,"Aktif")</f>
        <v>0</v>
      </c>
      <c r="C17" s="5" t="n">
        <f aca="false">COUNTIFS('Daftar Petugas'!$F$5:$F$79,"X KOTO DIATAS",'Daftar Petugas'!$E$5:$E$79,"Nonaktif")</f>
        <v>0</v>
      </c>
      <c r="D17" s="6" t="n">
        <f aca="false">B17+C17</f>
        <v>0</v>
      </c>
    </row>
    <row r="18" customFormat="false" ht="15" hidden="false" customHeight="false" outlineLevel="0" collapsed="false">
      <c r="A18" s="4" t="s">
        <v>19</v>
      </c>
      <c r="B18" s="5" t="n">
        <f aca="false">COUNTIFS('Daftar Petugas'!$F$5:$F$79,"X KOTO SINGKARAK",'Daftar Petugas'!$E$5:$E$79,"Aktif")</f>
        <v>0</v>
      </c>
      <c r="C18" s="5" t="n">
        <f aca="false">COUNTIFS('Daftar Petugas'!$F$5:$F$79,"X KOTO SINGKARAK",'Daftar Petugas'!$E$5:$E$79,"Nonaktif")</f>
        <v>0</v>
      </c>
      <c r="D18" s="6" t="n">
        <f aca="false">B18+C18</f>
        <v>0</v>
      </c>
    </row>
    <row r="19" customFormat="false" ht="15" hidden="false" customHeight="false" outlineLevel="0" collapsed="false">
      <c r="A19" s="4" t="s">
        <v>20</v>
      </c>
      <c r="B19" s="5" t="n">
        <f aca="false">COUNTIFS('Daftar Petugas'!$F$5:$F$79,"(belum ada titik lokasi)",'Daftar Petugas'!$E$5:$E$79,"Aktif")</f>
        <v>20</v>
      </c>
      <c r="C19" s="5" t="n">
        <f aca="false">COUNTIFS('Daftar Petugas'!$F$5:$F$79,"(belum ada titik lokasi)",'Daftar Petugas'!$E$5:$E$79,"Nonaktif")</f>
        <v>45</v>
      </c>
      <c r="D19" s="6" t="n">
        <f aca="false">B19+C19</f>
        <v>65</v>
      </c>
    </row>
    <row r="20" customFormat="false" ht="15" hidden="false" customHeight="false" outlineLevel="0" collapsed="false">
      <c r="A20" s="7" t="s">
        <v>5</v>
      </c>
      <c r="B20" s="6" t="n">
        <f aca="false">SUM(B5:B19)</f>
        <v>30</v>
      </c>
      <c r="C20" s="6" t="n">
        <f aca="false">SUM(C5:C19)</f>
        <v>45</v>
      </c>
      <c r="D20" s="6" t="n">
        <f aca="false">SUM(D5:D19)</f>
        <v>75</v>
      </c>
    </row>
    <row r="22" customFormat="false" ht="15" hidden="false" customHeight="false" outlineLevel="0" collapsed="false">
      <c r="A22" s="8" t="s">
        <v>21</v>
      </c>
      <c r="B22" s="8"/>
      <c r="C22" s="8"/>
      <c r="D22" s="8"/>
    </row>
  </sheetData>
  <mergeCells count="3">
    <mergeCell ref="A1:D1"/>
    <mergeCell ref="A2:D2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22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23</v>
      </c>
      <c r="B2" s="2"/>
      <c r="C2" s="2"/>
      <c r="D2" s="2"/>
      <c r="E2" s="2"/>
      <c r="F2" s="2"/>
      <c r="G2" s="2"/>
      <c r="H2" s="2"/>
    </row>
    <row r="4" customFormat="false" ht="52.2" hidden="false" customHeight="false" outlineLevel="0" collapsed="false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</row>
    <row r="5" customFormat="false" ht="15" hidden="false" customHeight="false" outlineLevel="0" collapsed="false">
      <c r="A5" s="5" t="n">
        <v>1</v>
      </c>
      <c r="B5" s="4" t="s">
        <v>32</v>
      </c>
      <c r="C5" s="4" t="s">
        <v>33</v>
      </c>
      <c r="D5" s="4" t="s">
        <v>33</v>
      </c>
      <c r="E5" s="4" t="s">
        <v>34</v>
      </c>
      <c r="F5" s="4" t="s">
        <v>6</v>
      </c>
      <c r="G5" s="9" t="n">
        <v>4.1</v>
      </c>
      <c r="H5" s="4" t="s">
        <v>35</v>
      </c>
    </row>
    <row r="6" customFormat="false" ht="15" hidden="false" customHeight="false" outlineLevel="0" collapsed="false">
      <c r="A6" s="5" t="n">
        <v>2</v>
      </c>
      <c r="B6" s="4" t="s">
        <v>36</v>
      </c>
      <c r="C6" s="4" t="s">
        <v>33</v>
      </c>
      <c r="D6" s="4" t="s">
        <v>33</v>
      </c>
      <c r="E6" s="4" t="s">
        <v>34</v>
      </c>
      <c r="F6" s="4" t="s">
        <v>8</v>
      </c>
      <c r="G6" s="9" t="n">
        <v>25.68</v>
      </c>
      <c r="H6" s="4" t="s">
        <v>35</v>
      </c>
    </row>
    <row r="7" customFormat="false" ht="15" hidden="false" customHeight="false" outlineLevel="0" collapsed="false">
      <c r="A7" s="5" t="n">
        <v>3</v>
      </c>
      <c r="B7" s="4" t="s">
        <v>37</v>
      </c>
      <c r="C7" s="4" t="s">
        <v>33</v>
      </c>
      <c r="D7" s="4" t="s">
        <v>33</v>
      </c>
      <c r="E7" s="4" t="s">
        <v>34</v>
      </c>
      <c r="F7" s="4" t="s">
        <v>8</v>
      </c>
      <c r="G7" s="9" t="n">
        <v>5.39</v>
      </c>
      <c r="H7" s="4" t="s">
        <v>35</v>
      </c>
    </row>
    <row r="8" customFormat="false" ht="15" hidden="false" customHeight="false" outlineLevel="0" collapsed="false">
      <c r="A8" s="5" t="n">
        <v>4</v>
      </c>
      <c r="B8" s="4" t="s">
        <v>38</v>
      </c>
      <c r="C8" s="4" t="s">
        <v>33</v>
      </c>
      <c r="D8" s="4" t="s">
        <v>33</v>
      </c>
      <c r="E8" s="4" t="s">
        <v>34</v>
      </c>
      <c r="F8" s="4" t="s">
        <v>10</v>
      </c>
      <c r="G8" s="9" t="n">
        <v>3.78</v>
      </c>
      <c r="H8" s="4" t="s">
        <v>35</v>
      </c>
    </row>
    <row r="9" customFormat="false" ht="15" hidden="false" customHeight="false" outlineLevel="0" collapsed="false">
      <c r="A9" s="5" t="n">
        <v>5</v>
      </c>
      <c r="B9" s="4" t="s">
        <v>39</v>
      </c>
      <c r="C9" s="4" t="s">
        <v>40</v>
      </c>
      <c r="D9" s="4" t="s">
        <v>41</v>
      </c>
      <c r="E9" s="4" t="s">
        <v>34</v>
      </c>
      <c r="F9" s="4" t="s">
        <v>11</v>
      </c>
      <c r="G9" s="9" t="n">
        <v>5.51</v>
      </c>
      <c r="H9" s="4" t="s">
        <v>35</v>
      </c>
    </row>
    <row r="10" customFormat="false" ht="15" hidden="false" customHeight="false" outlineLevel="0" collapsed="false">
      <c r="A10" s="5" t="n">
        <v>6</v>
      </c>
      <c r="B10" s="4" t="s">
        <v>42</v>
      </c>
      <c r="C10" s="4" t="s">
        <v>43</v>
      </c>
      <c r="D10" s="4" t="s">
        <v>44</v>
      </c>
      <c r="E10" s="4" t="s">
        <v>34</v>
      </c>
      <c r="F10" s="4" t="s">
        <v>11</v>
      </c>
      <c r="G10" s="9" t="n">
        <v>1.09</v>
      </c>
      <c r="H10" s="4" t="s">
        <v>35</v>
      </c>
    </row>
    <row r="11" customFormat="false" ht="15" hidden="false" customHeight="false" outlineLevel="0" collapsed="false">
      <c r="A11" s="5" t="n">
        <v>7</v>
      </c>
      <c r="B11" s="4" t="s">
        <v>45</v>
      </c>
      <c r="C11" s="4" t="s">
        <v>46</v>
      </c>
      <c r="D11" s="4" t="s">
        <v>47</v>
      </c>
      <c r="E11" s="4" t="s">
        <v>34</v>
      </c>
      <c r="F11" s="4" t="s">
        <v>11</v>
      </c>
      <c r="G11" s="9" t="n">
        <v>32.47</v>
      </c>
      <c r="H11" s="4" t="s">
        <v>35</v>
      </c>
    </row>
    <row r="12" customFormat="false" ht="15" hidden="false" customHeight="false" outlineLevel="0" collapsed="false">
      <c r="A12" s="5" t="n">
        <v>8</v>
      </c>
      <c r="B12" s="4" t="s">
        <v>48</v>
      </c>
      <c r="C12" s="4" t="s">
        <v>33</v>
      </c>
      <c r="D12" s="4" t="s">
        <v>33</v>
      </c>
      <c r="E12" s="4" t="s">
        <v>34</v>
      </c>
      <c r="F12" s="4" t="s">
        <v>12</v>
      </c>
      <c r="G12" s="9" t="n">
        <v>3.97</v>
      </c>
      <c r="H12" s="4" t="s">
        <v>35</v>
      </c>
    </row>
    <row r="13" customFormat="false" ht="15" hidden="false" customHeight="false" outlineLevel="0" collapsed="false">
      <c r="A13" s="5" t="n">
        <v>9</v>
      </c>
      <c r="B13" s="4" t="s">
        <v>49</v>
      </c>
      <c r="C13" s="4" t="s">
        <v>50</v>
      </c>
      <c r="D13" s="4" t="s">
        <v>51</v>
      </c>
      <c r="E13" s="4" t="s">
        <v>34</v>
      </c>
      <c r="F13" s="4" t="s">
        <v>12</v>
      </c>
      <c r="G13" s="9" t="n">
        <v>1.19</v>
      </c>
      <c r="H13" s="4" t="s">
        <v>35</v>
      </c>
    </row>
    <row r="14" customFormat="false" ht="15" hidden="false" customHeight="false" outlineLevel="0" collapsed="false">
      <c r="A14" s="5" t="n">
        <v>10</v>
      </c>
      <c r="B14" s="4" t="s">
        <v>52</v>
      </c>
      <c r="C14" s="4" t="s">
        <v>33</v>
      </c>
      <c r="D14" s="4" t="s">
        <v>33</v>
      </c>
      <c r="E14" s="4" t="s">
        <v>34</v>
      </c>
      <c r="F14" s="4" t="s">
        <v>15</v>
      </c>
      <c r="G14" s="9" t="n">
        <v>2.69</v>
      </c>
      <c r="H14" s="4" t="s">
        <v>35</v>
      </c>
    </row>
    <row r="15" customFormat="false" ht="15" hidden="false" customHeight="false" outlineLevel="0" collapsed="false">
      <c r="A15" s="5" t="n">
        <v>11</v>
      </c>
      <c r="B15" s="4" t="s">
        <v>53</v>
      </c>
      <c r="C15" s="4" t="s">
        <v>33</v>
      </c>
      <c r="D15" s="4" t="s">
        <v>33</v>
      </c>
      <c r="E15" s="4" t="s">
        <v>34</v>
      </c>
      <c r="F15" s="4" t="s">
        <v>54</v>
      </c>
      <c r="G15" s="5"/>
      <c r="H15" s="4" t="s">
        <v>55</v>
      </c>
    </row>
    <row r="16" customFormat="false" ht="15" hidden="false" customHeight="false" outlineLevel="0" collapsed="false">
      <c r="A16" s="5" t="n">
        <v>12</v>
      </c>
      <c r="B16" s="4" t="s">
        <v>56</v>
      </c>
      <c r="C16" s="4" t="s">
        <v>33</v>
      </c>
      <c r="D16" s="4" t="s">
        <v>33</v>
      </c>
      <c r="E16" s="4" t="s">
        <v>34</v>
      </c>
      <c r="F16" s="4" t="s">
        <v>54</v>
      </c>
      <c r="G16" s="5"/>
      <c r="H16" s="4" t="s">
        <v>55</v>
      </c>
    </row>
    <row r="17" customFormat="false" ht="15" hidden="false" customHeight="false" outlineLevel="0" collapsed="false">
      <c r="A17" s="5" t="n">
        <v>13</v>
      </c>
      <c r="B17" s="4" t="s">
        <v>57</v>
      </c>
      <c r="C17" s="4" t="s">
        <v>58</v>
      </c>
      <c r="D17" s="4" t="s">
        <v>59</v>
      </c>
      <c r="E17" s="4" t="s">
        <v>34</v>
      </c>
      <c r="F17" s="4" t="s">
        <v>54</v>
      </c>
      <c r="G17" s="5"/>
      <c r="H17" s="4" t="s">
        <v>55</v>
      </c>
    </row>
    <row r="18" customFormat="false" ht="15" hidden="false" customHeight="false" outlineLevel="0" collapsed="false">
      <c r="A18" s="5" t="n">
        <v>14</v>
      </c>
      <c r="B18" s="4" t="s">
        <v>60</v>
      </c>
      <c r="C18" s="4" t="s">
        <v>33</v>
      </c>
      <c r="D18" s="4" t="s">
        <v>33</v>
      </c>
      <c r="E18" s="4" t="s">
        <v>34</v>
      </c>
      <c r="F18" s="4" t="s">
        <v>54</v>
      </c>
      <c r="G18" s="5"/>
      <c r="H18" s="4" t="s">
        <v>55</v>
      </c>
    </row>
    <row r="19" customFormat="false" ht="15" hidden="false" customHeight="false" outlineLevel="0" collapsed="false">
      <c r="A19" s="5" t="n">
        <v>15</v>
      </c>
      <c r="B19" s="4" t="s">
        <v>61</v>
      </c>
      <c r="C19" s="4" t="s">
        <v>33</v>
      </c>
      <c r="D19" s="4" t="s">
        <v>33</v>
      </c>
      <c r="E19" s="4" t="s">
        <v>34</v>
      </c>
      <c r="F19" s="4" t="s">
        <v>54</v>
      </c>
      <c r="G19" s="5"/>
      <c r="H19" s="4" t="s">
        <v>55</v>
      </c>
    </row>
    <row r="20" customFormat="false" ht="15" hidden="false" customHeight="false" outlineLevel="0" collapsed="false">
      <c r="A20" s="5" t="n">
        <v>16</v>
      </c>
      <c r="B20" s="4" t="s">
        <v>62</v>
      </c>
      <c r="C20" s="4" t="s">
        <v>33</v>
      </c>
      <c r="D20" s="4" t="s">
        <v>33</v>
      </c>
      <c r="E20" s="4" t="s">
        <v>34</v>
      </c>
      <c r="F20" s="4" t="s">
        <v>54</v>
      </c>
      <c r="G20" s="5"/>
      <c r="H20" s="4" t="s">
        <v>55</v>
      </c>
    </row>
    <row r="21" customFormat="false" ht="15" hidden="false" customHeight="false" outlineLevel="0" collapsed="false">
      <c r="A21" s="5" t="n">
        <v>17</v>
      </c>
      <c r="B21" s="4" t="s">
        <v>63</v>
      </c>
      <c r="C21" s="4" t="s">
        <v>33</v>
      </c>
      <c r="D21" s="4" t="s">
        <v>33</v>
      </c>
      <c r="E21" s="4" t="s">
        <v>34</v>
      </c>
      <c r="F21" s="4" t="s">
        <v>54</v>
      </c>
      <c r="G21" s="5"/>
      <c r="H21" s="4" t="s">
        <v>55</v>
      </c>
    </row>
    <row r="22" customFormat="false" ht="15" hidden="false" customHeight="false" outlineLevel="0" collapsed="false">
      <c r="A22" s="5" t="n">
        <v>18</v>
      </c>
      <c r="B22" s="4" t="s">
        <v>64</v>
      </c>
      <c r="C22" s="4" t="s">
        <v>65</v>
      </c>
      <c r="D22" s="4" t="s">
        <v>66</v>
      </c>
      <c r="E22" s="4" t="s">
        <v>34</v>
      </c>
      <c r="F22" s="4" t="s">
        <v>54</v>
      </c>
      <c r="G22" s="5"/>
      <c r="H22" s="4" t="s">
        <v>55</v>
      </c>
    </row>
    <row r="23" customFormat="false" ht="15" hidden="false" customHeight="false" outlineLevel="0" collapsed="false">
      <c r="A23" s="5" t="n">
        <v>19</v>
      </c>
      <c r="B23" s="4" t="s">
        <v>67</v>
      </c>
      <c r="C23" s="4" t="s">
        <v>33</v>
      </c>
      <c r="D23" s="4" t="s">
        <v>33</v>
      </c>
      <c r="E23" s="4" t="s">
        <v>34</v>
      </c>
      <c r="F23" s="4" t="s">
        <v>54</v>
      </c>
      <c r="G23" s="5"/>
      <c r="H23" s="4" t="s">
        <v>55</v>
      </c>
    </row>
    <row r="24" customFormat="false" ht="15" hidden="false" customHeight="false" outlineLevel="0" collapsed="false">
      <c r="A24" s="5" t="n">
        <v>20</v>
      </c>
      <c r="B24" s="4" t="s">
        <v>68</v>
      </c>
      <c r="C24" s="4" t="s">
        <v>33</v>
      </c>
      <c r="D24" s="4" t="s">
        <v>33</v>
      </c>
      <c r="E24" s="4" t="s">
        <v>34</v>
      </c>
      <c r="F24" s="4" t="s">
        <v>54</v>
      </c>
      <c r="G24" s="5"/>
      <c r="H24" s="4" t="s">
        <v>55</v>
      </c>
    </row>
    <row r="25" customFormat="false" ht="15" hidden="false" customHeight="false" outlineLevel="0" collapsed="false">
      <c r="A25" s="5" t="n">
        <v>21</v>
      </c>
      <c r="B25" s="4" t="s">
        <v>69</v>
      </c>
      <c r="C25" s="4" t="s">
        <v>70</v>
      </c>
      <c r="D25" s="4" t="s">
        <v>71</v>
      </c>
      <c r="E25" s="4" t="s">
        <v>34</v>
      </c>
      <c r="F25" s="4" t="s">
        <v>54</v>
      </c>
      <c r="G25" s="5"/>
      <c r="H25" s="4" t="s">
        <v>55</v>
      </c>
    </row>
    <row r="26" customFormat="false" ht="15" hidden="false" customHeight="false" outlineLevel="0" collapsed="false">
      <c r="A26" s="5" t="n">
        <v>22</v>
      </c>
      <c r="B26" s="4" t="s">
        <v>72</v>
      </c>
      <c r="C26" s="4" t="s">
        <v>33</v>
      </c>
      <c r="D26" s="4" t="s">
        <v>33</v>
      </c>
      <c r="E26" s="4" t="s">
        <v>34</v>
      </c>
      <c r="F26" s="4" t="s">
        <v>54</v>
      </c>
      <c r="G26" s="5"/>
      <c r="H26" s="4" t="s">
        <v>55</v>
      </c>
    </row>
    <row r="27" customFormat="false" ht="15" hidden="false" customHeight="false" outlineLevel="0" collapsed="false">
      <c r="A27" s="5" t="n">
        <v>23</v>
      </c>
      <c r="B27" s="4" t="s">
        <v>73</v>
      </c>
      <c r="C27" s="4" t="s">
        <v>33</v>
      </c>
      <c r="D27" s="4" t="s">
        <v>33</v>
      </c>
      <c r="E27" s="4" t="s">
        <v>34</v>
      </c>
      <c r="F27" s="4" t="s">
        <v>54</v>
      </c>
      <c r="G27" s="5"/>
      <c r="H27" s="4" t="s">
        <v>55</v>
      </c>
    </row>
    <row r="28" customFormat="false" ht="15" hidden="false" customHeight="false" outlineLevel="0" collapsed="false">
      <c r="A28" s="5" t="n">
        <v>24</v>
      </c>
      <c r="B28" s="4" t="s">
        <v>74</v>
      </c>
      <c r="C28" s="4" t="s">
        <v>33</v>
      </c>
      <c r="D28" s="4" t="s">
        <v>33</v>
      </c>
      <c r="E28" s="4" t="s">
        <v>34</v>
      </c>
      <c r="F28" s="4" t="s">
        <v>54</v>
      </c>
      <c r="G28" s="5"/>
      <c r="H28" s="4" t="s">
        <v>55</v>
      </c>
    </row>
    <row r="29" customFormat="false" ht="15" hidden="false" customHeight="false" outlineLevel="0" collapsed="false">
      <c r="A29" s="5" t="n">
        <v>25</v>
      </c>
      <c r="B29" s="4" t="s">
        <v>75</v>
      </c>
      <c r="C29" s="4" t="s">
        <v>33</v>
      </c>
      <c r="D29" s="4" t="s">
        <v>33</v>
      </c>
      <c r="E29" s="4" t="s">
        <v>34</v>
      </c>
      <c r="F29" s="4" t="s">
        <v>54</v>
      </c>
      <c r="G29" s="5"/>
      <c r="H29" s="4" t="s">
        <v>55</v>
      </c>
    </row>
    <row r="30" customFormat="false" ht="15" hidden="false" customHeight="false" outlineLevel="0" collapsed="false">
      <c r="A30" s="5" t="n">
        <v>26</v>
      </c>
      <c r="B30" s="4" t="s">
        <v>76</v>
      </c>
      <c r="C30" s="4" t="s">
        <v>33</v>
      </c>
      <c r="D30" s="4" t="s">
        <v>33</v>
      </c>
      <c r="E30" s="4" t="s">
        <v>34</v>
      </c>
      <c r="F30" s="4" t="s">
        <v>54</v>
      </c>
      <c r="G30" s="5"/>
      <c r="H30" s="4" t="s">
        <v>55</v>
      </c>
    </row>
    <row r="31" customFormat="false" ht="15" hidden="false" customHeight="false" outlineLevel="0" collapsed="false">
      <c r="A31" s="5" t="n">
        <v>27</v>
      </c>
      <c r="B31" s="4" t="s">
        <v>77</v>
      </c>
      <c r="C31" s="4" t="s">
        <v>33</v>
      </c>
      <c r="D31" s="4" t="s">
        <v>33</v>
      </c>
      <c r="E31" s="4" t="s">
        <v>34</v>
      </c>
      <c r="F31" s="4" t="s">
        <v>54</v>
      </c>
      <c r="G31" s="5"/>
      <c r="H31" s="4" t="s">
        <v>55</v>
      </c>
    </row>
    <row r="32" customFormat="false" ht="15" hidden="false" customHeight="false" outlineLevel="0" collapsed="false">
      <c r="A32" s="5" t="n">
        <v>28</v>
      </c>
      <c r="B32" s="4" t="s">
        <v>78</v>
      </c>
      <c r="C32" s="4" t="s">
        <v>33</v>
      </c>
      <c r="D32" s="4" t="s">
        <v>33</v>
      </c>
      <c r="E32" s="4" t="s">
        <v>34</v>
      </c>
      <c r="F32" s="4" t="s">
        <v>54</v>
      </c>
      <c r="G32" s="5"/>
      <c r="H32" s="4" t="s">
        <v>55</v>
      </c>
    </row>
    <row r="33" customFormat="false" ht="15" hidden="false" customHeight="false" outlineLevel="0" collapsed="false">
      <c r="A33" s="5" t="n">
        <v>29</v>
      </c>
      <c r="B33" s="4" t="s">
        <v>79</v>
      </c>
      <c r="C33" s="4" t="s">
        <v>33</v>
      </c>
      <c r="D33" s="4" t="s">
        <v>33</v>
      </c>
      <c r="E33" s="4" t="s">
        <v>34</v>
      </c>
      <c r="F33" s="4" t="s">
        <v>54</v>
      </c>
      <c r="G33" s="5"/>
      <c r="H33" s="4" t="s">
        <v>55</v>
      </c>
    </row>
    <row r="34" customFormat="false" ht="15" hidden="false" customHeight="false" outlineLevel="0" collapsed="false">
      <c r="A34" s="5" t="n">
        <v>30</v>
      </c>
      <c r="B34" s="4" t="s">
        <v>80</v>
      </c>
      <c r="C34" s="4" t="s">
        <v>33</v>
      </c>
      <c r="D34" s="4" t="s">
        <v>33</v>
      </c>
      <c r="E34" s="4" t="s">
        <v>34</v>
      </c>
      <c r="F34" s="4" t="s">
        <v>54</v>
      </c>
      <c r="G34" s="5"/>
      <c r="H34" s="4" t="s">
        <v>55</v>
      </c>
    </row>
    <row r="35" customFormat="false" ht="15" hidden="false" customHeight="false" outlineLevel="0" collapsed="false">
      <c r="A35" s="10" t="n">
        <v>31</v>
      </c>
      <c r="B35" s="11" t="s">
        <v>81</v>
      </c>
      <c r="C35" s="11" t="s">
        <v>82</v>
      </c>
      <c r="D35" s="11" t="s">
        <v>83</v>
      </c>
      <c r="E35" s="11" t="s">
        <v>84</v>
      </c>
      <c r="F35" s="11" t="s">
        <v>54</v>
      </c>
      <c r="G35" s="10"/>
      <c r="H35" s="11" t="s">
        <v>55</v>
      </c>
    </row>
    <row r="36" customFormat="false" ht="15" hidden="false" customHeight="false" outlineLevel="0" collapsed="false">
      <c r="A36" s="10" t="n">
        <v>32</v>
      </c>
      <c r="B36" s="11" t="s">
        <v>85</v>
      </c>
      <c r="C36" s="11" t="s">
        <v>86</v>
      </c>
      <c r="D36" s="11" t="s">
        <v>87</v>
      </c>
      <c r="E36" s="11" t="s">
        <v>84</v>
      </c>
      <c r="F36" s="11" t="s">
        <v>54</v>
      </c>
      <c r="G36" s="10"/>
      <c r="H36" s="11" t="s">
        <v>55</v>
      </c>
    </row>
    <row r="37" customFormat="false" ht="15" hidden="false" customHeight="false" outlineLevel="0" collapsed="false">
      <c r="A37" s="10" t="n">
        <v>33</v>
      </c>
      <c r="B37" s="11" t="s">
        <v>88</v>
      </c>
      <c r="C37" s="11" t="s">
        <v>89</v>
      </c>
      <c r="D37" s="11" t="s">
        <v>90</v>
      </c>
      <c r="E37" s="11" t="s">
        <v>84</v>
      </c>
      <c r="F37" s="11" t="s">
        <v>54</v>
      </c>
      <c r="G37" s="10"/>
      <c r="H37" s="11" t="s">
        <v>55</v>
      </c>
    </row>
    <row r="38" customFormat="false" ht="15" hidden="false" customHeight="false" outlineLevel="0" collapsed="false">
      <c r="A38" s="10" t="n">
        <v>34</v>
      </c>
      <c r="B38" s="11" t="s">
        <v>91</v>
      </c>
      <c r="C38" s="11" t="s">
        <v>92</v>
      </c>
      <c r="D38" s="11" t="s">
        <v>93</v>
      </c>
      <c r="E38" s="11" t="s">
        <v>84</v>
      </c>
      <c r="F38" s="11" t="s">
        <v>54</v>
      </c>
      <c r="G38" s="10"/>
      <c r="H38" s="11" t="s">
        <v>55</v>
      </c>
    </row>
    <row r="39" customFormat="false" ht="15" hidden="false" customHeight="false" outlineLevel="0" collapsed="false">
      <c r="A39" s="10" t="n">
        <v>35</v>
      </c>
      <c r="B39" s="11" t="s">
        <v>94</v>
      </c>
      <c r="C39" s="11" t="s">
        <v>33</v>
      </c>
      <c r="D39" s="11" t="s">
        <v>33</v>
      </c>
      <c r="E39" s="11" t="s">
        <v>84</v>
      </c>
      <c r="F39" s="11" t="s">
        <v>54</v>
      </c>
      <c r="G39" s="10"/>
      <c r="H39" s="11" t="s">
        <v>55</v>
      </c>
    </row>
    <row r="40" customFormat="false" ht="15" hidden="false" customHeight="false" outlineLevel="0" collapsed="false">
      <c r="A40" s="10" t="n">
        <v>36</v>
      </c>
      <c r="B40" s="11" t="s">
        <v>95</v>
      </c>
      <c r="C40" s="11" t="s">
        <v>96</v>
      </c>
      <c r="D40" s="11" t="s">
        <v>97</v>
      </c>
      <c r="E40" s="11" t="s">
        <v>84</v>
      </c>
      <c r="F40" s="11" t="s">
        <v>54</v>
      </c>
      <c r="G40" s="10"/>
      <c r="H40" s="11" t="s">
        <v>55</v>
      </c>
    </row>
    <row r="41" customFormat="false" ht="15" hidden="false" customHeight="false" outlineLevel="0" collapsed="false">
      <c r="A41" s="10" t="n">
        <v>37</v>
      </c>
      <c r="B41" s="11" t="s">
        <v>98</v>
      </c>
      <c r="C41" s="11" t="s">
        <v>99</v>
      </c>
      <c r="D41" s="11" t="s">
        <v>100</v>
      </c>
      <c r="E41" s="11" t="s">
        <v>84</v>
      </c>
      <c r="F41" s="11" t="s">
        <v>54</v>
      </c>
      <c r="G41" s="10"/>
      <c r="H41" s="11" t="s">
        <v>55</v>
      </c>
    </row>
    <row r="42" customFormat="false" ht="15" hidden="false" customHeight="false" outlineLevel="0" collapsed="false">
      <c r="A42" s="10" t="n">
        <v>38</v>
      </c>
      <c r="B42" s="11" t="s">
        <v>101</v>
      </c>
      <c r="C42" s="11" t="s">
        <v>102</v>
      </c>
      <c r="D42" s="11" t="s">
        <v>103</v>
      </c>
      <c r="E42" s="11" t="s">
        <v>84</v>
      </c>
      <c r="F42" s="11" t="s">
        <v>54</v>
      </c>
      <c r="G42" s="10"/>
      <c r="H42" s="11" t="s">
        <v>55</v>
      </c>
    </row>
    <row r="43" customFormat="false" ht="15" hidden="false" customHeight="false" outlineLevel="0" collapsed="false">
      <c r="A43" s="10" t="n">
        <v>39</v>
      </c>
      <c r="B43" s="11" t="s">
        <v>104</v>
      </c>
      <c r="C43" s="11" t="s">
        <v>105</v>
      </c>
      <c r="D43" s="11" t="s">
        <v>106</v>
      </c>
      <c r="E43" s="11" t="s">
        <v>84</v>
      </c>
      <c r="F43" s="11" t="s">
        <v>54</v>
      </c>
      <c r="G43" s="10"/>
      <c r="H43" s="11" t="s">
        <v>55</v>
      </c>
    </row>
    <row r="44" customFormat="false" ht="15" hidden="false" customHeight="false" outlineLevel="0" collapsed="false">
      <c r="A44" s="10" t="n">
        <v>40</v>
      </c>
      <c r="B44" s="11" t="s">
        <v>107</v>
      </c>
      <c r="C44" s="11" t="s">
        <v>108</v>
      </c>
      <c r="D44" s="11" t="s">
        <v>109</v>
      </c>
      <c r="E44" s="11" t="s">
        <v>84</v>
      </c>
      <c r="F44" s="11" t="s">
        <v>54</v>
      </c>
      <c r="G44" s="10"/>
      <c r="H44" s="11" t="s">
        <v>55</v>
      </c>
    </row>
    <row r="45" customFormat="false" ht="15" hidden="false" customHeight="false" outlineLevel="0" collapsed="false">
      <c r="A45" s="10" t="n">
        <v>41</v>
      </c>
      <c r="B45" s="11" t="s">
        <v>110</v>
      </c>
      <c r="C45" s="11" t="s">
        <v>111</v>
      </c>
      <c r="D45" s="11" t="s">
        <v>112</v>
      </c>
      <c r="E45" s="11" t="s">
        <v>84</v>
      </c>
      <c r="F45" s="11" t="s">
        <v>54</v>
      </c>
      <c r="G45" s="10"/>
      <c r="H45" s="11" t="s">
        <v>55</v>
      </c>
    </row>
    <row r="46" customFormat="false" ht="15" hidden="false" customHeight="false" outlineLevel="0" collapsed="false">
      <c r="A46" s="10" t="n">
        <v>42</v>
      </c>
      <c r="B46" s="11" t="s">
        <v>113</v>
      </c>
      <c r="C46" s="11" t="s">
        <v>114</v>
      </c>
      <c r="D46" s="11" t="s">
        <v>115</v>
      </c>
      <c r="E46" s="11" t="s">
        <v>84</v>
      </c>
      <c r="F46" s="11" t="s">
        <v>54</v>
      </c>
      <c r="G46" s="10"/>
      <c r="H46" s="11" t="s">
        <v>55</v>
      </c>
    </row>
    <row r="47" customFormat="false" ht="15" hidden="false" customHeight="false" outlineLevel="0" collapsed="false">
      <c r="A47" s="10" t="n">
        <v>43</v>
      </c>
      <c r="B47" s="11" t="s">
        <v>116</v>
      </c>
      <c r="C47" s="11" t="s">
        <v>117</v>
      </c>
      <c r="D47" s="11" t="s">
        <v>118</v>
      </c>
      <c r="E47" s="11" t="s">
        <v>84</v>
      </c>
      <c r="F47" s="11" t="s">
        <v>54</v>
      </c>
      <c r="G47" s="10"/>
      <c r="H47" s="11" t="s">
        <v>55</v>
      </c>
    </row>
    <row r="48" customFormat="false" ht="15" hidden="false" customHeight="false" outlineLevel="0" collapsed="false">
      <c r="A48" s="10" t="n">
        <v>44</v>
      </c>
      <c r="B48" s="11" t="s">
        <v>119</v>
      </c>
      <c r="C48" s="11" t="s">
        <v>120</v>
      </c>
      <c r="D48" s="11" t="s">
        <v>121</v>
      </c>
      <c r="E48" s="11" t="s">
        <v>84</v>
      </c>
      <c r="F48" s="11" t="s">
        <v>54</v>
      </c>
      <c r="G48" s="10"/>
      <c r="H48" s="11" t="s">
        <v>55</v>
      </c>
    </row>
    <row r="49" customFormat="false" ht="15" hidden="false" customHeight="false" outlineLevel="0" collapsed="false">
      <c r="A49" s="10" t="n">
        <v>45</v>
      </c>
      <c r="B49" s="11" t="s">
        <v>122</v>
      </c>
      <c r="C49" s="11" t="s">
        <v>123</v>
      </c>
      <c r="D49" s="11" t="s">
        <v>124</v>
      </c>
      <c r="E49" s="11" t="s">
        <v>84</v>
      </c>
      <c r="F49" s="11" t="s">
        <v>54</v>
      </c>
      <c r="G49" s="10"/>
      <c r="H49" s="11" t="s">
        <v>55</v>
      </c>
    </row>
    <row r="50" customFormat="false" ht="15" hidden="false" customHeight="false" outlineLevel="0" collapsed="false">
      <c r="A50" s="10" t="n">
        <v>46</v>
      </c>
      <c r="B50" s="11" t="s">
        <v>125</v>
      </c>
      <c r="C50" s="11" t="s">
        <v>126</v>
      </c>
      <c r="D50" s="11" t="s">
        <v>127</v>
      </c>
      <c r="E50" s="11" t="s">
        <v>84</v>
      </c>
      <c r="F50" s="11" t="s">
        <v>54</v>
      </c>
      <c r="G50" s="10"/>
      <c r="H50" s="11" t="s">
        <v>55</v>
      </c>
    </row>
    <row r="51" customFormat="false" ht="15" hidden="false" customHeight="false" outlineLevel="0" collapsed="false">
      <c r="A51" s="10" t="n">
        <v>47</v>
      </c>
      <c r="B51" s="11" t="s">
        <v>128</v>
      </c>
      <c r="C51" s="11" t="s">
        <v>129</v>
      </c>
      <c r="D51" s="11" t="s">
        <v>130</v>
      </c>
      <c r="E51" s="11" t="s">
        <v>84</v>
      </c>
      <c r="F51" s="11" t="s">
        <v>54</v>
      </c>
      <c r="G51" s="10"/>
      <c r="H51" s="11" t="s">
        <v>55</v>
      </c>
    </row>
    <row r="52" customFormat="false" ht="15" hidden="false" customHeight="false" outlineLevel="0" collapsed="false">
      <c r="A52" s="10" t="n">
        <v>48</v>
      </c>
      <c r="B52" s="11" t="s">
        <v>131</v>
      </c>
      <c r="C52" s="11" t="s">
        <v>132</v>
      </c>
      <c r="D52" s="11" t="s">
        <v>133</v>
      </c>
      <c r="E52" s="11" t="s">
        <v>84</v>
      </c>
      <c r="F52" s="11" t="s">
        <v>54</v>
      </c>
      <c r="G52" s="10"/>
      <c r="H52" s="11" t="s">
        <v>55</v>
      </c>
    </row>
    <row r="53" customFormat="false" ht="15" hidden="false" customHeight="false" outlineLevel="0" collapsed="false">
      <c r="A53" s="10" t="n">
        <v>49</v>
      </c>
      <c r="B53" s="11" t="s">
        <v>134</v>
      </c>
      <c r="C53" s="11" t="s">
        <v>135</v>
      </c>
      <c r="D53" s="11" t="s">
        <v>136</v>
      </c>
      <c r="E53" s="11" t="s">
        <v>84</v>
      </c>
      <c r="F53" s="11" t="s">
        <v>54</v>
      </c>
      <c r="G53" s="10"/>
      <c r="H53" s="11" t="s">
        <v>55</v>
      </c>
    </row>
    <row r="54" customFormat="false" ht="15" hidden="false" customHeight="false" outlineLevel="0" collapsed="false">
      <c r="A54" s="10" t="n">
        <v>50</v>
      </c>
      <c r="B54" s="11" t="s">
        <v>137</v>
      </c>
      <c r="C54" s="11" t="s">
        <v>138</v>
      </c>
      <c r="D54" s="11" t="s">
        <v>139</v>
      </c>
      <c r="E54" s="11" t="s">
        <v>84</v>
      </c>
      <c r="F54" s="11" t="s">
        <v>54</v>
      </c>
      <c r="G54" s="10"/>
      <c r="H54" s="11" t="s">
        <v>55</v>
      </c>
    </row>
    <row r="55" customFormat="false" ht="15" hidden="false" customHeight="false" outlineLevel="0" collapsed="false">
      <c r="A55" s="10" t="n">
        <v>51</v>
      </c>
      <c r="B55" s="11" t="s">
        <v>140</v>
      </c>
      <c r="C55" s="11" t="s">
        <v>141</v>
      </c>
      <c r="D55" s="11" t="s">
        <v>142</v>
      </c>
      <c r="E55" s="11" t="s">
        <v>84</v>
      </c>
      <c r="F55" s="11" t="s">
        <v>54</v>
      </c>
      <c r="G55" s="10"/>
      <c r="H55" s="11" t="s">
        <v>55</v>
      </c>
    </row>
    <row r="56" customFormat="false" ht="15" hidden="false" customHeight="false" outlineLevel="0" collapsed="false">
      <c r="A56" s="10" t="n">
        <v>52</v>
      </c>
      <c r="B56" s="11" t="s">
        <v>143</v>
      </c>
      <c r="C56" s="11" t="s">
        <v>144</v>
      </c>
      <c r="D56" s="11" t="s">
        <v>145</v>
      </c>
      <c r="E56" s="11" t="s">
        <v>84</v>
      </c>
      <c r="F56" s="11" t="s">
        <v>54</v>
      </c>
      <c r="G56" s="10"/>
      <c r="H56" s="11" t="s">
        <v>55</v>
      </c>
    </row>
    <row r="57" customFormat="false" ht="15" hidden="false" customHeight="false" outlineLevel="0" collapsed="false">
      <c r="A57" s="10" t="n">
        <v>53</v>
      </c>
      <c r="B57" s="11" t="s">
        <v>146</v>
      </c>
      <c r="C57" s="11" t="s">
        <v>147</v>
      </c>
      <c r="D57" s="11" t="s">
        <v>148</v>
      </c>
      <c r="E57" s="11" t="s">
        <v>84</v>
      </c>
      <c r="F57" s="11" t="s">
        <v>54</v>
      </c>
      <c r="G57" s="10"/>
      <c r="H57" s="11" t="s">
        <v>55</v>
      </c>
    </row>
    <row r="58" customFormat="false" ht="15" hidden="false" customHeight="false" outlineLevel="0" collapsed="false">
      <c r="A58" s="10" t="n">
        <v>54</v>
      </c>
      <c r="B58" s="11" t="s">
        <v>149</v>
      </c>
      <c r="C58" s="11" t="s">
        <v>150</v>
      </c>
      <c r="D58" s="11" t="s">
        <v>151</v>
      </c>
      <c r="E58" s="11" t="s">
        <v>84</v>
      </c>
      <c r="F58" s="11" t="s">
        <v>54</v>
      </c>
      <c r="G58" s="10"/>
      <c r="H58" s="11" t="s">
        <v>55</v>
      </c>
    </row>
    <row r="59" customFormat="false" ht="15" hidden="false" customHeight="false" outlineLevel="0" collapsed="false">
      <c r="A59" s="10" t="n">
        <v>55</v>
      </c>
      <c r="B59" s="11" t="s">
        <v>152</v>
      </c>
      <c r="C59" s="11" t="s">
        <v>153</v>
      </c>
      <c r="D59" s="11" t="s">
        <v>154</v>
      </c>
      <c r="E59" s="11" t="s">
        <v>84</v>
      </c>
      <c r="F59" s="11" t="s">
        <v>54</v>
      </c>
      <c r="G59" s="10"/>
      <c r="H59" s="11" t="s">
        <v>55</v>
      </c>
    </row>
    <row r="60" customFormat="false" ht="15" hidden="false" customHeight="false" outlineLevel="0" collapsed="false">
      <c r="A60" s="10" t="n">
        <v>56</v>
      </c>
      <c r="B60" s="11" t="s">
        <v>155</v>
      </c>
      <c r="C60" s="11" t="s">
        <v>156</v>
      </c>
      <c r="D60" s="11" t="s">
        <v>157</v>
      </c>
      <c r="E60" s="11" t="s">
        <v>84</v>
      </c>
      <c r="F60" s="11" t="s">
        <v>54</v>
      </c>
      <c r="G60" s="10"/>
      <c r="H60" s="11" t="s">
        <v>55</v>
      </c>
    </row>
    <row r="61" customFormat="false" ht="15" hidden="false" customHeight="false" outlineLevel="0" collapsed="false">
      <c r="A61" s="10" t="n">
        <v>57</v>
      </c>
      <c r="B61" s="11" t="s">
        <v>158</v>
      </c>
      <c r="C61" s="11" t="s">
        <v>159</v>
      </c>
      <c r="D61" s="11" t="s">
        <v>160</v>
      </c>
      <c r="E61" s="11" t="s">
        <v>84</v>
      </c>
      <c r="F61" s="11" t="s">
        <v>54</v>
      </c>
      <c r="G61" s="10"/>
      <c r="H61" s="11" t="s">
        <v>55</v>
      </c>
    </row>
    <row r="62" customFormat="false" ht="15" hidden="false" customHeight="false" outlineLevel="0" collapsed="false">
      <c r="A62" s="10" t="n">
        <v>58</v>
      </c>
      <c r="B62" s="11" t="s">
        <v>161</v>
      </c>
      <c r="C62" s="11" t="s">
        <v>162</v>
      </c>
      <c r="D62" s="11" t="s">
        <v>163</v>
      </c>
      <c r="E62" s="11" t="s">
        <v>84</v>
      </c>
      <c r="F62" s="11" t="s">
        <v>54</v>
      </c>
      <c r="G62" s="10"/>
      <c r="H62" s="11" t="s">
        <v>55</v>
      </c>
    </row>
    <row r="63" customFormat="false" ht="15" hidden="false" customHeight="false" outlineLevel="0" collapsed="false">
      <c r="A63" s="10" t="n">
        <v>59</v>
      </c>
      <c r="B63" s="11" t="s">
        <v>164</v>
      </c>
      <c r="C63" s="11" t="s">
        <v>165</v>
      </c>
      <c r="D63" s="11" t="s">
        <v>166</v>
      </c>
      <c r="E63" s="11" t="s">
        <v>84</v>
      </c>
      <c r="F63" s="11" t="s">
        <v>54</v>
      </c>
      <c r="G63" s="10"/>
      <c r="H63" s="11" t="s">
        <v>55</v>
      </c>
    </row>
    <row r="64" customFormat="false" ht="15" hidden="false" customHeight="false" outlineLevel="0" collapsed="false">
      <c r="A64" s="10" t="n">
        <v>60</v>
      </c>
      <c r="B64" s="11" t="s">
        <v>167</v>
      </c>
      <c r="C64" s="11" t="s">
        <v>168</v>
      </c>
      <c r="D64" s="11" t="s">
        <v>169</v>
      </c>
      <c r="E64" s="11" t="s">
        <v>84</v>
      </c>
      <c r="F64" s="11" t="s">
        <v>54</v>
      </c>
      <c r="G64" s="10"/>
      <c r="H64" s="11" t="s">
        <v>55</v>
      </c>
    </row>
    <row r="65" customFormat="false" ht="15" hidden="false" customHeight="false" outlineLevel="0" collapsed="false">
      <c r="A65" s="10" t="n">
        <v>61</v>
      </c>
      <c r="B65" s="11" t="s">
        <v>170</v>
      </c>
      <c r="C65" s="11" t="s">
        <v>171</v>
      </c>
      <c r="D65" s="11" t="s">
        <v>172</v>
      </c>
      <c r="E65" s="11" t="s">
        <v>84</v>
      </c>
      <c r="F65" s="11" t="s">
        <v>54</v>
      </c>
      <c r="G65" s="10"/>
      <c r="H65" s="11" t="s">
        <v>55</v>
      </c>
    </row>
    <row r="66" customFormat="false" ht="15" hidden="false" customHeight="false" outlineLevel="0" collapsed="false">
      <c r="A66" s="10" t="n">
        <v>62</v>
      </c>
      <c r="B66" s="11" t="s">
        <v>173</v>
      </c>
      <c r="C66" s="11" t="s">
        <v>174</v>
      </c>
      <c r="D66" s="11" t="s">
        <v>175</v>
      </c>
      <c r="E66" s="11" t="s">
        <v>84</v>
      </c>
      <c r="F66" s="11" t="s">
        <v>54</v>
      </c>
      <c r="G66" s="10"/>
      <c r="H66" s="11" t="s">
        <v>55</v>
      </c>
    </row>
    <row r="67" customFormat="false" ht="15" hidden="false" customHeight="false" outlineLevel="0" collapsed="false">
      <c r="A67" s="10" t="n">
        <v>63</v>
      </c>
      <c r="B67" s="11" t="s">
        <v>176</v>
      </c>
      <c r="C67" s="11" t="s">
        <v>177</v>
      </c>
      <c r="D67" s="11" t="s">
        <v>178</v>
      </c>
      <c r="E67" s="11" t="s">
        <v>84</v>
      </c>
      <c r="F67" s="11" t="s">
        <v>54</v>
      </c>
      <c r="G67" s="10"/>
      <c r="H67" s="11" t="s">
        <v>55</v>
      </c>
    </row>
    <row r="68" customFormat="false" ht="15" hidden="false" customHeight="false" outlineLevel="0" collapsed="false">
      <c r="A68" s="10" t="n">
        <v>64</v>
      </c>
      <c r="B68" s="11" t="s">
        <v>179</v>
      </c>
      <c r="C68" s="11" t="s">
        <v>180</v>
      </c>
      <c r="D68" s="11" t="s">
        <v>181</v>
      </c>
      <c r="E68" s="11" t="s">
        <v>84</v>
      </c>
      <c r="F68" s="11" t="s">
        <v>54</v>
      </c>
      <c r="G68" s="10"/>
      <c r="H68" s="11" t="s">
        <v>55</v>
      </c>
    </row>
    <row r="69" customFormat="false" ht="15" hidden="false" customHeight="false" outlineLevel="0" collapsed="false">
      <c r="A69" s="10" t="n">
        <v>65</v>
      </c>
      <c r="B69" s="11" t="s">
        <v>182</v>
      </c>
      <c r="C69" s="11" t="s">
        <v>183</v>
      </c>
      <c r="D69" s="11" t="s">
        <v>184</v>
      </c>
      <c r="E69" s="11" t="s">
        <v>84</v>
      </c>
      <c r="F69" s="11" t="s">
        <v>54</v>
      </c>
      <c r="G69" s="10"/>
      <c r="H69" s="11" t="s">
        <v>55</v>
      </c>
    </row>
    <row r="70" customFormat="false" ht="15" hidden="false" customHeight="false" outlineLevel="0" collapsed="false">
      <c r="A70" s="10" t="n">
        <v>66</v>
      </c>
      <c r="B70" s="11" t="s">
        <v>185</v>
      </c>
      <c r="C70" s="11" t="s">
        <v>186</v>
      </c>
      <c r="D70" s="11" t="s">
        <v>187</v>
      </c>
      <c r="E70" s="11" t="s">
        <v>84</v>
      </c>
      <c r="F70" s="11" t="s">
        <v>54</v>
      </c>
      <c r="G70" s="10"/>
      <c r="H70" s="11" t="s">
        <v>55</v>
      </c>
    </row>
    <row r="71" customFormat="false" ht="15" hidden="false" customHeight="false" outlineLevel="0" collapsed="false">
      <c r="A71" s="10" t="n">
        <v>67</v>
      </c>
      <c r="B71" s="11" t="s">
        <v>188</v>
      </c>
      <c r="C71" s="11" t="s">
        <v>189</v>
      </c>
      <c r="D71" s="11" t="s">
        <v>190</v>
      </c>
      <c r="E71" s="11" t="s">
        <v>84</v>
      </c>
      <c r="F71" s="11" t="s">
        <v>54</v>
      </c>
      <c r="G71" s="10"/>
      <c r="H71" s="11" t="s">
        <v>55</v>
      </c>
    </row>
    <row r="72" customFormat="false" ht="15" hidden="false" customHeight="false" outlineLevel="0" collapsed="false">
      <c r="A72" s="10" t="n">
        <v>68</v>
      </c>
      <c r="B72" s="11" t="s">
        <v>191</v>
      </c>
      <c r="C72" s="11" t="s">
        <v>192</v>
      </c>
      <c r="D72" s="11" t="s">
        <v>193</v>
      </c>
      <c r="E72" s="11" t="s">
        <v>84</v>
      </c>
      <c r="F72" s="11" t="s">
        <v>54</v>
      </c>
      <c r="G72" s="10"/>
      <c r="H72" s="11" t="s">
        <v>55</v>
      </c>
    </row>
    <row r="73" customFormat="false" ht="15" hidden="false" customHeight="false" outlineLevel="0" collapsed="false">
      <c r="A73" s="10" t="n">
        <v>69</v>
      </c>
      <c r="B73" s="11" t="s">
        <v>194</v>
      </c>
      <c r="C73" s="11" t="s">
        <v>195</v>
      </c>
      <c r="D73" s="11" t="s">
        <v>196</v>
      </c>
      <c r="E73" s="11" t="s">
        <v>84</v>
      </c>
      <c r="F73" s="11" t="s">
        <v>54</v>
      </c>
      <c r="G73" s="10"/>
      <c r="H73" s="11" t="s">
        <v>55</v>
      </c>
    </row>
    <row r="74" customFormat="false" ht="15" hidden="false" customHeight="false" outlineLevel="0" collapsed="false">
      <c r="A74" s="10" t="n">
        <v>70</v>
      </c>
      <c r="B74" s="11" t="s">
        <v>197</v>
      </c>
      <c r="C74" s="11" t="s">
        <v>198</v>
      </c>
      <c r="D74" s="11" t="s">
        <v>199</v>
      </c>
      <c r="E74" s="11" t="s">
        <v>84</v>
      </c>
      <c r="F74" s="11" t="s">
        <v>54</v>
      </c>
      <c r="G74" s="10"/>
      <c r="H74" s="11" t="s">
        <v>55</v>
      </c>
    </row>
    <row r="75" customFormat="false" ht="15" hidden="false" customHeight="false" outlineLevel="0" collapsed="false">
      <c r="A75" s="10" t="n">
        <v>71</v>
      </c>
      <c r="B75" s="11" t="s">
        <v>200</v>
      </c>
      <c r="C75" s="11" t="s">
        <v>201</v>
      </c>
      <c r="D75" s="11" t="s">
        <v>202</v>
      </c>
      <c r="E75" s="11" t="s">
        <v>84</v>
      </c>
      <c r="F75" s="11" t="s">
        <v>54</v>
      </c>
      <c r="G75" s="10"/>
      <c r="H75" s="11" t="s">
        <v>55</v>
      </c>
    </row>
    <row r="76" customFormat="false" ht="15" hidden="false" customHeight="false" outlineLevel="0" collapsed="false">
      <c r="A76" s="10" t="n">
        <v>72</v>
      </c>
      <c r="B76" s="11" t="s">
        <v>203</v>
      </c>
      <c r="C76" s="11" t="s">
        <v>204</v>
      </c>
      <c r="D76" s="11" t="s">
        <v>205</v>
      </c>
      <c r="E76" s="11" t="s">
        <v>84</v>
      </c>
      <c r="F76" s="11" t="s">
        <v>54</v>
      </c>
      <c r="G76" s="10"/>
      <c r="H76" s="11" t="s">
        <v>55</v>
      </c>
    </row>
    <row r="77" customFormat="false" ht="15" hidden="false" customHeight="false" outlineLevel="0" collapsed="false">
      <c r="A77" s="10" t="n">
        <v>73</v>
      </c>
      <c r="B77" s="11" t="s">
        <v>206</v>
      </c>
      <c r="C77" s="11" t="s">
        <v>207</v>
      </c>
      <c r="D77" s="11" t="s">
        <v>208</v>
      </c>
      <c r="E77" s="11" t="s">
        <v>84</v>
      </c>
      <c r="F77" s="11" t="s">
        <v>54</v>
      </c>
      <c r="G77" s="10"/>
      <c r="H77" s="11" t="s">
        <v>55</v>
      </c>
    </row>
    <row r="78" customFormat="false" ht="15" hidden="false" customHeight="false" outlineLevel="0" collapsed="false">
      <c r="A78" s="10" t="n">
        <v>74</v>
      </c>
      <c r="B78" s="11" t="s">
        <v>209</v>
      </c>
      <c r="C78" s="11" t="s">
        <v>210</v>
      </c>
      <c r="D78" s="11" t="s">
        <v>211</v>
      </c>
      <c r="E78" s="11" t="s">
        <v>84</v>
      </c>
      <c r="F78" s="11" t="s">
        <v>54</v>
      </c>
      <c r="G78" s="10"/>
      <c r="H78" s="11" t="s">
        <v>55</v>
      </c>
    </row>
    <row r="79" customFormat="false" ht="15" hidden="false" customHeight="false" outlineLevel="0" collapsed="false">
      <c r="A79" s="10" t="n">
        <v>75</v>
      </c>
      <c r="B79" s="11" t="s">
        <v>212</v>
      </c>
      <c r="C79" s="11" t="s">
        <v>213</v>
      </c>
      <c r="D79" s="11" t="s">
        <v>214</v>
      </c>
      <c r="E79" s="11" t="s">
        <v>84</v>
      </c>
      <c r="F79" s="11" t="s">
        <v>54</v>
      </c>
      <c r="G79" s="10"/>
      <c r="H79" s="11" t="s">
        <v>55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2026-09-18T13:34:32Z</dcterms:created>
  <dc:creator>openpyxl</dc:creator>
  <dc:description/>
  <dc:language>en-US</dc:language>
  <cp:lastModifiedBy/>
  <dcterms:modified xsi:type="dcterms:W3CDTF">2026-09-18T13:34:32Z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