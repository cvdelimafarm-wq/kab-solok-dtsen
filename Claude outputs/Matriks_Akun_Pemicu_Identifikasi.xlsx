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Matriks pemicu" sheetId="2" state="visible" r:id="rId4"/>
    <sheet name="Akun x pemicu" sheetId="3" state="visible" r:id="rId5"/>
    <sheet name="Ringkasan per akun" sheetId="4" state="visible" r:id="rId6"/>
    <sheet name="Kombinasi" sheetId="5" state="visible" r:id="rId7"/>
    <sheet name="Butuh keputusan" sheetId="6" state="visible" r:id="rId8"/>
  </sheets>
  <definedNames>
    <definedName function="false" hidden="true" localSheetId="4" name="_xlnm._FilterDatabase" vbProcedure="false">Kombinasi!$A$4:$L$84</definedName>
    <definedName function="false" hidden="true" localSheetId="1" name="_xlnm._FilterDatabase" vbProcedure="false">'Matriks pemicu'!$A$4:$M$43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<sst xmlns="http://schemas.openxmlformats.org/spreadsheetml/2006/main" count="1509" uniqueCount="450">
  <si>
    <t xml:space="preserve">Matriks akun yang dipicu oleh identifikasi survei</t>
  </si>
  <si>
    <t xml:space="preserve">Untuk dikonfirmasi M. Iqbal Hadi. Dihitung dari logika mockup identifikasi (25 Okt 2026), bukan ditulis tangan.</t>
  </si>
  <si>
    <t xml:space="preserve">Tujuan</t>
  </si>
  <si>
    <t xml:space="preserve">Memeriksa apakah setiap jawaban identifikasi memicu akun dan paket belanja yang benar. Anda cukup mengisi kolom Konfirmasi (daftar pilihan) dan Koreksi pada tiap sheet.</t>
  </si>
  <si>
    <t xml:space="preserve">Isi sheet</t>
  </si>
  <si>
    <t xml:space="preserve">1. Matriks pemicu: satu baris per aturan (jawaban menghasilkan paket apa). 2. Akun x pemicu: silang aturan terhadap 18 paket belanja. 3. Ringkasan per akun: akun dan paket beserta pemicunya. 4. Kombinasi: seluruh kombinasi jawaban per kelompok pertanyaan, dihitung dengan logika mockup. 5. Butuh keputusan: hal yang sengaja saya tanyakan.</t>
  </si>
  <si>
    <t xml:space="preserve">Mengapa tidak semua kombinasi ditulis</t>
  </si>
  <si>
    <t xml:space="preserve">Jumlah kombinasi jawaban efektif sekitar 354.120.345.600, tetapi hanya 768 himpunan paket yang berbeda. Akun bersifat aditif per kelompok pertanyaan (B, C, D, E, F, H), sehingga kelompok cukup diperiksa satu per satu. Tiga interaksi antarkelompok: (1) berbagi pelatihan mematikan seluruh B; (2) pulsa pelatihan mengunci pulsa lapangan FASIH Tidak; (3) peran Petugas entri hanya ada bila instrumen PAPI.</t>
  </si>
  <si>
    <t xml:space="preserve">Status baris</t>
  </si>
  <si>
    <t xml:space="preserve">Ada di mockup = aturan sudah berjalan di mockup. Belum di mockup (usulan) = paket yang ada di rancangan 11 atau 24 Okt tetapi lembar identifikasi tidak menanyakannya. Ada di mockup, perlu keputusan = berjalan, tetapi tafsirannya perlu Anda tetapkan.</t>
  </si>
  <si>
    <t xml:space="preserve">Lambang pada sheet Akun x pemicu</t>
  </si>
  <si>
    <t xml:space="preserve">● dipicu pasti. ◐ salah satu dari dua paket (translok kurang atau lebih dari 8 jam). ○ usulan, belum berjalan di mockup.</t>
  </si>
  <si>
    <t xml:space="preserve">Cara mengonfirmasi</t>
  </si>
  <si>
    <t xml:space="preserve">Kolom Konfirmasi: Sesuai, Ubah, Hapus, Tambah, atau Tanya. Bila Ubah atau Tambah, tulis akun dan paket yang benar pada kolom Koreksi dan alasan singkat pada Catatan.</t>
  </si>
  <si>
    <t xml:space="preserve">Pencocokan ke POK</t>
  </si>
  <si>
    <t xml:space="preserve">Setelah Anda konfirmasi, sistem mencocokkan kebutuhan ke POK RO dengan tiga lapis: kode akun, paket belanja yang dipetakan pada baris POK, lalu uraian bebas hanya sebagai saran. Tulisan uraian POK tidak dijadikan penentu.</t>
  </si>
  <si>
    <t xml:space="preserve">Sumber paket</t>
  </si>
  <si>
    <t xml:space="preserve">Katalog paket dari Project PORTAL BPS (rekap variabel identifikasi 24 Okt). 521213-A sampai P, 522151, 522191, 524111-A, 524113-A dan B, 524114-A dan B, 524119-A dan B, 521211-A sampai D.</t>
  </si>
  <si>
    <t xml:space="preserve">Matriks pemicu: jawaban identifikasi menjadi akun dan paket belanja</t>
  </si>
  <si>
    <t xml:space="preserve">Satu baris satu aturan. Paket diambil dari katalog paket SIGAP. Isi kolom Konfirmasi, Koreksi, dan Catatan Anda (tiga kolom terakhir).</t>
  </si>
  <si>
    <t xml:space="preserve">ID</t>
  </si>
  <si>
    <t xml:space="preserve">Bagian</t>
  </si>
  <si>
    <t xml:space="preserve">Pertanyaan</t>
  </si>
  <si>
    <t xml:space="preserve">Jawaban yang memicu</t>
  </si>
  <si>
    <t xml:space="preserve">Syarat pertanyaan muncul</t>
  </si>
  <si>
    <t xml:space="preserve">Paket dipicu</t>
  </si>
  <si>
    <t xml:space="preserve">Akun</t>
  </si>
  <si>
    <t xml:space="preserve">Jalur</t>
  </si>
  <si>
    <t xml:space="preserve">Status</t>
  </si>
  <si>
    <t xml:space="preserve">Catatan sistem</t>
  </si>
  <si>
    <t xml:space="preserve">Konfirmasi</t>
  </si>
  <si>
    <t xml:space="preserve">Koreksi akun atau paket</t>
  </si>
  <si>
    <t xml:space="preserve">Catatan Anda</t>
  </si>
  <si>
    <t xml:space="preserve">P01</t>
  </si>
  <si>
    <t xml:space="preserve">A</t>
  </si>
  <si>
    <t xml:space="preserve">Periode ke-, jadwal tahap, penanda Fix atau Perkiraan</t>
  </si>
  <si>
    <t xml:space="preserve">Semua pilihan</t>
  </si>
  <si>
    <t xml:space="preserve">Selalu</t>
  </si>
  <si>
    <t xml:space="preserve">(tidak ada belanja)</t>
  </si>
  <si>
    <t xml:space="preserve">-</t>
  </si>
  <si>
    <t xml:space="preserve">Ada di mockup</t>
  </si>
  <si>
    <t xml:space="preserve">Tidak menimbulkan akun. Menentukan agenda Delego dan bulan bayar pada rencana realisasi.</t>
  </si>
  <si>
    <t xml:space="preserve">P02</t>
  </si>
  <si>
    <t xml:space="preserve">B</t>
  </si>
  <si>
    <t xml:space="preserve">Berbagi dengan survei lain</t>
  </si>
  <si>
    <t xml:space="preserve">Ya (pilih survei yang dirujuk)</t>
  </si>
  <si>
    <t xml:space="preserve">Seluruh pertanyaan B dilewati; tidak ada belanja pelatihan pada survei ini agar tidak dihitung dua kali.</t>
  </si>
  <si>
    <t xml:space="preserve">P03</t>
  </si>
  <si>
    <t xml:space="preserve">Sesi (briefing atau pelatihan) dilaksanakan, bentuk</t>
  </si>
  <si>
    <t xml:space="preserve">Luring atau Hybrid</t>
  </si>
  <si>
    <t xml:space="preserve">Tidak berbagi; berlaku per sesi</t>
  </si>
  <si>
    <t xml:space="preserve">521211-A</t>
  </si>
  <si>
    <t xml:space="preserve">521211</t>
  </si>
  <si>
    <t xml:space="preserve">Pengadaan</t>
  </si>
  <si>
    <t xml:space="preserve">Konsumsi atau paket meeting. Daring tidak menimbulkan konsumsi.</t>
  </si>
  <si>
    <t xml:space="preserve">P04</t>
  </si>
  <si>
    <t xml:space="preserve">Perlengkapan pelatihan</t>
  </si>
  <si>
    <t xml:space="preserve">Ya</t>
  </si>
  <si>
    <t xml:space="preserve">Bentuk Luring atau Hybrid</t>
  </si>
  <si>
    <t xml:space="preserve">521211-B</t>
  </si>
  <si>
    <t xml:space="preserve">Bentuk Daring: tidak ditanya (Tidak).</t>
  </si>
  <si>
    <t xml:space="preserve">P05</t>
  </si>
  <si>
    <t xml:space="preserve">Biaya pulsa</t>
  </si>
  <si>
    <t xml:space="preserve">Bentuk Daring atau Hybrid</t>
  </si>
  <si>
    <t xml:space="preserve">521211-D</t>
  </si>
  <si>
    <t xml:space="preserve">Bila Ya, pulsa petugas lapangan FASIH (D) terkunci Tidak agar tidak ganda. Bentuk Luring: tidak ditanya (Tidak).</t>
  </si>
  <si>
    <t xml:space="preserve">P06</t>
  </si>
  <si>
    <t xml:space="preserve">Pengajar eksternal</t>
  </si>
  <si>
    <t xml:space="preserve">Sesi dilaksanakan</t>
  </si>
  <si>
    <t xml:space="preserve">522151</t>
  </si>
  <si>
    <t xml:space="preserve">Non-pengadaan</t>
  </si>
  <si>
    <t xml:space="preserve">Ada di mockup, perlu keputusan</t>
  </si>
  <si>
    <t xml:space="preserve">Mockup memakai 522151 (narasumber atau moderator). Bila yang dimaksud honor instruktur internal (Inda), paketnya 521213-C: lihat baris berikutnya. Mohon pilih.</t>
  </si>
  <si>
    <t xml:space="preserve">P07</t>
  </si>
  <si>
    <t xml:space="preserve">Honor instruktur internal (Inda)</t>
  </si>
  <si>
    <t xml:space="preserve">521213-C</t>
  </si>
  <si>
    <t xml:space="preserve">521213</t>
  </si>
  <si>
    <t xml:space="preserve">Belum di mockup (usulan)</t>
  </si>
  <si>
    <t xml:space="preserve">Ada di rancangan 11 Okt, belum ada pertanyaannya di lembar identifikasi.</t>
  </si>
  <si>
    <t xml:space="preserve">P08</t>
  </si>
  <si>
    <t xml:space="preserve">Lokasi dan tempat: hotel dalam kota</t>
  </si>
  <si>
    <t xml:space="preserve">Luring atau Hybrid, dalam kota, hotel</t>
  </si>
  <si>
    <t xml:space="preserve">524114-B, 524114-A</t>
  </si>
  <si>
    <t xml:space="preserve">524114</t>
  </si>
  <si>
    <t xml:space="preserve">Pengadaan dan non-pengadaan</t>
  </si>
  <si>
    <t xml:space="preserve">Rancangan 11 Okt. Lembar identifikasi tidak menanyakan lokasi dan tempat.</t>
  </si>
  <si>
    <t xml:space="preserve">P09</t>
  </si>
  <si>
    <t xml:space="preserve">Lokasi: luar kota (otomatis hotel)</t>
  </si>
  <si>
    <t xml:space="preserve">Luring atau Hybrid, luar kota</t>
  </si>
  <si>
    <t xml:space="preserve">524119-B, 524119-A</t>
  </si>
  <si>
    <t xml:space="preserve">524119</t>
  </si>
  <si>
    <t xml:space="preserve">Rancangan 11 Okt: luar kota selalu hotel.</t>
  </si>
  <si>
    <t xml:space="preserve">P10</t>
  </si>
  <si>
    <t xml:space="preserve">Pelatihan di kantor, peserta mitra</t>
  </si>
  <si>
    <t xml:space="preserve">Luring atau Hybrid, dalam kota, kantor</t>
  </si>
  <si>
    <t xml:space="preserve">524113-A</t>
  </si>
  <si>
    <t xml:space="preserve">524113</t>
  </si>
  <si>
    <t xml:space="preserve">Transport lokal peserta mitra (rancangan 11 Okt).</t>
  </si>
  <si>
    <t xml:space="preserve">P11</t>
  </si>
  <si>
    <t xml:space="preserve">C</t>
  </si>
  <si>
    <t xml:space="preserve">Rapat persiapan, pelaksanaan, evaluasi: media</t>
  </si>
  <si>
    <t xml:space="preserve">Tatap muka</t>
  </si>
  <si>
    <t xml:space="preserve">Rapat ada (evaluasi selalu ada)</t>
  </si>
  <si>
    <t xml:space="preserve">Konsumsi rapat tatap muka. Satu paket 521211-A walau lebih dari satu rapat.</t>
  </si>
  <si>
    <t xml:space="preserve">P12</t>
  </si>
  <si>
    <t xml:space="preserve">Rapat: media</t>
  </si>
  <si>
    <t xml:space="preserve">Apel pagi atau Zoom</t>
  </si>
  <si>
    <t xml:space="preserve">Rapat ada</t>
  </si>
  <si>
    <t xml:space="preserve">Tidak menimbulkan belanja.</t>
  </si>
  <si>
    <t xml:space="preserve">P13</t>
  </si>
  <si>
    <t xml:space="preserve">D</t>
  </si>
  <si>
    <t xml:space="preserve">Instrumen</t>
  </si>
  <si>
    <t xml:space="preserve">Tanpa pendataan</t>
  </si>
  <si>
    <t xml:space="preserve">Bagian E dilewati; tahap Pendataan tidak aktif; tidak ada rekrutmen.</t>
  </si>
  <si>
    <t xml:space="preserve">P14</t>
  </si>
  <si>
    <t xml:space="preserve">Dokumen PAPI dicetak di kabupaten</t>
  </si>
  <si>
    <t xml:space="preserve">Instrumen PAPI</t>
  </si>
  <si>
    <t xml:space="preserve">Penggandaan dokumen PAPI di kabupaten.</t>
  </si>
  <si>
    <t xml:space="preserve">P15</t>
  </si>
  <si>
    <t xml:space="preserve">Tidak</t>
  </si>
  <si>
    <t xml:space="preserve">Dicetak di luar kabupaten: tidak ada belanja cetak pada POK RO ini.</t>
  </si>
  <si>
    <t xml:space="preserve">P16</t>
  </si>
  <si>
    <t xml:space="preserve">Biaya pulsa petugas lapangan</t>
  </si>
  <si>
    <t xml:space="preserve">Instrumen FASIH dan pelatihan tidak memberi pulsa</t>
  </si>
  <si>
    <t xml:space="preserve">P17</t>
  </si>
  <si>
    <t xml:space="preserve">Terkunci Tidak</t>
  </si>
  <si>
    <t xml:space="preserve">Instrumen FASIH dan pelatihan sudah memberi pulsa</t>
  </si>
  <si>
    <t xml:space="preserve">Pulsa sudah dihitung pada B.</t>
  </si>
  <si>
    <t xml:space="preserve">P18</t>
  </si>
  <si>
    <t xml:space="preserve">Honor aparat (camat, kepala desa) dan penunjuk jalan</t>
  </si>
  <si>
    <t xml:space="preserve">Pendataan ada</t>
  </si>
  <si>
    <t xml:space="preserve">521213-B</t>
  </si>
  <si>
    <t xml:space="preserve">Ada di rancangan 24 Okt, belum ada pertanyaannya di lembar identifikasi.</t>
  </si>
  <si>
    <t xml:space="preserve">P19</t>
  </si>
  <si>
    <t xml:space="preserve">E</t>
  </si>
  <si>
    <t xml:space="preserve">Translok per peran</t>
  </si>
  <si>
    <t xml:space="preserve">Supervisor (terkunci Ya), Kortim dan PML (dipilih). PPL dan Petugas entri: tidak ditanya (skip)</t>
  </si>
  <si>
    <t xml:space="preserve">524113-A atau 524113-B</t>
  </si>
  <si>
    <t xml:space="preserve">Salah satu paket, menurut lama perjalanan (kurang atau lebih dari 8 jam); lama belum ditanyakan. PPL tertulis skip pada lembar padahal pendataan bencana memberi translok (T10).</t>
  </si>
  <si>
    <t xml:space="preserve">P20</t>
  </si>
  <si>
    <t xml:space="preserve">Translok lebih dari 8 jam</t>
  </si>
  <si>
    <t xml:space="preserve">Peran yang berhak translok</t>
  </si>
  <si>
    <t xml:space="preserve">524113-B</t>
  </si>
  <si>
    <t xml:space="preserve">Rancangan 24 Okt: pilihan tidak ada, kurang dari 8 jam, lebih dari 8 jam.</t>
  </si>
  <si>
    <t xml:space="preserve">P21</t>
  </si>
  <si>
    <t xml:space="preserve">Honorarium dan status Organik</t>
  </si>
  <si>
    <t xml:space="preserve">Peran yang ditanya honor (Kortim, PML, PPL, Petugas entri)</t>
  </si>
  <si>
    <t xml:space="preserve">521213-P</t>
  </si>
  <si>
    <t xml:space="preserve">Wajib melampirkan dasar atau juknis yang menyatakan petugas organik dibayar honornya.</t>
  </si>
  <si>
    <t xml:space="preserve">P22</t>
  </si>
  <si>
    <t xml:space="preserve">Honorarium dan status Mitra</t>
  </si>
  <si>
    <t xml:space="preserve">Idem</t>
  </si>
  <si>
    <t xml:space="preserve">521213-D</t>
  </si>
  <si>
    <t xml:space="preserve">Rekrutmen mitra dan kontrak SPK aktif.</t>
  </si>
  <si>
    <t xml:space="preserve">P23</t>
  </si>
  <si>
    <t xml:space="preserve">Honorarium dan status Organik dan mitra</t>
  </si>
  <si>
    <t xml:space="preserve">521213-D, 521213-P</t>
  </si>
  <si>
    <t xml:space="preserve">Kedua paket; rekrutmen mitra aktif.</t>
  </si>
  <si>
    <t xml:space="preserve">P24</t>
  </si>
  <si>
    <t xml:space="preserve">Status memuat Mitra</t>
  </si>
  <si>
    <t xml:space="preserve">Mitra atau Organik dan mitra</t>
  </si>
  <si>
    <t xml:space="preserve">Peran dipakai</t>
  </si>
  <si>
    <t xml:space="preserve">Rekrutmen mitra dan penilaian mitra aktif (bukan akun belanja).</t>
  </si>
  <si>
    <t xml:space="preserve">P25</t>
  </si>
  <si>
    <t xml:space="preserve">Jumlah petugas dan penanda Fix atau Perkiraan</t>
  </si>
  <si>
    <t xml:space="preserve">Angka</t>
  </si>
  <si>
    <t xml:space="preserve">Tidak menimbulkan akun baru. Menjadi dasar kebutuhan rekrutmen dan volume RAB.</t>
  </si>
  <si>
    <t xml:space="preserve">P26</t>
  </si>
  <si>
    <t xml:space="preserve">Pulsa per peran (PML, PPL, entri)</t>
  </si>
  <si>
    <t xml:space="preserve">Rancangan 24 Okt: pulsa ditanya per peran. Lembar hanya punya pulsa lapangan umum.</t>
  </si>
  <si>
    <t xml:space="preserve">P27</t>
  </si>
  <si>
    <t xml:space="preserve">Supervisi luar kota oleh PML</t>
  </si>
  <si>
    <t xml:space="preserve">PML dipakai</t>
  </si>
  <si>
    <t xml:space="preserve">524111-A</t>
  </si>
  <si>
    <t xml:space="preserve">524111</t>
  </si>
  <si>
    <t xml:space="preserve">Rancangan 24 Okt.</t>
  </si>
  <si>
    <t xml:space="preserve">P28</t>
  </si>
  <si>
    <t xml:space="preserve">Honor tim pelaksana (SK)</t>
  </si>
  <si>
    <t xml:space="preserve">521213-A</t>
  </si>
  <si>
    <t xml:space="preserve">Rancangan 24 Okt: SK tim, panitia.</t>
  </si>
  <si>
    <t xml:space="preserve">P29</t>
  </si>
  <si>
    <t xml:space="preserve">F</t>
  </si>
  <si>
    <t xml:space="preserve">F1 Ada konsultasi teknis dan F2 cara</t>
  </si>
  <si>
    <t xml:space="preserve">Ada, tatap muka (perjalanan dinas)</t>
  </si>
  <si>
    <t xml:space="preserve">Konsultasi ke BPS Provinsi.</t>
  </si>
  <si>
    <t xml:space="preserve">P30</t>
  </si>
  <si>
    <t xml:space="preserve">F1 dan F2</t>
  </si>
  <si>
    <t xml:space="preserve">Tidak ada, atau ada tetapi daring</t>
  </si>
  <si>
    <t xml:space="preserve">P31</t>
  </si>
  <si>
    <t xml:space="preserve">G</t>
  </si>
  <si>
    <t xml:space="preserve">G1 Ada rekonsiliasi data</t>
  </si>
  <si>
    <t xml:space="preserve">Belum ada paket belanja yang ditetapkan untuk rekonsiliasi (T13). Mohon tetapkan bila ada.</t>
  </si>
  <si>
    <t xml:space="preserve">P32</t>
  </si>
  <si>
    <t xml:space="preserve">H</t>
  </si>
  <si>
    <t xml:space="preserve">Ada diseminasi (jadwal bagian A)</t>
  </si>
  <si>
    <t xml:space="preserve">Seluruh pertanyaan H dilewati.</t>
  </si>
  <si>
    <t xml:space="preserve">P33</t>
  </si>
  <si>
    <t xml:space="preserve">H1 Rilis atau sosialisasi hasil</t>
  </si>
  <si>
    <t xml:space="preserve">Ada diseminasi</t>
  </si>
  <si>
    <t xml:space="preserve">522191</t>
  </si>
  <si>
    <t xml:space="preserve">Jasa sosialisasi.</t>
  </si>
  <si>
    <t xml:space="preserve">P34</t>
  </si>
  <si>
    <t xml:space="preserve">H2 Cetak buku publikasi dan dicetak di kabupaten</t>
  </si>
  <si>
    <t xml:space="preserve">Ya dan Ya</t>
  </si>
  <si>
    <t xml:space="preserve">Rilis Ya</t>
  </si>
  <si>
    <t xml:space="preserve">Cetak buku publikasi di kabupaten.</t>
  </si>
  <si>
    <t xml:space="preserve">P35</t>
  </si>
  <si>
    <t xml:space="preserve">H2 Cetak buku publikasi</t>
  </si>
  <si>
    <t xml:space="preserve">Tidak, atau Ya tetapi dicetak di luar kabupaten</t>
  </si>
  <si>
    <t xml:space="preserve">Tidak ada belanja cetak pada POK RO ini.</t>
  </si>
  <si>
    <t xml:space="preserve">P36</t>
  </si>
  <si>
    <t xml:space="preserve">H3 Spanduk</t>
  </si>
  <si>
    <t xml:space="preserve">521211-C</t>
  </si>
  <si>
    <t xml:space="preserve">P37</t>
  </si>
  <si>
    <t xml:space="preserve">Konsumsi rilis</t>
  </si>
  <si>
    <t xml:space="preserve">Rancangan 24 Okt: rilis dapat memakai konsumsi. Belum ada pertanyaannya.</t>
  </si>
  <si>
    <t xml:space="preserve">P38</t>
  </si>
  <si>
    <t xml:space="preserve">Narasumber atau FGD</t>
  </si>
  <si>
    <t xml:space="preserve">P39</t>
  </si>
  <si>
    <t xml:space="preserve">Honor tim penyusun publikasi (SK)</t>
  </si>
  <si>
    <t xml:space="preserve">Akun dan paket belanja menurut pemicunya</t>
  </si>
  <si>
    <t xml:space="preserve">Baris = aturan (ID sama dengan sheet Matriks pemicu). Kolom = paket belanja. ● pasti, ◐ salah satu, ○ usulan belum di mockup. Total di bawah dihitung otomatis.</t>
  </si>
  <si>
    <t xml:space="preserve">524114-A</t>
  </si>
  <si>
    <t xml:space="preserve">524114-B</t>
  </si>
  <si>
    <t xml:space="preserve">524119-A</t>
  </si>
  <si>
    <t xml:space="preserve">524119-B</t>
  </si>
  <si>
    <t xml:space="preserve">Nama paket</t>
  </si>
  <si>
    <t xml:space="preserve">Konsumsi</t>
  </si>
  <si>
    <t xml:space="preserve">Perlengkapan, penggandaan, cetak</t>
  </si>
  <si>
    <t xml:space="preserve">Spanduk</t>
  </si>
  <si>
    <t xml:space="preserve">Pulsa</t>
  </si>
  <si>
    <t xml:space="preserve">Honor camat, kades, penunjuk jalan</t>
  </si>
  <si>
    <t xml:space="preserve">Honor pengajar (Inda)</t>
  </si>
  <si>
    <t xml:space="preserve">Honor petugas mitra</t>
  </si>
  <si>
    <t xml:space="preserve">Honor petugas PNS BPS</t>
  </si>
  <si>
    <t xml:space="preserve">Honor narasumber, moderator</t>
  </si>
  <si>
    <t xml:space="preserve">Jasa lainnya (sosialisasi)</t>
  </si>
  <si>
    <t xml:space="preserve">Perjalanan dinas biasa</t>
  </si>
  <si>
    <t xml:space="preserve">Transport lokal kurang dari 8 jam</t>
  </si>
  <si>
    <t xml:space="preserve">Transport lokal lebih dari 8 jam</t>
  </si>
  <si>
    <t xml:space="preserve">Perjadin paket meeting dalam kota (peserta)</t>
  </si>
  <si>
    <t xml:space="preserve">Penyelenggaraan paket meeting dalam kota</t>
  </si>
  <si>
    <t xml:space="preserve">Perjadin luar kota (peserta)</t>
  </si>
  <si>
    <t xml:space="preserve">Penyelenggaraan luar kota</t>
  </si>
  <si>
    <t xml:space="preserve">A: Periode ke-, jadwal tahap, penanda Fix atau Perkiraan (Semua pilihan)</t>
  </si>
  <si>
    <t xml:space="preserve">B: Berbagi dengan survei lain (Ya (pilih survei yang dirujuk))</t>
  </si>
  <si>
    <t xml:space="preserve">B: Sesi (briefing atau pelatihan) dilaksanakan, bentuk (Luring atau Hybrid)</t>
  </si>
  <si>
    <t xml:space="preserve">●</t>
  </si>
  <si>
    <t xml:space="preserve">B: Perlengkapan pelatihan (Ya)</t>
  </si>
  <si>
    <t xml:space="preserve">B: Biaya pulsa (Ya)</t>
  </si>
  <si>
    <t xml:space="preserve">B: Pengajar eksternal (Ya)</t>
  </si>
  <si>
    <t xml:space="preserve">B: Honor instruktur internal (Inda) (Ya)</t>
  </si>
  <si>
    <t xml:space="preserve">○</t>
  </si>
  <si>
    <t xml:space="preserve">B: Lokasi dan tempat: hotel dalam kota (Luring atau Hybrid, dalam kota, hotel)</t>
  </si>
  <si>
    <t xml:space="preserve">B: Lokasi: luar kota (otomatis hotel) (Luring atau Hybrid, luar kota)</t>
  </si>
  <si>
    <t xml:space="preserve">B: Pelatihan di kantor, peserta mitra (Luring atau Hybrid, dalam kota, kantor)</t>
  </si>
  <si>
    <t xml:space="preserve">C: Rapat persiapan, pelaksanaan, evaluasi: media (Tatap muka)</t>
  </si>
  <si>
    <t xml:space="preserve">C: Rapat: media (Apel pagi atau Zoom)</t>
  </si>
  <si>
    <t xml:space="preserve">D: Instrumen (Tanpa pendataan)</t>
  </si>
  <si>
    <t xml:space="preserve">D: Dokumen PAPI dicetak di kabupaten (Ya)</t>
  </si>
  <si>
    <t xml:space="preserve">D: Dokumen PAPI dicetak di kabupaten (Tidak)</t>
  </si>
  <si>
    <t xml:space="preserve">D: Biaya pulsa petugas lapangan (Ya)</t>
  </si>
  <si>
    <t xml:space="preserve">D: Biaya pulsa petugas lapangan (Terkunci Tidak)</t>
  </si>
  <si>
    <t xml:space="preserve">D: Honor aparat (camat, kepala desa) dan penunjuk jalan (Ya)</t>
  </si>
  <si>
    <t xml:space="preserve">E: Translok per peran (Ya)</t>
  </si>
  <si>
    <t xml:space="preserve">◐</t>
  </si>
  <si>
    <t xml:space="preserve">E: Translok lebih dari 8 jam (Ya)</t>
  </si>
  <si>
    <t xml:space="preserve">E: Honorarium dan status Organik (Ya)</t>
  </si>
  <si>
    <t xml:space="preserve">E: Honorarium dan status Mitra (Ya)</t>
  </si>
  <si>
    <t xml:space="preserve">E: Honorarium dan status Organik dan mitra (Ya)</t>
  </si>
  <si>
    <t xml:space="preserve">E: Status memuat Mitra (Mitra atau Organik dan mitra)</t>
  </si>
  <si>
    <t xml:space="preserve">E: Jumlah petugas dan penanda Fix atau Perkiraan (Angka)</t>
  </si>
  <si>
    <t xml:space="preserve">E: Pulsa per peran (PML, PPL, entri) (Ya)</t>
  </si>
  <si>
    <t xml:space="preserve">E: Supervisi luar kota oleh PML (Ya)</t>
  </si>
  <si>
    <t xml:space="preserve">E: Honor tim pelaksana (SK) (Ya)</t>
  </si>
  <si>
    <t xml:space="preserve">F: F1 Ada konsultasi teknis dan F2 cara (Ada, tatap muka (perjalanan dinas))</t>
  </si>
  <si>
    <t xml:space="preserve">F: F1 dan F2 (Tidak ada, atau ada tetapi daring)</t>
  </si>
  <si>
    <t xml:space="preserve">G: G1 Ada rekonsiliasi data (Ya)</t>
  </si>
  <si>
    <t xml:space="preserve">H: Ada diseminasi (jadwal bagian A) (Tidak)</t>
  </si>
  <si>
    <t xml:space="preserve">H: H1 Rilis atau sosialisasi hasil (Ya)</t>
  </si>
  <si>
    <t xml:space="preserve">H: H2 Cetak buku publikasi dan dicetak di kabupaten (Ya dan Ya)</t>
  </si>
  <si>
    <t xml:space="preserve">H: H2 Cetak buku publikasi (Tidak, atau Ya tetapi dicetak di luar kabupaten)</t>
  </si>
  <si>
    <t xml:space="preserve">H: H3 Spanduk (Ya)</t>
  </si>
  <si>
    <t xml:space="preserve">H: Konsumsi rilis (Ya)</t>
  </si>
  <si>
    <t xml:space="preserve">H: Narasumber atau FGD (Ya)</t>
  </si>
  <si>
    <t xml:space="preserve">H: Honor tim penyusun publikasi (SK) (Ya)</t>
  </si>
  <si>
    <t xml:space="preserve">Total pasti atau salah satu (●, ◐)</t>
  </si>
  <si>
    <t xml:space="preserve">Total usulan (○)</t>
  </si>
  <si>
    <t xml:space="preserve">Ringkasan per akun dan paket</t>
  </si>
  <si>
    <t xml:space="preserve">Jumlah pemicu diambil dari sheet Akun x pemicu (rumus). Isi Konfirmasi untuk tiap paket.</t>
  </si>
  <si>
    <t xml:space="preserve">Nama akun</t>
  </si>
  <si>
    <t xml:space="preserve">Paket</t>
  </si>
  <si>
    <t xml:space="preserve">Jumlah pemicu di mockup</t>
  </si>
  <si>
    <t xml:space="preserve">Jumlah pemicu usulan</t>
  </si>
  <si>
    <t xml:space="preserve">Dipicu oleh (ID, mockup)</t>
  </si>
  <si>
    <t xml:space="preserve">Pemicu usulan (ID)</t>
  </si>
  <si>
    <t xml:space="preserve">Koreksi</t>
  </si>
  <si>
    <t xml:space="preserve">Belanja bahan</t>
  </si>
  <si>
    <t xml:space="preserve">P03, P11</t>
  </si>
  <si>
    <t xml:space="preserve">P04, P14, P34</t>
  </si>
  <si>
    <t xml:space="preserve">P05, P16</t>
  </si>
  <si>
    <t xml:space="preserve">Belanja honor output kegiatan</t>
  </si>
  <si>
    <t xml:space="preserve">(belum dipicu di mockup)</t>
  </si>
  <si>
    <t xml:space="preserve">P28, P39</t>
  </si>
  <si>
    <t xml:space="preserve">P22, P23</t>
  </si>
  <si>
    <t xml:space="preserve">P21, P23</t>
  </si>
  <si>
    <t xml:space="preserve">Belanja jasa profesi</t>
  </si>
  <si>
    <t xml:space="preserve">Belanja jasa lainnya</t>
  </si>
  <si>
    <t xml:space="preserve">Belanja perjalanan dinas biasa</t>
  </si>
  <si>
    <t xml:space="preserve">Belanja perjalanan dinas dalam kota</t>
  </si>
  <si>
    <t xml:space="preserve">Belanja perjalanan dinas paket meeting dalam kota</t>
  </si>
  <si>
    <t xml:space="preserve">Belanja perjalanan dinas paket meeting luar kota</t>
  </si>
  <si>
    <t xml:space="preserve">Seluruh kombinasi jawaban per kelompok pertanyaan</t>
  </si>
  <si>
    <t xml:space="preserve">Dihitung dengan logika mockup. Tiap kelompok lengkap (semua kombinasi efektif); antarkelompok dijumlahkan (aditif) dengan tiga interaksi yang tertulis di sheet Petunjuk. Bagian B berlaku sama untuk Briefing dan Pelatihan; C sama untuk rapat persiapan, pelaksanaan, evaluasi.</t>
  </si>
  <si>
    <t xml:space="preserve">Kelompok</t>
  </si>
  <si>
    <t xml:space="preserve">Kondisi 1</t>
  </si>
  <si>
    <t xml:space="preserve">Kondisi 2</t>
  </si>
  <si>
    <t xml:space="preserve">Kondisi 3</t>
  </si>
  <si>
    <t xml:space="preserve">Kondisi 4</t>
  </si>
  <si>
    <t xml:space="preserve">Paket yang dipicu</t>
  </si>
  <si>
    <t xml:space="preserve">Lampiran dasar wajib</t>
  </si>
  <si>
    <t xml:space="preserve">Rekrutmen mitra</t>
  </si>
  <si>
    <t xml:space="preserve">Koreksi paket</t>
  </si>
  <si>
    <t xml:space="preserve">B. Sesi pelatihan atau briefing</t>
  </si>
  <si>
    <t xml:space="preserve">Bentuk: (sesi tidak dilaksanakan)</t>
  </si>
  <si>
    <t xml:space="preserve">Pulsa: -</t>
  </si>
  <si>
    <t xml:space="preserve">Perlengkapan pelatihan: -</t>
  </si>
  <si>
    <t xml:space="preserve">Pengajar eksternal: -</t>
  </si>
  <si>
    <t xml:space="preserve">Bentuk: Daring</t>
  </si>
  <si>
    <t xml:space="preserve">Pulsa: Tidak</t>
  </si>
  <si>
    <t xml:space="preserve">Perlengkapan pelatihan: tidak ditanya (Tidak)</t>
  </si>
  <si>
    <t xml:space="preserve">Pengajar eksternal: Tidak</t>
  </si>
  <si>
    <t xml:space="preserve">Pengajar eksternal: Ya</t>
  </si>
  <si>
    <t xml:space="preserve">Pulsa: Ya</t>
  </si>
  <si>
    <t xml:space="preserve">521211-D, 522151</t>
  </si>
  <si>
    <t xml:space="preserve">521211, 522151</t>
  </si>
  <si>
    <t xml:space="preserve">Bentuk: Luring</t>
  </si>
  <si>
    <t xml:space="preserve">Pulsa: tidak ditanya (Tidak)</t>
  </si>
  <si>
    <t xml:space="preserve">Perlengkapan pelatihan: Tidak</t>
  </si>
  <si>
    <t xml:space="preserve">521211-A, 522151</t>
  </si>
  <si>
    <t xml:space="preserve">Perlengkapan pelatihan: Ya</t>
  </si>
  <si>
    <t xml:space="preserve">521211-A, 521211-B</t>
  </si>
  <si>
    <t xml:space="preserve">521211-A, 521211-B, 522151</t>
  </si>
  <si>
    <t xml:space="preserve">Bentuk: Hybrid</t>
  </si>
  <si>
    <t xml:space="preserve">521211-A, 521211-D</t>
  </si>
  <si>
    <t xml:space="preserve">521211-A, 521211-D, 522151</t>
  </si>
  <si>
    <t xml:space="preserve">521211-A, 521211-B, 521211-D</t>
  </si>
  <si>
    <t xml:space="preserve">521211-A, 521211-B, 521211-D, 522151</t>
  </si>
  <si>
    <t xml:space="preserve">B. Berbagi dengan survei lain</t>
  </si>
  <si>
    <t xml:space="preserve">Berbagi: Ya</t>
  </si>
  <si>
    <t xml:space="preserve">C. Rapat (per rapat)</t>
  </si>
  <si>
    <t xml:space="preserve">Media: Apel pagi</t>
  </si>
  <si>
    <t xml:space="preserve">Media: Tatap muka</t>
  </si>
  <si>
    <t xml:space="preserve">Media: Apel pagi + Tatap muka</t>
  </si>
  <si>
    <t xml:space="preserve">Media: Zoom</t>
  </si>
  <si>
    <t xml:space="preserve">Media: Apel pagi + Zoom</t>
  </si>
  <si>
    <t xml:space="preserve">Media: Tatap muka + Zoom</t>
  </si>
  <si>
    <t xml:space="preserve">Media: Apel pagi + Tatap muka + Zoom</t>
  </si>
  <si>
    <t xml:space="preserve">D. Instrumen pendataan</t>
  </si>
  <si>
    <t xml:space="preserve">Instrumen: Tanpa pendataan</t>
  </si>
  <si>
    <t xml:space="preserve">Pulsa pelatihan: -</t>
  </si>
  <si>
    <t xml:space="preserve">Instrumen: FASIH</t>
  </si>
  <si>
    <t xml:space="preserve">Pulsa pelatihan: Tidak</t>
  </si>
  <si>
    <t xml:space="preserve">Pulsa lapangan Tidak</t>
  </si>
  <si>
    <t xml:space="preserve">Pulsa lapangan Ya</t>
  </si>
  <si>
    <t xml:space="preserve">Pulsa pelatihan: Ya (pelatihan daring dengan pulsa)</t>
  </si>
  <si>
    <t xml:space="preserve">Pulsa lapangan terkunci Tidak</t>
  </si>
  <si>
    <t xml:space="preserve">Instrumen: PAPI</t>
  </si>
  <si>
    <t xml:space="preserve">Dicetak di kabupaten Tidak</t>
  </si>
  <si>
    <t xml:space="preserve">Dicetak di kabupaten Ya</t>
  </si>
  <si>
    <t xml:space="preserve">E. Peran lapangan (per peran dipakai)</t>
  </si>
  <si>
    <t xml:space="preserve">Peran: Supervisor</t>
  </si>
  <si>
    <t xml:space="preserve">Status: Organik</t>
  </si>
  <si>
    <t xml:space="preserve">Translok: Ya (terkunci); Honor: tidak ditanya</t>
  </si>
  <si>
    <t xml:space="preserve">Instrumen: FASIH atau PAPI</t>
  </si>
  <si>
    <t xml:space="preserve">Status: Organik dan mitra</t>
  </si>
  <si>
    <t xml:space="preserve">Peran: Kortim</t>
  </si>
  <si>
    <t xml:space="preserve">Translok: Tidak; Honor: Tidak</t>
  </si>
  <si>
    <t xml:space="preserve">Translok: Tidak; Honor: Ya</t>
  </si>
  <si>
    <t xml:space="preserve">Ya, wajib</t>
  </si>
  <si>
    <t xml:space="preserve">Translok: Ya; Honor: Tidak</t>
  </si>
  <si>
    <t xml:space="preserve">Translok: Ya; Honor: Ya</t>
  </si>
  <si>
    <t xml:space="preserve">521213-P, 524113-A atau 524113-B</t>
  </si>
  <si>
    <t xml:space="preserve">521213, 524113</t>
  </si>
  <si>
    <t xml:space="preserve">Status: Mitra</t>
  </si>
  <si>
    <t xml:space="preserve">521213-D, 524113-A atau 524113-B</t>
  </si>
  <si>
    <t xml:space="preserve">521213-D, 521213-P, 524113-A atau 524113-B</t>
  </si>
  <si>
    <t xml:space="preserve">Peran: PML</t>
  </si>
  <si>
    <t xml:space="preserve">Peran: PPL</t>
  </si>
  <si>
    <t xml:space="preserve">Translok: tidak ditanya; Honor: Tidak</t>
  </si>
  <si>
    <t xml:space="preserve">Translok: tidak ditanya; Honor: Ya</t>
  </si>
  <si>
    <t xml:space="preserve">Peran: Petugas entri</t>
  </si>
  <si>
    <t xml:space="preserve">Instrumen: PAPI (wajib)</t>
  </si>
  <si>
    <t xml:space="preserve">F. Konsultasi teknis</t>
  </si>
  <si>
    <t xml:space="preserve">Tidak ada konsultasi</t>
  </si>
  <si>
    <t xml:space="preserve">(G1 rekonsiliasi tidak menimbulkan paket)</t>
  </si>
  <si>
    <t xml:space="preserve">Ada, daring</t>
  </si>
  <si>
    <t xml:space="preserve">H. Diseminasi</t>
  </si>
  <si>
    <t xml:space="preserve">Diseminasi: Tidak ada diseminasi</t>
  </si>
  <si>
    <t xml:space="preserve">H1 Rilis: -</t>
  </si>
  <si>
    <t xml:space="preserve">H2 Cetak buku: -</t>
  </si>
  <si>
    <t xml:space="preserve">H3 Spanduk: -</t>
  </si>
  <si>
    <t xml:space="preserve">Diseminasi: Ada</t>
  </si>
  <si>
    <t xml:space="preserve">H1 Rilis: Tidak</t>
  </si>
  <si>
    <t xml:space="preserve">H1 Rilis: Ya</t>
  </si>
  <si>
    <t xml:space="preserve">H2 Cetak buku: Tidak</t>
  </si>
  <si>
    <t xml:space="preserve">H3 Spanduk: Tidak</t>
  </si>
  <si>
    <t xml:space="preserve">H3 Spanduk: Ya</t>
  </si>
  <si>
    <t xml:space="preserve">521211-C, 522191</t>
  </si>
  <si>
    <t xml:space="preserve">521211, 522191</t>
  </si>
  <si>
    <t xml:space="preserve">H2 Cetak buku: Ya, dicetak di kabupaten</t>
  </si>
  <si>
    <t xml:space="preserve">521211-B, 522191</t>
  </si>
  <si>
    <t xml:space="preserve">521211-B, 521211-C, 522191</t>
  </si>
  <si>
    <t xml:space="preserve">H2 Cetak buku: Ya, dicetak di luar kabupaten</t>
  </si>
  <si>
    <t xml:space="preserve">Hal yang perlu Anda putuskan</t>
  </si>
  <si>
    <t xml:space="preserve">Ditulis singkat; jawab langsung pada kolom Jawaban Bapak.</t>
  </si>
  <si>
    <t xml:space="preserve">No</t>
  </si>
  <si>
    <t xml:space="preserve">Pertanyaan untuk Bapak</t>
  </si>
  <si>
    <t xml:space="preserve">Pilihan</t>
  </si>
  <si>
    <t xml:space="preserve">Saran saya</t>
  </si>
  <si>
    <t xml:space="preserve">Jawaban Bapak</t>
  </si>
  <si>
    <t xml:space="preserve">Catatan</t>
  </si>
  <si>
    <t xml:space="preserve">Pengajar eksternal pada B memicu paket apa?</t>
  </si>
  <si>
    <t xml:space="preserve">522151 honor narasumber atau 521213-C honor instruktur internal (Inda), atau kedua-duanya dengan pertanyaan terpisah</t>
  </si>
  <si>
    <t xml:space="preserve">Dua pertanyaan terpisah: pengajar atau narasumber eksternal (522151) dan instruktur internal (521213-C).</t>
  </si>
  <si>
    <t xml:space="preserve">Apakah lokasi dan tempat pelatihan (dalam kota kantor, hotel dalam kota, luar kota) ditambahkan ke lembar B?</t>
  </si>
  <si>
    <t xml:space="preserve">Ya atau Tidak</t>
  </si>
  <si>
    <t xml:space="preserve">Ya, karena memicu 524114-A dan B, 524119-A dan B, serta 524113-A. Tanpa itu paket hotel tidak pernah muncul.</t>
  </si>
  <si>
    <t xml:space="preserve">Translok PPL: dilewati (skip) atau diberikan?</t>
  </si>
  <si>
    <t xml:space="preserve">Skip atau Ya</t>
  </si>
  <si>
    <t xml:space="preserve">Diberikan untuk pendataan lapangan seperti pascabencana (temuan T10).</t>
  </si>
  <si>
    <t xml:space="preserve">Translok: apakah lama perjalanan (kurang atau lebih dari 8 jam) ditanya?</t>
  </si>
  <si>
    <t xml:space="preserve">Ya, agar 524113-A atau 524113-B pasti, bukan salah satu.</t>
  </si>
  <si>
    <t xml:space="preserve">Honor aparat (camat, kepala desa) dan penunjuk jalan (521213-B): ditanya?</t>
  </si>
  <si>
    <t xml:space="preserve">Ya pada pendataan yang memakai penunjuk jalan.</t>
  </si>
  <si>
    <t xml:space="preserve">Pulsa: hanya pulsa lapangan umum, atau per peran?</t>
  </si>
  <si>
    <t xml:space="preserve">Umum atau per peran</t>
  </si>
  <si>
    <t xml:space="preserve">Per peran seperti rancangan 24 Okt, dengan penguncian bila pelatihan sudah memberi pulsa.</t>
  </si>
  <si>
    <t xml:space="preserve">Rekonsiliasi data (G1) memicu paket belanja apa?</t>
  </si>
  <si>
    <t xml:space="preserve">Tidak ada, atau paket tertentu</t>
  </si>
  <si>
    <t xml:space="preserve">Tetapkan paketnya (mis. konsumsi 521211-A bila ada rapat).</t>
  </si>
  <si>
    <t xml:space="preserve">Rilis (H1): konsumsi dan narasumber ditanya?</t>
  </si>
  <si>
    <t xml:space="preserve">Ya, karena rancangan 24 Okt memuat 521211-A dan 522151 pada rilis.</t>
  </si>
  <si>
    <t xml:space="preserve">Honor tim pelaksana atau penyusun publikasi (521213-A): ditanya?</t>
  </si>
  <si>
    <t xml:space="preserve">Ya, satu pertanyaan 'ada SK tim yang diberi honor'.</t>
  </si>
  <si>
    <t xml:space="preserve">Pengolahan dan petugas entri: apakah petugas entri hanya untuk PAPI?</t>
  </si>
  <si>
    <t xml:space="preserve">Ya (tafsiran sekarang).</t>
  </si>
  <si>
    <t xml:space="preserve">Supervisor: status hanya Organik, atau Organik dan mitra. Apakah tafsiran saya sesuai?</t>
  </si>
  <si>
    <t xml:space="preserve">Sesuai atau Ubah</t>
  </si>
  <si>
    <t xml:space="preserve">Sesuai: Mitra saja tidak ditawarkan untuk Supervisor.</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</si>
</sst>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0F2A52"/>
      <name val="Arial"/>
      <family val="0"/>
      <charset val="1"/>
    </font>
    <font>
      <i val="true"/>
      <sz val="10"/>
      <color rgb="FF5B6B84"/>
      <name val="Arial"/>
      <family val="0"/>
      <charset val="1"/>
    </font>
    <font>
      <b val="true"/>
      <sz val="10"/>
      <color rgb="FF000000"/>
      <name val="Arial"/>
      <family val="0"/>
      <charset val="1"/>
    </font>
    <font>
      <sz val="10"/>
      <color rgb="FF000000"/>
      <name val="Arial"/>
      <family val="0"/>
      <charset val="1"/>
    </font>
    <font>
      <b val="true"/>
      <sz val="10"/>
      <color rgb="FFFFFFFF"/>
      <name val="Arial"/>
      <family val="0"/>
      <charset val="1"/>
    </font>
    <font>
      <sz val="8"/>
      <color rgb="FF000000"/>
      <name val="Arial"/>
      <family val="0"/>
      <charset val="1"/>
    </font>
    <font>
      <sz val="11"/>
      <color rgb="FF000000"/>
      <name val="Arial"/>
      <family val="0"/>
      <charset val="1"/>
    </font>
  </fonts>
  <fills count="7">
    <fill>
      <patternFill patternType="none"/>
    </fill>
    <fill>
      <patternFill patternType="gray125"/>
    </fill>
    <fill>
      <patternFill patternType="solid">
        <fgColor rgb="FFE3ECFA"/>
        <bgColor rgb="FFE6F6EC"/>
      </patternFill>
    </fill>
    <fill>
      <patternFill patternType="solid">
        <fgColor rgb="FF0F2A52"/>
        <bgColor rgb="FF333333"/>
      </patternFill>
    </fill>
    <fill>
      <patternFill patternType="solid">
        <fgColor rgb="FFE6F6EC"/>
        <bgColor rgb="FFE3ECFA"/>
      </patternFill>
    </fill>
    <fill>
      <patternFill patternType="solid">
        <fgColor rgb="FFFFF4D6"/>
        <bgColor rgb="FFFBE3E1"/>
      </patternFill>
    </fill>
    <fill>
      <patternFill patternType="solid">
        <fgColor rgb="FFFBE3E1"/>
        <bgColor rgb="FFFFF4D6"/>
      </patternFill>
    </fill>
  </fills>
  <borders count="2">
    <border diagonalUp="false" diagonalDown="false">
      <left/>
      <right/>
      <top/>
      <bottom/>
      <diagonal/>
    </border>
    <border diagonalUp="false" diagonalDown="false">
      <left style="thin">
        <color rgb="FFC9D3E3"/>
      </left>
      <right style="thin">
        <color rgb="FFC9D3E3"/>
      </right>
      <top style="thin">
        <color rgb="FFC9D3E3"/>
      </top>
      <bottom style="thin">
        <color rgb="FFC9D3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5" fontId="6" fillId="2"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F2A5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6F6EC"/>
          <bgColor rgb="FF000000"/>
        </patternFill>
      </fill>
    </dxf>
    <dxf>
      <fill>
        <patternFill patternType="solid">
          <fgColor rgb="FFFBE3E1"/>
          <bgColor rgb="FF000000"/>
        </patternFill>
      </fill>
    </dxf>
    <dxf>
      <fill>
        <patternFill patternType="solid">
          <fgColor rgb="FFFFF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D6"/>
      <rgbColor rgb="FFE6F6EC"/>
      <rgbColor rgb="FF660066"/>
      <rgbColor rgb="FFFF8080"/>
      <rgbColor rgb="FF0066CC"/>
      <rgbColor rgb="FFC9D3E3"/>
      <rgbColor rgb="FF000080"/>
      <rgbColor rgb="FFFF00FF"/>
      <rgbColor rgb="FFFFFF00"/>
      <rgbColor rgb="FF00FFFF"/>
      <rgbColor rgb="FF800080"/>
      <rgbColor rgb="FF800000"/>
      <rgbColor rgb="FF008080"/>
      <rgbColor rgb="FF0000FF"/>
      <rgbColor rgb="FF00CCFF"/>
      <rgbColor rgb="FFE3ECFA"/>
      <rgbColor rgb="FFCCFFCC"/>
      <rgbColor rgb="FFFFFF99"/>
      <rgbColor rgb="FF99CCFF"/>
      <rgbColor rgb="FFFF99CC"/>
      <rgbColor rgb="FFCC99FF"/>
      <rgbColor rgb="FFFBE3E1"/>
      <rgbColor rgb="FF3366FF"/>
      <rgbColor rgb="FF33CCCC"/>
      <rgbColor rgb="FF99CC00"/>
      <rgbColor rgb="FFFFCC00"/>
      <rgbColor rgb="FFFF9900"/>
      <rgbColor rgb="FFFF6600"/>
      <rgbColor rgb="FF5B6B84"/>
      <rgbColor rgb="FF969696"/>
      <rgbColor rgb="FF0F2A52"/>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39.75" hidden="false" customHeight="true" outlineLevel="0" collapsed="false">
      <c r="A4" s="3" t="s">
        <v>2</v>
      </c>
      <c r="B4" s="4" t="s">
        <v>3</v>
      </c>
    </row>
    <row r="5" customFormat="false" ht="61.5" hidden="false" customHeight="true" outlineLevel="0" collapsed="false">
      <c r="A5" s="3" t="s">
        <v>4</v>
      </c>
      <c r="B5" s="4" t="s">
        <v>5</v>
      </c>
    </row>
    <row r="6" customFormat="false" ht="61.5" hidden="false" customHeight="true" outlineLevel="0" collapsed="false">
      <c r="A6" s="3" t="s">
        <v>6</v>
      </c>
      <c r="B6" s="4" t="s">
        <v>7</v>
      </c>
    </row>
    <row r="7" customFormat="false" ht="61.5" hidden="false" customHeight="true" outlineLevel="0" collapsed="false">
      <c r="A7" s="3" t="s">
        <v>8</v>
      </c>
      <c r="B7" s="4" t="s">
        <v>9</v>
      </c>
    </row>
    <row r="8" customFormat="false" ht="39.75" hidden="false" customHeight="true" outlineLevel="0" collapsed="false">
      <c r="A8" s="3" t="s">
        <v>10</v>
      </c>
      <c r="B8" s="4" t="s">
        <v>11</v>
      </c>
    </row>
    <row r="9" customFormat="false" ht="39.75" hidden="false" customHeight="true" outlineLevel="0" collapsed="false">
      <c r="A9" s="3" t="s">
        <v>12</v>
      </c>
      <c r="B9" s="4" t="s">
        <v>13</v>
      </c>
    </row>
    <row r="10" customFormat="false" ht="61.5" hidden="false" customHeight="true" outlineLevel="0" collapsed="false">
      <c r="A10" s="3" t="s">
        <v>14</v>
      </c>
      <c r="B10" s="4" t="s">
        <v>15</v>
      </c>
    </row>
    <row r="11" customFormat="false" ht="39.75" hidden="false" customHeight="true" outlineLevel="0" collapsed="false">
      <c r="A11" s="3" t="s">
        <v>16</v>
      </c>
      <c r="B11" s="4"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34"/>
    <col collapsed="false" customWidth="true" hidden="false" outlineLevel="0" max="4" min="4" style="0" width="28"/>
    <col collapsed="false" customWidth="true" hidden="false" outlineLevel="0" max="5" min="5" style="0" width="30"/>
    <col collapsed="false" customWidth="true" hidden="false" outlineLevel="0" max="6" min="6" style="0" width="26"/>
    <col collapsed="false" customWidth="true" hidden="false" outlineLevel="0" max="7" min="7" style="0" width="14"/>
    <col collapsed="false" customWidth="true" hidden="false" outlineLevel="0" max="8" min="8" style="0" width="16"/>
    <col collapsed="false" customWidth="true" hidden="false" outlineLevel="0" max="9" min="9" style="0" width="22"/>
    <col collapsed="false" customWidth="true" hidden="false" outlineLevel="0" max="10" min="10" style="0" width="52"/>
    <col collapsed="false" customWidth="true" hidden="false" outlineLevel="0" max="11" min="11" style="0" width="14"/>
    <col collapsed="false" customWidth="true" hidden="false" outlineLevel="0" max="12" min="12" style="0" width="24"/>
    <col collapsed="false" customWidth="true" hidden="false" outlineLevel="0" max="13" min="13" style="0" width="28"/>
  </cols>
  <sheetData>
    <row r="1" customFormat="false" ht="17.35" hidden="false" customHeight="false" outlineLevel="0" collapsed="false">
      <c r="A1" s="1" t="s">
        <v>18</v>
      </c>
    </row>
    <row r="2" customFormat="false" ht="43.5" hidden="false" customHeight="true" outlineLevel="0" collapsed="false">
      <c r="A2" s="5" t="s">
        <v>19</v>
      </c>
      <c r="B2" s="5"/>
      <c r="C2" s="5"/>
      <c r="D2" s="5"/>
      <c r="E2" s="5"/>
      <c r="F2" s="5"/>
      <c r="G2" s="5"/>
      <c r="H2" s="5"/>
      <c r="I2" s="5"/>
      <c r="J2" s="5"/>
      <c r="K2" s="5"/>
      <c r="L2" s="5"/>
      <c r="M2" s="5"/>
    </row>
    <row r="4" customFormat="false" ht="31.5" hidden="false" customHeight="true" outlineLevel="0" collapsed="false">
      <c r="A4" s="6" t="s">
        <v>20</v>
      </c>
      <c r="B4" s="6" t="s">
        <v>21</v>
      </c>
      <c r="C4" s="6" t="s">
        <v>22</v>
      </c>
      <c r="D4" s="6" t="s">
        <v>23</v>
      </c>
      <c r="E4" s="6" t="s">
        <v>24</v>
      </c>
      <c r="F4" s="6" t="s">
        <v>25</v>
      </c>
      <c r="G4" s="6" t="s">
        <v>26</v>
      </c>
      <c r="H4" s="6" t="s">
        <v>27</v>
      </c>
      <c r="I4" s="6" t="s">
        <v>28</v>
      </c>
      <c r="J4" s="6" t="s">
        <v>29</v>
      </c>
      <c r="K4" s="6" t="s">
        <v>30</v>
      </c>
      <c r="L4" s="6" t="s">
        <v>31</v>
      </c>
      <c r="M4" s="6" t="s">
        <v>32</v>
      </c>
    </row>
    <row r="5" customFormat="false" ht="30" hidden="false" customHeight="true" outlineLevel="0" collapsed="false">
      <c r="A5" s="4" t="s">
        <v>33</v>
      </c>
      <c r="B5" s="4" t="s">
        <v>34</v>
      </c>
      <c r="C5" s="4" t="s">
        <v>35</v>
      </c>
      <c r="D5" s="4" t="s">
        <v>36</v>
      </c>
      <c r="E5" s="4" t="s">
        <v>37</v>
      </c>
      <c r="F5" s="4" t="s">
        <v>38</v>
      </c>
      <c r="G5" s="4" t="s">
        <v>39</v>
      </c>
      <c r="H5" s="4" t="s">
        <v>39</v>
      </c>
      <c r="I5" s="7" t="s">
        <v>40</v>
      </c>
      <c r="J5" s="4" t="s">
        <v>41</v>
      </c>
      <c r="K5" s="8"/>
      <c r="L5" s="8"/>
      <c r="M5" s="8"/>
    </row>
    <row r="6" customFormat="false" ht="45" hidden="false" customHeight="true" outlineLevel="0" collapsed="false">
      <c r="A6" s="4" t="s">
        <v>42</v>
      </c>
      <c r="B6" s="4" t="s">
        <v>43</v>
      </c>
      <c r="C6" s="4" t="s">
        <v>44</v>
      </c>
      <c r="D6" s="4" t="s">
        <v>45</v>
      </c>
      <c r="E6" s="4" t="s">
        <v>37</v>
      </c>
      <c r="F6" s="4" t="s">
        <v>38</v>
      </c>
      <c r="G6" s="4" t="s">
        <v>39</v>
      </c>
      <c r="H6" s="4" t="s">
        <v>39</v>
      </c>
      <c r="I6" s="7" t="s">
        <v>40</v>
      </c>
      <c r="J6" s="4" t="s">
        <v>46</v>
      </c>
      <c r="K6" s="8"/>
      <c r="L6" s="8"/>
      <c r="M6" s="8"/>
    </row>
    <row r="7" customFormat="false" ht="30" hidden="false" customHeight="true" outlineLevel="0" collapsed="false">
      <c r="A7" s="4" t="s">
        <v>47</v>
      </c>
      <c r="B7" s="4" t="s">
        <v>43</v>
      </c>
      <c r="C7" s="4" t="s">
        <v>48</v>
      </c>
      <c r="D7" s="4" t="s">
        <v>49</v>
      </c>
      <c r="E7" s="4" t="s">
        <v>50</v>
      </c>
      <c r="F7" s="4" t="s">
        <v>51</v>
      </c>
      <c r="G7" s="4" t="s">
        <v>52</v>
      </c>
      <c r="H7" s="4" t="s">
        <v>53</v>
      </c>
      <c r="I7" s="7" t="s">
        <v>40</v>
      </c>
      <c r="J7" s="4" t="s">
        <v>54</v>
      </c>
      <c r="K7" s="8"/>
      <c r="L7" s="8"/>
      <c r="M7" s="8"/>
    </row>
    <row r="8" customFormat="false" ht="30" hidden="false" customHeight="true" outlineLevel="0" collapsed="false">
      <c r="A8" s="4" t="s">
        <v>55</v>
      </c>
      <c r="B8" s="4" t="s">
        <v>43</v>
      </c>
      <c r="C8" s="4" t="s">
        <v>56</v>
      </c>
      <c r="D8" s="4" t="s">
        <v>57</v>
      </c>
      <c r="E8" s="4" t="s">
        <v>58</v>
      </c>
      <c r="F8" s="4" t="s">
        <v>59</v>
      </c>
      <c r="G8" s="4" t="s">
        <v>52</v>
      </c>
      <c r="H8" s="4" t="s">
        <v>53</v>
      </c>
      <c r="I8" s="7" t="s">
        <v>40</v>
      </c>
      <c r="J8" s="4" t="s">
        <v>60</v>
      </c>
      <c r="K8" s="8"/>
      <c r="L8" s="8"/>
      <c r="M8" s="8"/>
    </row>
    <row r="9" customFormat="false" ht="45" hidden="false" customHeight="true" outlineLevel="0" collapsed="false">
      <c r="A9" s="4" t="s">
        <v>61</v>
      </c>
      <c r="B9" s="4" t="s">
        <v>43</v>
      </c>
      <c r="C9" s="4" t="s">
        <v>62</v>
      </c>
      <c r="D9" s="4" t="s">
        <v>57</v>
      </c>
      <c r="E9" s="4" t="s">
        <v>63</v>
      </c>
      <c r="F9" s="4" t="s">
        <v>64</v>
      </c>
      <c r="G9" s="4" t="s">
        <v>52</v>
      </c>
      <c r="H9" s="4" t="s">
        <v>53</v>
      </c>
      <c r="I9" s="7" t="s">
        <v>40</v>
      </c>
      <c r="J9" s="4" t="s">
        <v>65</v>
      </c>
      <c r="K9" s="8"/>
      <c r="L9" s="8"/>
      <c r="M9" s="8"/>
    </row>
    <row r="10" customFormat="false" ht="60" hidden="false" customHeight="true" outlineLevel="0" collapsed="false">
      <c r="A10" s="4" t="s">
        <v>66</v>
      </c>
      <c r="B10" s="4" t="s">
        <v>43</v>
      </c>
      <c r="C10" s="4" t="s">
        <v>67</v>
      </c>
      <c r="D10" s="4" t="s">
        <v>57</v>
      </c>
      <c r="E10" s="4" t="s">
        <v>68</v>
      </c>
      <c r="F10" s="4" t="s">
        <v>69</v>
      </c>
      <c r="G10" s="4" t="s">
        <v>69</v>
      </c>
      <c r="H10" s="4" t="s">
        <v>70</v>
      </c>
      <c r="I10" s="9" t="s">
        <v>71</v>
      </c>
      <c r="J10" s="4" t="s">
        <v>72</v>
      </c>
      <c r="K10" s="8"/>
      <c r="L10" s="8"/>
      <c r="M10" s="8"/>
    </row>
    <row r="11" customFormat="false" ht="30" hidden="false" customHeight="true" outlineLevel="0" collapsed="false">
      <c r="A11" s="4" t="s">
        <v>73</v>
      </c>
      <c r="B11" s="4" t="s">
        <v>43</v>
      </c>
      <c r="C11" s="4" t="s">
        <v>74</v>
      </c>
      <c r="D11" s="4" t="s">
        <v>57</v>
      </c>
      <c r="E11" s="4" t="s">
        <v>68</v>
      </c>
      <c r="F11" s="4" t="s">
        <v>75</v>
      </c>
      <c r="G11" s="4" t="s">
        <v>76</v>
      </c>
      <c r="H11" s="4" t="s">
        <v>70</v>
      </c>
      <c r="I11" s="8" t="s">
        <v>77</v>
      </c>
      <c r="J11" s="4" t="s">
        <v>78</v>
      </c>
      <c r="K11" s="8"/>
      <c r="L11" s="8"/>
      <c r="M11" s="8"/>
    </row>
    <row r="12" customFormat="false" ht="30" hidden="false" customHeight="true" outlineLevel="0" collapsed="false">
      <c r="A12" s="4" t="s">
        <v>79</v>
      </c>
      <c r="B12" s="4" t="s">
        <v>43</v>
      </c>
      <c r="C12" s="4" t="s">
        <v>80</v>
      </c>
      <c r="D12" s="4" t="s">
        <v>81</v>
      </c>
      <c r="E12" s="4" t="s">
        <v>68</v>
      </c>
      <c r="F12" s="4" t="s">
        <v>82</v>
      </c>
      <c r="G12" s="4" t="s">
        <v>83</v>
      </c>
      <c r="H12" s="4" t="s">
        <v>84</v>
      </c>
      <c r="I12" s="8" t="s">
        <v>77</v>
      </c>
      <c r="J12" s="4" t="s">
        <v>85</v>
      </c>
      <c r="K12" s="8"/>
      <c r="L12" s="8"/>
      <c r="M12" s="8"/>
    </row>
    <row r="13" customFormat="false" ht="30" hidden="false" customHeight="true" outlineLevel="0" collapsed="false">
      <c r="A13" s="4" t="s">
        <v>86</v>
      </c>
      <c r="B13" s="4" t="s">
        <v>43</v>
      </c>
      <c r="C13" s="4" t="s">
        <v>87</v>
      </c>
      <c r="D13" s="4" t="s">
        <v>88</v>
      </c>
      <c r="E13" s="4" t="s">
        <v>68</v>
      </c>
      <c r="F13" s="4" t="s">
        <v>89</v>
      </c>
      <c r="G13" s="4" t="s">
        <v>90</v>
      </c>
      <c r="H13" s="4" t="s">
        <v>84</v>
      </c>
      <c r="I13" s="8" t="s">
        <v>77</v>
      </c>
      <c r="J13" s="4" t="s">
        <v>91</v>
      </c>
      <c r="K13" s="8"/>
      <c r="L13" s="8"/>
      <c r="M13" s="8"/>
    </row>
    <row r="14" customFormat="false" ht="30" hidden="false" customHeight="true" outlineLevel="0" collapsed="false">
      <c r="A14" s="4" t="s">
        <v>92</v>
      </c>
      <c r="B14" s="4" t="s">
        <v>43</v>
      </c>
      <c r="C14" s="4" t="s">
        <v>93</v>
      </c>
      <c r="D14" s="4" t="s">
        <v>94</v>
      </c>
      <c r="E14" s="4" t="s">
        <v>68</v>
      </c>
      <c r="F14" s="4" t="s">
        <v>95</v>
      </c>
      <c r="G14" s="4" t="s">
        <v>96</v>
      </c>
      <c r="H14" s="4" t="s">
        <v>70</v>
      </c>
      <c r="I14" s="8" t="s">
        <v>77</v>
      </c>
      <c r="J14" s="4" t="s">
        <v>97</v>
      </c>
      <c r="K14" s="8"/>
      <c r="L14" s="8"/>
      <c r="M14" s="8"/>
    </row>
    <row r="15" customFormat="false" ht="30" hidden="false" customHeight="true" outlineLevel="0" collapsed="false">
      <c r="A15" s="4" t="s">
        <v>98</v>
      </c>
      <c r="B15" s="4" t="s">
        <v>99</v>
      </c>
      <c r="C15" s="4" t="s">
        <v>100</v>
      </c>
      <c r="D15" s="4" t="s">
        <v>101</v>
      </c>
      <c r="E15" s="4" t="s">
        <v>102</v>
      </c>
      <c r="F15" s="4" t="s">
        <v>51</v>
      </c>
      <c r="G15" s="4" t="s">
        <v>52</v>
      </c>
      <c r="H15" s="4" t="s">
        <v>53</v>
      </c>
      <c r="I15" s="7" t="s">
        <v>40</v>
      </c>
      <c r="J15" s="4" t="s">
        <v>103</v>
      </c>
      <c r="K15" s="8"/>
      <c r="L15" s="8"/>
      <c r="M15" s="8"/>
    </row>
    <row r="16" customFormat="false" ht="30" hidden="false" customHeight="true" outlineLevel="0" collapsed="false">
      <c r="A16" s="4" t="s">
        <v>104</v>
      </c>
      <c r="B16" s="4" t="s">
        <v>99</v>
      </c>
      <c r="C16" s="4" t="s">
        <v>105</v>
      </c>
      <c r="D16" s="4" t="s">
        <v>106</v>
      </c>
      <c r="E16" s="4" t="s">
        <v>107</v>
      </c>
      <c r="F16" s="4" t="s">
        <v>38</v>
      </c>
      <c r="G16" s="4" t="s">
        <v>39</v>
      </c>
      <c r="H16" s="4" t="s">
        <v>39</v>
      </c>
      <c r="I16" s="7" t="s">
        <v>40</v>
      </c>
      <c r="J16" s="4" t="s">
        <v>108</v>
      </c>
      <c r="K16" s="8"/>
      <c r="L16" s="8"/>
      <c r="M16" s="8"/>
    </row>
    <row r="17" customFormat="false" ht="30" hidden="false" customHeight="true" outlineLevel="0" collapsed="false">
      <c r="A17" s="4" t="s">
        <v>109</v>
      </c>
      <c r="B17" s="4" t="s">
        <v>110</v>
      </c>
      <c r="C17" s="4" t="s">
        <v>111</v>
      </c>
      <c r="D17" s="4" t="s">
        <v>112</v>
      </c>
      <c r="E17" s="4" t="s">
        <v>37</v>
      </c>
      <c r="F17" s="4" t="s">
        <v>38</v>
      </c>
      <c r="G17" s="4" t="s">
        <v>39</v>
      </c>
      <c r="H17" s="4" t="s">
        <v>39</v>
      </c>
      <c r="I17" s="7" t="s">
        <v>40</v>
      </c>
      <c r="J17" s="4" t="s">
        <v>113</v>
      </c>
      <c r="K17" s="8"/>
      <c r="L17" s="8"/>
      <c r="M17" s="8"/>
    </row>
    <row r="18" customFormat="false" ht="30" hidden="false" customHeight="true" outlineLevel="0" collapsed="false">
      <c r="A18" s="4" t="s">
        <v>114</v>
      </c>
      <c r="B18" s="4" t="s">
        <v>110</v>
      </c>
      <c r="C18" s="4" t="s">
        <v>115</v>
      </c>
      <c r="D18" s="4" t="s">
        <v>57</v>
      </c>
      <c r="E18" s="4" t="s">
        <v>116</v>
      </c>
      <c r="F18" s="4" t="s">
        <v>59</v>
      </c>
      <c r="G18" s="4" t="s">
        <v>52</v>
      </c>
      <c r="H18" s="4" t="s">
        <v>53</v>
      </c>
      <c r="I18" s="7" t="s">
        <v>40</v>
      </c>
      <c r="J18" s="4" t="s">
        <v>117</v>
      </c>
      <c r="K18" s="8"/>
      <c r="L18" s="8"/>
      <c r="M18" s="8"/>
    </row>
    <row r="19" customFormat="false" ht="30" hidden="false" customHeight="true" outlineLevel="0" collapsed="false">
      <c r="A19" s="4" t="s">
        <v>118</v>
      </c>
      <c r="B19" s="4" t="s">
        <v>110</v>
      </c>
      <c r="C19" s="4" t="s">
        <v>115</v>
      </c>
      <c r="D19" s="4" t="s">
        <v>119</v>
      </c>
      <c r="E19" s="4" t="s">
        <v>116</v>
      </c>
      <c r="F19" s="4" t="s">
        <v>38</v>
      </c>
      <c r="G19" s="4" t="s">
        <v>39</v>
      </c>
      <c r="H19" s="4" t="s">
        <v>39</v>
      </c>
      <c r="I19" s="7" t="s">
        <v>40</v>
      </c>
      <c r="J19" s="4" t="s">
        <v>120</v>
      </c>
      <c r="K19" s="8"/>
      <c r="L19" s="8"/>
      <c r="M19" s="8"/>
    </row>
    <row r="20" customFormat="false" ht="30" hidden="false" customHeight="true" outlineLevel="0" collapsed="false">
      <c r="A20" s="4" t="s">
        <v>121</v>
      </c>
      <c r="B20" s="4" t="s">
        <v>110</v>
      </c>
      <c r="C20" s="4" t="s">
        <v>122</v>
      </c>
      <c r="D20" s="4" t="s">
        <v>57</v>
      </c>
      <c r="E20" s="4" t="s">
        <v>123</v>
      </c>
      <c r="F20" s="4" t="s">
        <v>64</v>
      </c>
      <c r="G20" s="4" t="s">
        <v>52</v>
      </c>
      <c r="H20" s="4" t="s">
        <v>53</v>
      </c>
      <c r="I20" s="7" t="s">
        <v>40</v>
      </c>
      <c r="J20" s="4"/>
      <c r="K20" s="8"/>
      <c r="L20" s="8"/>
      <c r="M20" s="8"/>
    </row>
    <row r="21" customFormat="false" ht="30" hidden="false" customHeight="true" outlineLevel="0" collapsed="false">
      <c r="A21" s="4" t="s">
        <v>124</v>
      </c>
      <c r="B21" s="4" t="s">
        <v>110</v>
      </c>
      <c r="C21" s="4" t="s">
        <v>122</v>
      </c>
      <c r="D21" s="4" t="s">
        <v>125</v>
      </c>
      <c r="E21" s="4" t="s">
        <v>126</v>
      </c>
      <c r="F21" s="4" t="s">
        <v>38</v>
      </c>
      <c r="G21" s="4" t="s">
        <v>39</v>
      </c>
      <c r="H21" s="4" t="s">
        <v>39</v>
      </c>
      <c r="I21" s="7" t="s">
        <v>40</v>
      </c>
      <c r="J21" s="4" t="s">
        <v>127</v>
      </c>
      <c r="K21" s="8"/>
      <c r="L21" s="8"/>
      <c r="M21" s="8"/>
    </row>
    <row r="22" customFormat="false" ht="30" hidden="false" customHeight="true" outlineLevel="0" collapsed="false">
      <c r="A22" s="4" t="s">
        <v>128</v>
      </c>
      <c r="B22" s="4" t="s">
        <v>110</v>
      </c>
      <c r="C22" s="4" t="s">
        <v>129</v>
      </c>
      <c r="D22" s="4" t="s">
        <v>57</v>
      </c>
      <c r="E22" s="4" t="s">
        <v>130</v>
      </c>
      <c r="F22" s="4" t="s">
        <v>131</v>
      </c>
      <c r="G22" s="4" t="s">
        <v>76</v>
      </c>
      <c r="H22" s="4" t="s">
        <v>70</v>
      </c>
      <c r="I22" s="8" t="s">
        <v>77</v>
      </c>
      <c r="J22" s="4" t="s">
        <v>132</v>
      </c>
      <c r="K22" s="8"/>
      <c r="L22" s="8"/>
      <c r="M22" s="8"/>
    </row>
    <row r="23" customFormat="false" ht="60" hidden="false" customHeight="true" outlineLevel="0" collapsed="false">
      <c r="A23" s="4" t="s">
        <v>133</v>
      </c>
      <c r="B23" s="4" t="s">
        <v>134</v>
      </c>
      <c r="C23" s="4" t="s">
        <v>135</v>
      </c>
      <c r="D23" s="4" t="s">
        <v>57</v>
      </c>
      <c r="E23" s="4" t="s">
        <v>136</v>
      </c>
      <c r="F23" s="4" t="s">
        <v>137</v>
      </c>
      <c r="G23" s="4" t="s">
        <v>96</v>
      </c>
      <c r="H23" s="4" t="s">
        <v>70</v>
      </c>
      <c r="I23" s="9" t="s">
        <v>71</v>
      </c>
      <c r="J23" s="4" t="s">
        <v>138</v>
      </c>
      <c r="K23" s="8"/>
      <c r="L23" s="8"/>
      <c r="M23" s="8"/>
    </row>
    <row r="24" customFormat="false" ht="30" hidden="false" customHeight="true" outlineLevel="0" collapsed="false">
      <c r="A24" s="4" t="s">
        <v>139</v>
      </c>
      <c r="B24" s="4" t="s">
        <v>134</v>
      </c>
      <c r="C24" s="4" t="s">
        <v>140</v>
      </c>
      <c r="D24" s="4" t="s">
        <v>57</v>
      </c>
      <c r="E24" s="4" t="s">
        <v>141</v>
      </c>
      <c r="F24" s="4" t="s">
        <v>142</v>
      </c>
      <c r="G24" s="4" t="s">
        <v>96</v>
      </c>
      <c r="H24" s="4" t="s">
        <v>70</v>
      </c>
      <c r="I24" s="8" t="s">
        <v>77</v>
      </c>
      <c r="J24" s="4" t="s">
        <v>143</v>
      </c>
      <c r="K24" s="8"/>
      <c r="L24" s="8"/>
      <c r="M24" s="8"/>
    </row>
    <row r="25" customFormat="false" ht="30" hidden="false" customHeight="true" outlineLevel="0" collapsed="false">
      <c r="A25" s="4" t="s">
        <v>144</v>
      </c>
      <c r="B25" s="4" t="s">
        <v>134</v>
      </c>
      <c r="C25" s="4" t="s">
        <v>145</v>
      </c>
      <c r="D25" s="4" t="s">
        <v>57</v>
      </c>
      <c r="E25" s="4" t="s">
        <v>146</v>
      </c>
      <c r="F25" s="4" t="s">
        <v>147</v>
      </c>
      <c r="G25" s="4" t="s">
        <v>76</v>
      </c>
      <c r="H25" s="4" t="s">
        <v>70</v>
      </c>
      <c r="I25" s="7" t="s">
        <v>40</v>
      </c>
      <c r="J25" s="4" t="s">
        <v>148</v>
      </c>
      <c r="K25" s="8"/>
      <c r="L25" s="8"/>
      <c r="M25" s="8"/>
    </row>
    <row r="26" customFormat="false" ht="30" hidden="false" customHeight="true" outlineLevel="0" collapsed="false">
      <c r="A26" s="4" t="s">
        <v>149</v>
      </c>
      <c r="B26" s="4" t="s">
        <v>134</v>
      </c>
      <c r="C26" s="4" t="s">
        <v>150</v>
      </c>
      <c r="D26" s="4" t="s">
        <v>57</v>
      </c>
      <c r="E26" s="4" t="s">
        <v>151</v>
      </c>
      <c r="F26" s="4" t="s">
        <v>152</v>
      </c>
      <c r="G26" s="4" t="s">
        <v>76</v>
      </c>
      <c r="H26" s="4" t="s">
        <v>70</v>
      </c>
      <c r="I26" s="7" t="s">
        <v>40</v>
      </c>
      <c r="J26" s="4" t="s">
        <v>153</v>
      </c>
      <c r="K26" s="8"/>
      <c r="L26" s="8"/>
      <c r="M26" s="8"/>
    </row>
    <row r="27" customFormat="false" ht="30" hidden="false" customHeight="true" outlineLevel="0" collapsed="false">
      <c r="A27" s="4" t="s">
        <v>154</v>
      </c>
      <c r="B27" s="4" t="s">
        <v>134</v>
      </c>
      <c r="C27" s="4" t="s">
        <v>155</v>
      </c>
      <c r="D27" s="4" t="s">
        <v>57</v>
      </c>
      <c r="E27" s="4" t="s">
        <v>151</v>
      </c>
      <c r="F27" s="4" t="s">
        <v>156</v>
      </c>
      <c r="G27" s="4" t="s">
        <v>76</v>
      </c>
      <c r="H27" s="4" t="s">
        <v>70</v>
      </c>
      <c r="I27" s="7" t="s">
        <v>40</v>
      </c>
      <c r="J27" s="4" t="s">
        <v>157</v>
      </c>
      <c r="K27" s="8"/>
      <c r="L27" s="8"/>
      <c r="M27" s="8"/>
    </row>
    <row r="28" customFormat="false" ht="30" hidden="false" customHeight="true" outlineLevel="0" collapsed="false">
      <c r="A28" s="4" t="s">
        <v>158</v>
      </c>
      <c r="B28" s="4" t="s">
        <v>134</v>
      </c>
      <c r="C28" s="4" t="s">
        <v>159</v>
      </c>
      <c r="D28" s="4" t="s">
        <v>160</v>
      </c>
      <c r="E28" s="4" t="s">
        <v>161</v>
      </c>
      <c r="F28" s="4" t="s">
        <v>38</v>
      </c>
      <c r="G28" s="4" t="s">
        <v>39</v>
      </c>
      <c r="H28" s="4" t="s">
        <v>39</v>
      </c>
      <c r="I28" s="7" t="s">
        <v>40</v>
      </c>
      <c r="J28" s="4" t="s">
        <v>162</v>
      </c>
      <c r="K28" s="8"/>
      <c r="L28" s="8"/>
      <c r="M28" s="8"/>
    </row>
    <row r="29" customFormat="false" ht="30" hidden="false" customHeight="true" outlineLevel="0" collapsed="false">
      <c r="A29" s="4" t="s">
        <v>163</v>
      </c>
      <c r="B29" s="4" t="s">
        <v>134</v>
      </c>
      <c r="C29" s="4" t="s">
        <v>164</v>
      </c>
      <c r="D29" s="4" t="s">
        <v>165</v>
      </c>
      <c r="E29" s="4" t="s">
        <v>161</v>
      </c>
      <c r="F29" s="4" t="s">
        <v>38</v>
      </c>
      <c r="G29" s="4" t="s">
        <v>39</v>
      </c>
      <c r="H29" s="4" t="s">
        <v>39</v>
      </c>
      <c r="I29" s="7" t="s">
        <v>40</v>
      </c>
      <c r="J29" s="4" t="s">
        <v>166</v>
      </c>
      <c r="K29" s="8"/>
      <c r="L29" s="8"/>
      <c r="M29" s="8"/>
    </row>
    <row r="30" customFormat="false" ht="30" hidden="false" customHeight="true" outlineLevel="0" collapsed="false">
      <c r="A30" s="4" t="s">
        <v>167</v>
      </c>
      <c r="B30" s="4" t="s">
        <v>134</v>
      </c>
      <c r="C30" s="4" t="s">
        <v>168</v>
      </c>
      <c r="D30" s="4" t="s">
        <v>57</v>
      </c>
      <c r="E30" s="4" t="s">
        <v>161</v>
      </c>
      <c r="F30" s="4" t="s">
        <v>64</v>
      </c>
      <c r="G30" s="4" t="s">
        <v>52</v>
      </c>
      <c r="H30" s="4" t="s">
        <v>53</v>
      </c>
      <c r="I30" s="8" t="s">
        <v>77</v>
      </c>
      <c r="J30" s="4" t="s">
        <v>169</v>
      </c>
      <c r="K30" s="8"/>
      <c r="L30" s="8"/>
      <c r="M30" s="8"/>
    </row>
    <row r="31" customFormat="false" ht="30" hidden="false" customHeight="true" outlineLevel="0" collapsed="false">
      <c r="A31" s="4" t="s">
        <v>170</v>
      </c>
      <c r="B31" s="4" t="s">
        <v>134</v>
      </c>
      <c r="C31" s="4" t="s">
        <v>171</v>
      </c>
      <c r="D31" s="4" t="s">
        <v>57</v>
      </c>
      <c r="E31" s="4" t="s">
        <v>172</v>
      </c>
      <c r="F31" s="4" t="s">
        <v>173</v>
      </c>
      <c r="G31" s="4" t="s">
        <v>174</v>
      </c>
      <c r="H31" s="4" t="s">
        <v>70</v>
      </c>
      <c r="I31" s="8" t="s">
        <v>77</v>
      </c>
      <c r="J31" s="4" t="s">
        <v>175</v>
      </c>
      <c r="K31" s="8"/>
      <c r="L31" s="8"/>
      <c r="M31" s="8"/>
    </row>
    <row r="32" customFormat="false" ht="30" hidden="false" customHeight="true" outlineLevel="0" collapsed="false">
      <c r="A32" s="4" t="s">
        <v>176</v>
      </c>
      <c r="B32" s="4" t="s">
        <v>134</v>
      </c>
      <c r="C32" s="4" t="s">
        <v>177</v>
      </c>
      <c r="D32" s="4" t="s">
        <v>57</v>
      </c>
      <c r="E32" s="4" t="s">
        <v>37</v>
      </c>
      <c r="F32" s="4" t="s">
        <v>178</v>
      </c>
      <c r="G32" s="4" t="s">
        <v>76</v>
      </c>
      <c r="H32" s="4" t="s">
        <v>70</v>
      </c>
      <c r="I32" s="8" t="s">
        <v>77</v>
      </c>
      <c r="J32" s="4" t="s">
        <v>179</v>
      </c>
      <c r="K32" s="8"/>
      <c r="L32" s="8"/>
      <c r="M32" s="8"/>
    </row>
    <row r="33" customFormat="false" ht="30" hidden="false" customHeight="true" outlineLevel="0" collapsed="false">
      <c r="A33" s="4" t="s">
        <v>180</v>
      </c>
      <c r="B33" s="4" t="s">
        <v>181</v>
      </c>
      <c r="C33" s="4" t="s">
        <v>182</v>
      </c>
      <c r="D33" s="4" t="s">
        <v>183</v>
      </c>
      <c r="E33" s="4" t="s">
        <v>37</v>
      </c>
      <c r="F33" s="4" t="s">
        <v>173</v>
      </c>
      <c r="G33" s="4" t="s">
        <v>174</v>
      </c>
      <c r="H33" s="4" t="s">
        <v>70</v>
      </c>
      <c r="I33" s="7" t="s">
        <v>40</v>
      </c>
      <c r="J33" s="4" t="s">
        <v>184</v>
      </c>
      <c r="K33" s="8"/>
      <c r="L33" s="8"/>
      <c r="M33" s="8"/>
    </row>
    <row r="34" customFormat="false" ht="30" hidden="false" customHeight="true" outlineLevel="0" collapsed="false">
      <c r="A34" s="4" t="s">
        <v>185</v>
      </c>
      <c r="B34" s="4" t="s">
        <v>181</v>
      </c>
      <c r="C34" s="4" t="s">
        <v>186</v>
      </c>
      <c r="D34" s="4" t="s">
        <v>187</v>
      </c>
      <c r="E34" s="4" t="s">
        <v>37</v>
      </c>
      <c r="F34" s="4" t="s">
        <v>38</v>
      </c>
      <c r="G34" s="4" t="s">
        <v>39</v>
      </c>
      <c r="H34" s="4" t="s">
        <v>39</v>
      </c>
      <c r="I34" s="7" t="s">
        <v>40</v>
      </c>
      <c r="J34" s="4" t="s">
        <v>108</v>
      </c>
      <c r="K34" s="8"/>
      <c r="L34" s="8"/>
      <c r="M34" s="8"/>
    </row>
    <row r="35" customFormat="false" ht="30" hidden="false" customHeight="true" outlineLevel="0" collapsed="false">
      <c r="A35" s="4" t="s">
        <v>188</v>
      </c>
      <c r="B35" s="4" t="s">
        <v>189</v>
      </c>
      <c r="C35" s="4" t="s">
        <v>190</v>
      </c>
      <c r="D35" s="4" t="s">
        <v>57</v>
      </c>
      <c r="E35" s="4" t="s">
        <v>37</v>
      </c>
      <c r="F35" s="4" t="s">
        <v>38</v>
      </c>
      <c r="G35" s="4" t="s">
        <v>39</v>
      </c>
      <c r="H35" s="4" t="s">
        <v>39</v>
      </c>
      <c r="I35" s="9" t="s">
        <v>71</v>
      </c>
      <c r="J35" s="4" t="s">
        <v>191</v>
      </c>
      <c r="K35" s="8"/>
      <c r="L35" s="8"/>
      <c r="M35" s="8"/>
    </row>
    <row r="36" customFormat="false" ht="30" hidden="false" customHeight="true" outlineLevel="0" collapsed="false">
      <c r="A36" s="4" t="s">
        <v>192</v>
      </c>
      <c r="B36" s="4" t="s">
        <v>193</v>
      </c>
      <c r="C36" s="4" t="s">
        <v>194</v>
      </c>
      <c r="D36" s="4" t="s">
        <v>119</v>
      </c>
      <c r="E36" s="4" t="s">
        <v>37</v>
      </c>
      <c r="F36" s="4" t="s">
        <v>38</v>
      </c>
      <c r="G36" s="4" t="s">
        <v>39</v>
      </c>
      <c r="H36" s="4" t="s">
        <v>39</v>
      </c>
      <c r="I36" s="7" t="s">
        <v>40</v>
      </c>
      <c r="J36" s="4" t="s">
        <v>195</v>
      </c>
      <c r="K36" s="8"/>
      <c r="L36" s="8"/>
      <c r="M36" s="8"/>
    </row>
    <row r="37" customFormat="false" ht="30" hidden="false" customHeight="true" outlineLevel="0" collapsed="false">
      <c r="A37" s="4" t="s">
        <v>196</v>
      </c>
      <c r="B37" s="4" t="s">
        <v>193</v>
      </c>
      <c r="C37" s="4" t="s">
        <v>197</v>
      </c>
      <c r="D37" s="4" t="s">
        <v>57</v>
      </c>
      <c r="E37" s="4" t="s">
        <v>198</v>
      </c>
      <c r="F37" s="4" t="s">
        <v>199</v>
      </c>
      <c r="G37" s="4" t="s">
        <v>199</v>
      </c>
      <c r="H37" s="4" t="s">
        <v>53</v>
      </c>
      <c r="I37" s="7" t="s">
        <v>40</v>
      </c>
      <c r="J37" s="4" t="s">
        <v>200</v>
      </c>
      <c r="K37" s="8"/>
      <c r="L37" s="8"/>
      <c r="M37" s="8"/>
    </row>
    <row r="38" customFormat="false" ht="30" hidden="false" customHeight="true" outlineLevel="0" collapsed="false">
      <c r="A38" s="4" t="s">
        <v>201</v>
      </c>
      <c r="B38" s="4" t="s">
        <v>193</v>
      </c>
      <c r="C38" s="4" t="s">
        <v>202</v>
      </c>
      <c r="D38" s="4" t="s">
        <v>203</v>
      </c>
      <c r="E38" s="4" t="s">
        <v>204</v>
      </c>
      <c r="F38" s="4" t="s">
        <v>59</v>
      </c>
      <c r="G38" s="4" t="s">
        <v>52</v>
      </c>
      <c r="H38" s="4" t="s">
        <v>53</v>
      </c>
      <c r="I38" s="7" t="s">
        <v>40</v>
      </c>
      <c r="J38" s="4" t="s">
        <v>205</v>
      </c>
      <c r="K38" s="8"/>
      <c r="L38" s="8"/>
      <c r="M38" s="8"/>
    </row>
    <row r="39" customFormat="false" ht="30" hidden="false" customHeight="true" outlineLevel="0" collapsed="false">
      <c r="A39" s="4" t="s">
        <v>206</v>
      </c>
      <c r="B39" s="4" t="s">
        <v>193</v>
      </c>
      <c r="C39" s="4" t="s">
        <v>207</v>
      </c>
      <c r="D39" s="4" t="s">
        <v>208</v>
      </c>
      <c r="E39" s="4" t="s">
        <v>204</v>
      </c>
      <c r="F39" s="4" t="s">
        <v>38</v>
      </c>
      <c r="G39" s="4" t="s">
        <v>39</v>
      </c>
      <c r="H39" s="4" t="s">
        <v>39</v>
      </c>
      <c r="I39" s="7" t="s">
        <v>40</v>
      </c>
      <c r="J39" s="4" t="s">
        <v>209</v>
      </c>
      <c r="K39" s="8"/>
      <c r="L39" s="8"/>
      <c r="M39" s="8"/>
    </row>
    <row r="40" customFormat="false" ht="30" hidden="false" customHeight="true" outlineLevel="0" collapsed="false">
      <c r="A40" s="4" t="s">
        <v>210</v>
      </c>
      <c r="B40" s="4" t="s">
        <v>193</v>
      </c>
      <c r="C40" s="4" t="s">
        <v>211</v>
      </c>
      <c r="D40" s="4" t="s">
        <v>57</v>
      </c>
      <c r="E40" s="4" t="s">
        <v>204</v>
      </c>
      <c r="F40" s="4" t="s">
        <v>212</v>
      </c>
      <c r="G40" s="4" t="s">
        <v>52</v>
      </c>
      <c r="H40" s="4" t="s">
        <v>53</v>
      </c>
      <c r="I40" s="7" t="s">
        <v>40</v>
      </c>
      <c r="J40" s="4"/>
      <c r="K40" s="8"/>
      <c r="L40" s="8"/>
      <c r="M40" s="8"/>
    </row>
    <row r="41" customFormat="false" ht="30" hidden="false" customHeight="true" outlineLevel="0" collapsed="false">
      <c r="A41" s="4" t="s">
        <v>213</v>
      </c>
      <c r="B41" s="4" t="s">
        <v>193</v>
      </c>
      <c r="C41" s="4" t="s">
        <v>214</v>
      </c>
      <c r="D41" s="4" t="s">
        <v>57</v>
      </c>
      <c r="E41" s="4" t="s">
        <v>204</v>
      </c>
      <c r="F41" s="4" t="s">
        <v>51</v>
      </c>
      <c r="G41" s="4" t="s">
        <v>52</v>
      </c>
      <c r="H41" s="4" t="s">
        <v>53</v>
      </c>
      <c r="I41" s="8" t="s">
        <v>77</v>
      </c>
      <c r="J41" s="4" t="s">
        <v>215</v>
      </c>
      <c r="K41" s="8"/>
      <c r="L41" s="8"/>
      <c r="M41" s="8"/>
    </row>
    <row r="42" customFormat="false" ht="30" hidden="false" customHeight="true" outlineLevel="0" collapsed="false">
      <c r="A42" s="4" t="s">
        <v>216</v>
      </c>
      <c r="B42" s="4" t="s">
        <v>193</v>
      </c>
      <c r="C42" s="4" t="s">
        <v>217</v>
      </c>
      <c r="D42" s="4" t="s">
        <v>57</v>
      </c>
      <c r="E42" s="4" t="s">
        <v>198</v>
      </c>
      <c r="F42" s="4" t="s">
        <v>69</v>
      </c>
      <c r="G42" s="4" t="s">
        <v>69</v>
      </c>
      <c r="H42" s="4" t="s">
        <v>70</v>
      </c>
      <c r="I42" s="8" t="s">
        <v>77</v>
      </c>
      <c r="J42" s="4" t="s">
        <v>175</v>
      </c>
      <c r="K42" s="8"/>
      <c r="L42" s="8"/>
      <c r="M42" s="8"/>
    </row>
    <row r="43" customFormat="false" ht="30" hidden="false" customHeight="true" outlineLevel="0" collapsed="false">
      <c r="A43" s="4" t="s">
        <v>218</v>
      </c>
      <c r="B43" s="4" t="s">
        <v>193</v>
      </c>
      <c r="C43" s="4" t="s">
        <v>219</v>
      </c>
      <c r="D43" s="4" t="s">
        <v>57</v>
      </c>
      <c r="E43" s="4" t="s">
        <v>198</v>
      </c>
      <c r="F43" s="4" t="s">
        <v>178</v>
      </c>
      <c r="G43" s="4" t="s">
        <v>76</v>
      </c>
      <c r="H43" s="4" t="s">
        <v>70</v>
      </c>
      <c r="I43" s="8" t="s">
        <v>77</v>
      </c>
      <c r="J43" s="4" t="s">
        <v>175</v>
      </c>
      <c r="K43" s="8"/>
      <c r="L43" s="8"/>
      <c r="M43" s="8"/>
    </row>
  </sheetData>
  <autoFilter ref="A4:M43"/>
  <mergeCells count="1">
    <mergeCell ref="A2:M2"/>
  </mergeCells>
  <dataValidations count="1">
    <dataValidation allowBlank="true" errorStyle="stop" operator="between" showDropDown="false" showErrorMessage="false" showInputMessage="false" sqref="K5:K43" type="list">
      <formula1>"Sesuai,Ubah,Hapus,Tambah,Tanya"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0"/>
    <col collapsed="false" customWidth="true" hidden="false" outlineLevel="0" max="3" min="3" style="0" width="22"/>
    <col collapsed="false" customWidth="true" hidden="false" outlineLevel="0" max="21" min="4" style="0" width="11"/>
  </cols>
  <sheetData>
    <row r="1" customFormat="false" ht="17.35" hidden="false" customHeight="false" outlineLevel="0" collapsed="false">
      <c r="A1" s="1" t="s">
        <v>220</v>
      </c>
    </row>
    <row r="2" customFormat="false" ht="43.5" hidden="false" customHeight="true" outlineLevel="0" collapsed="false">
      <c r="A2" s="5" t="s">
        <v>221</v>
      </c>
      <c r="B2" s="5"/>
      <c r="C2" s="5"/>
      <c r="D2" s="5"/>
      <c r="E2" s="5"/>
      <c r="F2" s="5"/>
      <c r="G2" s="5"/>
      <c r="H2" s="5"/>
      <c r="I2" s="5"/>
      <c r="J2" s="5"/>
      <c r="K2" s="5"/>
      <c r="L2" s="5"/>
      <c r="M2" s="5"/>
      <c r="N2" s="5"/>
      <c r="O2" s="5"/>
      <c r="P2" s="5"/>
      <c r="Q2" s="5"/>
      <c r="R2" s="5"/>
      <c r="S2" s="5"/>
      <c r="T2" s="5"/>
      <c r="U2" s="5"/>
    </row>
    <row r="4" customFormat="false" ht="36" hidden="false" customHeight="true" outlineLevel="0" collapsed="false">
      <c r="A4" s="6" t="s">
        <v>20</v>
      </c>
      <c r="B4" s="6" t="s">
        <v>22</v>
      </c>
      <c r="C4" s="6" t="s">
        <v>28</v>
      </c>
      <c r="D4" s="6" t="s">
        <v>51</v>
      </c>
      <c r="E4" s="6" t="s">
        <v>59</v>
      </c>
      <c r="F4" s="6" t="s">
        <v>212</v>
      </c>
      <c r="G4" s="6" t="s">
        <v>64</v>
      </c>
      <c r="H4" s="6" t="s">
        <v>178</v>
      </c>
      <c r="I4" s="6" t="s">
        <v>131</v>
      </c>
      <c r="J4" s="6" t="s">
        <v>75</v>
      </c>
      <c r="K4" s="6" t="s">
        <v>152</v>
      </c>
      <c r="L4" s="6" t="s">
        <v>147</v>
      </c>
      <c r="M4" s="6" t="s">
        <v>69</v>
      </c>
      <c r="N4" s="6" t="s">
        <v>199</v>
      </c>
      <c r="O4" s="6" t="s">
        <v>173</v>
      </c>
      <c r="P4" s="6" t="s">
        <v>95</v>
      </c>
      <c r="Q4" s="6" t="s">
        <v>142</v>
      </c>
      <c r="R4" s="6" t="s">
        <v>222</v>
      </c>
      <c r="S4" s="6" t="s">
        <v>223</v>
      </c>
      <c r="T4" s="6" t="s">
        <v>224</v>
      </c>
      <c r="U4" s="6" t="s">
        <v>225</v>
      </c>
    </row>
    <row r="5" customFormat="false" ht="61.5" hidden="false" customHeight="true" outlineLevel="0" collapsed="false">
      <c r="A5" s="10"/>
      <c r="B5" s="3" t="s">
        <v>226</v>
      </c>
      <c r="C5" s="10"/>
      <c r="D5" s="11" t="s">
        <v>227</v>
      </c>
      <c r="E5" s="11" t="s">
        <v>228</v>
      </c>
      <c r="F5" s="11" t="s">
        <v>229</v>
      </c>
      <c r="G5" s="11" t="s">
        <v>230</v>
      </c>
      <c r="H5" s="11" t="s">
        <v>177</v>
      </c>
      <c r="I5" s="11" t="s">
        <v>231</v>
      </c>
      <c r="J5" s="11" t="s">
        <v>232</v>
      </c>
      <c r="K5" s="11" t="s">
        <v>233</v>
      </c>
      <c r="L5" s="11" t="s">
        <v>234</v>
      </c>
      <c r="M5" s="11" t="s">
        <v>235</v>
      </c>
      <c r="N5" s="11" t="s">
        <v>236</v>
      </c>
      <c r="O5" s="11" t="s">
        <v>237</v>
      </c>
      <c r="P5" s="11" t="s">
        <v>238</v>
      </c>
      <c r="Q5" s="11" t="s">
        <v>239</v>
      </c>
      <c r="R5" s="11" t="s">
        <v>240</v>
      </c>
      <c r="S5" s="11" t="s">
        <v>241</v>
      </c>
      <c r="T5" s="11" t="s">
        <v>242</v>
      </c>
      <c r="U5" s="11" t="s">
        <v>243</v>
      </c>
    </row>
    <row r="6" customFormat="false" ht="30" hidden="false" customHeight="true" outlineLevel="0" collapsed="false">
      <c r="A6" s="4" t="s">
        <v>33</v>
      </c>
      <c r="B6" s="4" t="s">
        <v>244</v>
      </c>
      <c r="C6" s="7" t="s">
        <v>40</v>
      </c>
      <c r="D6" s="12"/>
      <c r="E6" s="12"/>
      <c r="F6" s="12"/>
      <c r="G6" s="12"/>
      <c r="H6" s="12"/>
      <c r="I6" s="12"/>
      <c r="J6" s="12"/>
      <c r="K6" s="12"/>
      <c r="L6" s="12"/>
      <c r="M6" s="12"/>
      <c r="N6" s="12"/>
      <c r="O6" s="12"/>
      <c r="P6" s="12"/>
      <c r="Q6" s="12"/>
      <c r="R6" s="12"/>
      <c r="S6" s="12"/>
      <c r="T6" s="12"/>
      <c r="U6" s="12"/>
    </row>
    <row r="7" customFormat="false" ht="30" hidden="false" customHeight="true" outlineLevel="0" collapsed="false">
      <c r="A7" s="4" t="s">
        <v>42</v>
      </c>
      <c r="B7" s="4" t="s">
        <v>245</v>
      </c>
      <c r="C7" s="7" t="s">
        <v>40</v>
      </c>
      <c r="D7" s="12"/>
      <c r="E7" s="12"/>
      <c r="F7" s="12"/>
      <c r="G7" s="12"/>
      <c r="H7" s="12"/>
      <c r="I7" s="12"/>
      <c r="J7" s="12"/>
      <c r="K7" s="12"/>
      <c r="L7" s="12"/>
      <c r="M7" s="12"/>
      <c r="N7" s="12"/>
      <c r="O7" s="12"/>
      <c r="P7" s="12"/>
      <c r="Q7" s="12"/>
      <c r="R7" s="12"/>
      <c r="S7" s="12"/>
      <c r="T7" s="12"/>
      <c r="U7" s="12"/>
    </row>
    <row r="8" customFormat="false" ht="30" hidden="false" customHeight="true" outlineLevel="0" collapsed="false">
      <c r="A8" s="4" t="s">
        <v>47</v>
      </c>
      <c r="B8" s="4" t="s">
        <v>246</v>
      </c>
      <c r="C8" s="7" t="s">
        <v>40</v>
      </c>
      <c r="D8" s="12" t="s">
        <v>247</v>
      </c>
      <c r="E8" s="12"/>
      <c r="F8" s="12"/>
      <c r="G8" s="12"/>
      <c r="H8" s="12"/>
      <c r="I8" s="12"/>
      <c r="J8" s="12"/>
      <c r="K8" s="12"/>
      <c r="L8" s="12"/>
      <c r="M8" s="12"/>
      <c r="N8" s="12"/>
      <c r="O8" s="12"/>
      <c r="P8" s="12"/>
      <c r="Q8" s="12"/>
      <c r="R8" s="12"/>
      <c r="S8" s="12"/>
      <c r="T8" s="12"/>
      <c r="U8" s="12"/>
    </row>
    <row r="9" customFormat="false" ht="30" hidden="false" customHeight="true" outlineLevel="0" collapsed="false">
      <c r="A9" s="4" t="s">
        <v>55</v>
      </c>
      <c r="B9" s="4" t="s">
        <v>248</v>
      </c>
      <c r="C9" s="7" t="s">
        <v>40</v>
      </c>
      <c r="D9" s="12"/>
      <c r="E9" s="12" t="s">
        <v>247</v>
      </c>
      <c r="F9" s="12"/>
      <c r="G9" s="12"/>
      <c r="H9" s="12"/>
      <c r="I9" s="12"/>
      <c r="J9" s="12"/>
      <c r="K9" s="12"/>
      <c r="L9" s="12"/>
      <c r="M9" s="12"/>
      <c r="N9" s="12"/>
      <c r="O9" s="12"/>
      <c r="P9" s="12"/>
      <c r="Q9" s="12"/>
      <c r="R9" s="12"/>
      <c r="S9" s="12"/>
      <c r="T9" s="12"/>
      <c r="U9" s="12"/>
    </row>
    <row r="10" customFormat="false" ht="30" hidden="false" customHeight="true" outlineLevel="0" collapsed="false">
      <c r="A10" s="4" t="s">
        <v>61</v>
      </c>
      <c r="B10" s="4" t="s">
        <v>249</v>
      </c>
      <c r="C10" s="7" t="s">
        <v>40</v>
      </c>
      <c r="D10" s="12"/>
      <c r="E10" s="12"/>
      <c r="F10" s="12"/>
      <c r="G10" s="12" t="s">
        <v>247</v>
      </c>
      <c r="H10" s="12"/>
      <c r="I10" s="12"/>
      <c r="J10" s="12"/>
      <c r="K10" s="12"/>
      <c r="L10" s="12"/>
      <c r="M10" s="12"/>
      <c r="N10" s="12"/>
      <c r="O10" s="12"/>
      <c r="P10" s="12"/>
      <c r="Q10" s="12"/>
      <c r="R10" s="12"/>
      <c r="S10" s="12"/>
      <c r="T10" s="12"/>
      <c r="U10" s="12"/>
    </row>
    <row r="11" customFormat="false" ht="30" hidden="false" customHeight="true" outlineLevel="0" collapsed="false">
      <c r="A11" s="4" t="s">
        <v>66</v>
      </c>
      <c r="B11" s="4" t="s">
        <v>250</v>
      </c>
      <c r="C11" s="9" t="s">
        <v>71</v>
      </c>
      <c r="D11" s="12"/>
      <c r="E11" s="12"/>
      <c r="F11" s="12"/>
      <c r="G11" s="12"/>
      <c r="H11" s="12"/>
      <c r="I11" s="12"/>
      <c r="J11" s="12"/>
      <c r="K11" s="12"/>
      <c r="L11" s="12"/>
      <c r="M11" s="12" t="s">
        <v>247</v>
      </c>
      <c r="N11" s="12"/>
      <c r="O11" s="12"/>
      <c r="P11" s="12"/>
      <c r="Q11" s="12"/>
      <c r="R11" s="12"/>
      <c r="S11" s="12"/>
      <c r="T11" s="12"/>
      <c r="U11" s="12"/>
    </row>
    <row r="12" customFormat="false" ht="30" hidden="false" customHeight="true" outlineLevel="0" collapsed="false">
      <c r="A12" s="4" t="s">
        <v>73</v>
      </c>
      <c r="B12" s="4" t="s">
        <v>251</v>
      </c>
      <c r="C12" s="8" t="s">
        <v>77</v>
      </c>
      <c r="D12" s="12"/>
      <c r="E12" s="12"/>
      <c r="F12" s="12"/>
      <c r="G12" s="12"/>
      <c r="H12" s="12"/>
      <c r="I12" s="12"/>
      <c r="J12" s="12" t="s">
        <v>252</v>
      </c>
      <c r="K12" s="12"/>
      <c r="L12" s="12"/>
      <c r="M12" s="12"/>
      <c r="N12" s="12"/>
      <c r="O12" s="12"/>
      <c r="P12" s="12"/>
      <c r="Q12" s="12"/>
      <c r="R12" s="12"/>
      <c r="S12" s="12"/>
      <c r="T12" s="12"/>
      <c r="U12" s="12"/>
    </row>
    <row r="13" customFormat="false" ht="30" hidden="false" customHeight="true" outlineLevel="0" collapsed="false">
      <c r="A13" s="4" t="s">
        <v>79</v>
      </c>
      <c r="B13" s="4" t="s">
        <v>253</v>
      </c>
      <c r="C13" s="8" t="s">
        <v>77</v>
      </c>
      <c r="D13" s="12"/>
      <c r="E13" s="12"/>
      <c r="F13" s="12"/>
      <c r="G13" s="12"/>
      <c r="H13" s="12"/>
      <c r="I13" s="12"/>
      <c r="J13" s="12"/>
      <c r="K13" s="12"/>
      <c r="L13" s="12"/>
      <c r="M13" s="12"/>
      <c r="N13" s="12"/>
      <c r="O13" s="12"/>
      <c r="P13" s="12"/>
      <c r="Q13" s="12"/>
      <c r="R13" s="12" t="s">
        <v>252</v>
      </c>
      <c r="S13" s="12" t="s">
        <v>252</v>
      </c>
      <c r="T13" s="12"/>
      <c r="U13" s="12"/>
    </row>
    <row r="14" customFormat="false" ht="30" hidden="false" customHeight="true" outlineLevel="0" collapsed="false">
      <c r="A14" s="4" t="s">
        <v>86</v>
      </c>
      <c r="B14" s="4" t="s">
        <v>254</v>
      </c>
      <c r="C14" s="8" t="s">
        <v>77</v>
      </c>
      <c r="D14" s="12"/>
      <c r="E14" s="12"/>
      <c r="F14" s="12"/>
      <c r="G14" s="12"/>
      <c r="H14" s="12"/>
      <c r="I14" s="12"/>
      <c r="J14" s="12"/>
      <c r="K14" s="12"/>
      <c r="L14" s="12"/>
      <c r="M14" s="12"/>
      <c r="N14" s="12"/>
      <c r="O14" s="12"/>
      <c r="P14" s="12"/>
      <c r="Q14" s="12"/>
      <c r="R14" s="12"/>
      <c r="S14" s="12"/>
      <c r="T14" s="12" t="s">
        <v>252</v>
      </c>
      <c r="U14" s="12" t="s">
        <v>252</v>
      </c>
    </row>
    <row r="15" customFormat="false" ht="30" hidden="false" customHeight="true" outlineLevel="0" collapsed="false">
      <c r="A15" s="4" t="s">
        <v>92</v>
      </c>
      <c r="B15" s="4" t="s">
        <v>255</v>
      </c>
      <c r="C15" s="8" t="s">
        <v>77</v>
      </c>
      <c r="D15" s="12"/>
      <c r="E15" s="12"/>
      <c r="F15" s="12"/>
      <c r="G15" s="12"/>
      <c r="H15" s="12"/>
      <c r="I15" s="12"/>
      <c r="J15" s="12"/>
      <c r="K15" s="12"/>
      <c r="L15" s="12"/>
      <c r="M15" s="12"/>
      <c r="N15" s="12"/>
      <c r="O15" s="12"/>
      <c r="P15" s="12" t="s">
        <v>252</v>
      </c>
      <c r="Q15" s="12"/>
      <c r="R15" s="12"/>
      <c r="S15" s="12"/>
      <c r="T15" s="12"/>
      <c r="U15" s="12"/>
    </row>
    <row r="16" customFormat="false" ht="30" hidden="false" customHeight="true" outlineLevel="0" collapsed="false">
      <c r="A16" s="4" t="s">
        <v>98</v>
      </c>
      <c r="B16" s="4" t="s">
        <v>256</v>
      </c>
      <c r="C16" s="7" t="s">
        <v>40</v>
      </c>
      <c r="D16" s="12" t="s">
        <v>247</v>
      </c>
      <c r="E16" s="12"/>
      <c r="F16" s="12"/>
      <c r="G16" s="12"/>
      <c r="H16" s="12"/>
      <c r="I16" s="12"/>
      <c r="J16" s="12"/>
      <c r="K16" s="12"/>
      <c r="L16" s="12"/>
      <c r="M16" s="12"/>
      <c r="N16" s="12"/>
      <c r="O16" s="12"/>
      <c r="P16" s="12"/>
      <c r="Q16" s="12"/>
      <c r="R16" s="12"/>
      <c r="S16" s="12"/>
      <c r="T16" s="12"/>
      <c r="U16" s="12"/>
    </row>
    <row r="17" customFormat="false" ht="30" hidden="false" customHeight="true" outlineLevel="0" collapsed="false">
      <c r="A17" s="4" t="s">
        <v>104</v>
      </c>
      <c r="B17" s="4" t="s">
        <v>257</v>
      </c>
      <c r="C17" s="7" t="s">
        <v>40</v>
      </c>
      <c r="D17" s="12"/>
      <c r="E17" s="12"/>
      <c r="F17" s="12"/>
      <c r="G17" s="12"/>
      <c r="H17" s="12"/>
      <c r="I17" s="12"/>
      <c r="J17" s="12"/>
      <c r="K17" s="12"/>
      <c r="L17" s="12"/>
      <c r="M17" s="12"/>
      <c r="N17" s="12"/>
      <c r="O17" s="12"/>
      <c r="P17" s="12"/>
      <c r="Q17" s="12"/>
      <c r="R17" s="12"/>
      <c r="S17" s="12"/>
      <c r="T17" s="12"/>
      <c r="U17" s="12"/>
    </row>
    <row r="18" customFormat="false" ht="30" hidden="false" customHeight="true" outlineLevel="0" collapsed="false">
      <c r="A18" s="4" t="s">
        <v>109</v>
      </c>
      <c r="B18" s="4" t="s">
        <v>258</v>
      </c>
      <c r="C18" s="7" t="s">
        <v>40</v>
      </c>
      <c r="D18" s="12"/>
      <c r="E18" s="12"/>
      <c r="F18" s="12"/>
      <c r="G18" s="12"/>
      <c r="H18" s="12"/>
      <c r="I18" s="12"/>
      <c r="J18" s="12"/>
      <c r="K18" s="12"/>
      <c r="L18" s="12"/>
      <c r="M18" s="12"/>
      <c r="N18" s="12"/>
      <c r="O18" s="12"/>
      <c r="P18" s="12"/>
      <c r="Q18" s="12"/>
      <c r="R18" s="12"/>
      <c r="S18" s="12"/>
      <c r="T18" s="12"/>
      <c r="U18" s="12"/>
    </row>
    <row r="19" customFormat="false" ht="30" hidden="false" customHeight="true" outlineLevel="0" collapsed="false">
      <c r="A19" s="4" t="s">
        <v>114</v>
      </c>
      <c r="B19" s="4" t="s">
        <v>259</v>
      </c>
      <c r="C19" s="7" t="s">
        <v>40</v>
      </c>
      <c r="D19" s="12"/>
      <c r="E19" s="12" t="s">
        <v>247</v>
      </c>
      <c r="F19" s="12"/>
      <c r="G19" s="12"/>
      <c r="H19" s="12"/>
      <c r="I19" s="12"/>
      <c r="J19" s="12"/>
      <c r="K19" s="12"/>
      <c r="L19" s="12"/>
      <c r="M19" s="12"/>
      <c r="N19" s="12"/>
      <c r="O19" s="12"/>
      <c r="P19" s="12"/>
      <c r="Q19" s="12"/>
      <c r="R19" s="12"/>
      <c r="S19" s="12"/>
      <c r="T19" s="12"/>
      <c r="U19" s="12"/>
    </row>
    <row r="20" customFormat="false" ht="30" hidden="false" customHeight="true" outlineLevel="0" collapsed="false">
      <c r="A20" s="4" t="s">
        <v>118</v>
      </c>
      <c r="B20" s="4" t="s">
        <v>260</v>
      </c>
      <c r="C20" s="7" t="s">
        <v>40</v>
      </c>
      <c r="D20" s="12"/>
      <c r="E20" s="12"/>
      <c r="F20" s="12"/>
      <c r="G20" s="12"/>
      <c r="H20" s="12"/>
      <c r="I20" s="12"/>
      <c r="J20" s="12"/>
      <c r="K20" s="12"/>
      <c r="L20" s="12"/>
      <c r="M20" s="12"/>
      <c r="N20" s="12"/>
      <c r="O20" s="12"/>
      <c r="P20" s="12"/>
      <c r="Q20" s="12"/>
      <c r="R20" s="12"/>
      <c r="S20" s="12"/>
      <c r="T20" s="12"/>
      <c r="U20" s="12"/>
    </row>
    <row r="21" customFormat="false" ht="30" hidden="false" customHeight="true" outlineLevel="0" collapsed="false">
      <c r="A21" s="4" t="s">
        <v>121</v>
      </c>
      <c r="B21" s="4" t="s">
        <v>261</v>
      </c>
      <c r="C21" s="7" t="s">
        <v>40</v>
      </c>
      <c r="D21" s="12"/>
      <c r="E21" s="12"/>
      <c r="F21" s="12"/>
      <c r="G21" s="12" t="s">
        <v>247</v>
      </c>
      <c r="H21" s="12"/>
      <c r="I21" s="12"/>
      <c r="J21" s="12"/>
      <c r="K21" s="12"/>
      <c r="L21" s="12"/>
      <c r="M21" s="12"/>
      <c r="N21" s="12"/>
      <c r="O21" s="12"/>
      <c r="P21" s="12"/>
      <c r="Q21" s="12"/>
      <c r="R21" s="12"/>
      <c r="S21" s="12"/>
      <c r="T21" s="12"/>
      <c r="U21" s="12"/>
    </row>
    <row r="22" customFormat="false" ht="30" hidden="false" customHeight="true" outlineLevel="0" collapsed="false">
      <c r="A22" s="4" t="s">
        <v>124</v>
      </c>
      <c r="B22" s="4" t="s">
        <v>262</v>
      </c>
      <c r="C22" s="7" t="s">
        <v>40</v>
      </c>
      <c r="D22" s="12"/>
      <c r="E22" s="12"/>
      <c r="F22" s="12"/>
      <c r="G22" s="12"/>
      <c r="H22" s="12"/>
      <c r="I22" s="12"/>
      <c r="J22" s="12"/>
      <c r="K22" s="12"/>
      <c r="L22" s="12"/>
      <c r="M22" s="12"/>
      <c r="N22" s="12"/>
      <c r="O22" s="12"/>
      <c r="P22" s="12"/>
      <c r="Q22" s="12"/>
      <c r="R22" s="12"/>
      <c r="S22" s="12"/>
      <c r="T22" s="12"/>
      <c r="U22" s="12"/>
    </row>
    <row r="23" customFormat="false" ht="30" hidden="false" customHeight="true" outlineLevel="0" collapsed="false">
      <c r="A23" s="4" t="s">
        <v>128</v>
      </c>
      <c r="B23" s="4" t="s">
        <v>263</v>
      </c>
      <c r="C23" s="8" t="s">
        <v>77</v>
      </c>
      <c r="D23" s="12"/>
      <c r="E23" s="12"/>
      <c r="F23" s="12"/>
      <c r="G23" s="12"/>
      <c r="H23" s="12"/>
      <c r="I23" s="12" t="s">
        <v>252</v>
      </c>
      <c r="J23" s="12"/>
      <c r="K23" s="12"/>
      <c r="L23" s="12"/>
      <c r="M23" s="12"/>
      <c r="N23" s="12"/>
      <c r="O23" s="12"/>
      <c r="P23" s="12"/>
      <c r="Q23" s="12"/>
      <c r="R23" s="12"/>
      <c r="S23" s="12"/>
      <c r="T23" s="12"/>
      <c r="U23" s="12"/>
    </row>
    <row r="24" customFormat="false" ht="30" hidden="false" customHeight="true" outlineLevel="0" collapsed="false">
      <c r="A24" s="4" t="s">
        <v>133</v>
      </c>
      <c r="B24" s="4" t="s">
        <v>264</v>
      </c>
      <c r="C24" s="9" t="s">
        <v>71</v>
      </c>
      <c r="D24" s="12"/>
      <c r="E24" s="12"/>
      <c r="F24" s="12"/>
      <c r="G24" s="12"/>
      <c r="H24" s="12"/>
      <c r="I24" s="12"/>
      <c r="J24" s="12"/>
      <c r="K24" s="12"/>
      <c r="L24" s="12"/>
      <c r="M24" s="12"/>
      <c r="N24" s="12"/>
      <c r="O24" s="12"/>
      <c r="P24" s="12" t="s">
        <v>265</v>
      </c>
      <c r="Q24" s="12" t="s">
        <v>265</v>
      </c>
      <c r="R24" s="12"/>
      <c r="S24" s="12"/>
      <c r="T24" s="12"/>
      <c r="U24" s="12"/>
    </row>
    <row r="25" customFormat="false" ht="30" hidden="false" customHeight="true" outlineLevel="0" collapsed="false">
      <c r="A25" s="4" t="s">
        <v>139</v>
      </c>
      <c r="B25" s="4" t="s">
        <v>266</v>
      </c>
      <c r="C25" s="8" t="s">
        <v>77</v>
      </c>
      <c r="D25" s="12"/>
      <c r="E25" s="12"/>
      <c r="F25" s="12"/>
      <c r="G25" s="12"/>
      <c r="H25" s="12"/>
      <c r="I25" s="12"/>
      <c r="J25" s="12"/>
      <c r="K25" s="12"/>
      <c r="L25" s="12"/>
      <c r="M25" s="12"/>
      <c r="N25" s="12"/>
      <c r="O25" s="12"/>
      <c r="P25" s="12"/>
      <c r="Q25" s="12" t="s">
        <v>252</v>
      </c>
      <c r="R25" s="12"/>
      <c r="S25" s="12"/>
      <c r="T25" s="12"/>
      <c r="U25" s="12"/>
    </row>
    <row r="26" customFormat="false" ht="30" hidden="false" customHeight="true" outlineLevel="0" collapsed="false">
      <c r="A26" s="4" t="s">
        <v>144</v>
      </c>
      <c r="B26" s="4" t="s">
        <v>267</v>
      </c>
      <c r="C26" s="7" t="s">
        <v>40</v>
      </c>
      <c r="D26" s="12"/>
      <c r="E26" s="12"/>
      <c r="F26" s="12"/>
      <c r="G26" s="12"/>
      <c r="H26" s="12"/>
      <c r="I26" s="12"/>
      <c r="J26" s="12"/>
      <c r="K26" s="12"/>
      <c r="L26" s="12" t="s">
        <v>247</v>
      </c>
      <c r="M26" s="12"/>
      <c r="N26" s="12"/>
      <c r="O26" s="12"/>
      <c r="P26" s="12"/>
      <c r="Q26" s="12"/>
      <c r="R26" s="12"/>
      <c r="S26" s="12"/>
      <c r="T26" s="12"/>
      <c r="U26" s="12"/>
    </row>
    <row r="27" customFormat="false" ht="30" hidden="false" customHeight="true" outlineLevel="0" collapsed="false">
      <c r="A27" s="4" t="s">
        <v>149</v>
      </c>
      <c r="B27" s="4" t="s">
        <v>268</v>
      </c>
      <c r="C27" s="7" t="s">
        <v>40</v>
      </c>
      <c r="D27" s="12"/>
      <c r="E27" s="12"/>
      <c r="F27" s="12"/>
      <c r="G27" s="12"/>
      <c r="H27" s="12"/>
      <c r="I27" s="12"/>
      <c r="J27" s="12"/>
      <c r="K27" s="12" t="s">
        <v>247</v>
      </c>
      <c r="L27" s="12"/>
      <c r="M27" s="12"/>
      <c r="N27" s="12"/>
      <c r="O27" s="12"/>
      <c r="P27" s="12"/>
      <c r="Q27" s="12"/>
      <c r="R27" s="12"/>
      <c r="S27" s="12"/>
      <c r="T27" s="12"/>
      <c r="U27" s="12"/>
    </row>
    <row r="28" customFormat="false" ht="30" hidden="false" customHeight="true" outlineLevel="0" collapsed="false">
      <c r="A28" s="4" t="s">
        <v>154</v>
      </c>
      <c r="B28" s="4" t="s">
        <v>269</v>
      </c>
      <c r="C28" s="7" t="s">
        <v>40</v>
      </c>
      <c r="D28" s="12"/>
      <c r="E28" s="12"/>
      <c r="F28" s="12"/>
      <c r="G28" s="12"/>
      <c r="H28" s="12"/>
      <c r="I28" s="12"/>
      <c r="J28" s="12"/>
      <c r="K28" s="12" t="s">
        <v>247</v>
      </c>
      <c r="L28" s="12" t="s">
        <v>247</v>
      </c>
      <c r="M28" s="12"/>
      <c r="N28" s="12"/>
      <c r="O28" s="12"/>
      <c r="P28" s="12"/>
      <c r="Q28" s="12"/>
      <c r="R28" s="12"/>
      <c r="S28" s="12"/>
      <c r="T28" s="12"/>
      <c r="U28" s="12"/>
    </row>
    <row r="29" customFormat="false" ht="30" hidden="false" customHeight="true" outlineLevel="0" collapsed="false">
      <c r="A29" s="4" t="s">
        <v>158</v>
      </c>
      <c r="B29" s="4" t="s">
        <v>270</v>
      </c>
      <c r="C29" s="7" t="s">
        <v>40</v>
      </c>
      <c r="D29" s="12"/>
      <c r="E29" s="12"/>
      <c r="F29" s="12"/>
      <c r="G29" s="12"/>
      <c r="H29" s="12"/>
      <c r="I29" s="12"/>
      <c r="J29" s="12"/>
      <c r="K29" s="12"/>
      <c r="L29" s="12"/>
      <c r="M29" s="12"/>
      <c r="N29" s="12"/>
      <c r="O29" s="12"/>
      <c r="P29" s="12"/>
      <c r="Q29" s="12"/>
      <c r="R29" s="12"/>
      <c r="S29" s="12"/>
      <c r="T29" s="12"/>
      <c r="U29" s="12"/>
    </row>
    <row r="30" customFormat="false" ht="30" hidden="false" customHeight="true" outlineLevel="0" collapsed="false">
      <c r="A30" s="4" t="s">
        <v>163</v>
      </c>
      <c r="B30" s="4" t="s">
        <v>271</v>
      </c>
      <c r="C30" s="7" t="s">
        <v>40</v>
      </c>
      <c r="D30" s="12"/>
      <c r="E30" s="12"/>
      <c r="F30" s="12"/>
      <c r="G30" s="12"/>
      <c r="H30" s="12"/>
      <c r="I30" s="12"/>
      <c r="J30" s="12"/>
      <c r="K30" s="12"/>
      <c r="L30" s="12"/>
      <c r="M30" s="12"/>
      <c r="N30" s="12"/>
      <c r="O30" s="12"/>
      <c r="P30" s="12"/>
      <c r="Q30" s="12"/>
      <c r="R30" s="12"/>
      <c r="S30" s="12"/>
      <c r="T30" s="12"/>
      <c r="U30" s="12"/>
    </row>
    <row r="31" customFormat="false" ht="30" hidden="false" customHeight="true" outlineLevel="0" collapsed="false">
      <c r="A31" s="4" t="s">
        <v>167</v>
      </c>
      <c r="B31" s="4" t="s">
        <v>272</v>
      </c>
      <c r="C31" s="8" t="s">
        <v>77</v>
      </c>
      <c r="D31" s="12"/>
      <c r="E31" s="12"/>
      <c r="F31" s="12"/>
      <c r="G31" s="12" t="s">
        <v>252</v>
      </c>
      <c r="H31" s="12"/>
      <c r="I31" s="12"/>
      <c r="J31" s="12"/>
      <c r="K31" s="12"/>
      <c r="L31" s="12"/>
      <c r="M31" s="12"/>
      <c r="N31" s="12"/>
      <c r="O31" s="12"/>
      <c r="P31" s="12"/>
      <c r="Q31" s="12"/>
      <c r="R31" s="12"/>
      <c r="S31" s="12"/>
      <c r="T31" s="12"/>
      <c r="U31" s="12"/>
    </row>
    <row r="32" customFormat="false" ht="30" hidden="false" customHeight="true" outlineLevel="0" collapsed="false">
      <c r="A32" s="4" t="s">
        <v>170</v>
      </c>
      <c r="B32" s="4" t="s">
        <v>273</v>
      </c>
      <c r="C32" s="8" t="s">
        <v>77</v>
      </c>
      <c r="D32" s="12"/>
      <c r="E32" s="12"/>
      <c r="F32" s="12"/>
      <c r="G32" s="12"/>
      <c r="H32" s="12"/>
      <c r="I32" s="12"/>
      <c r="J32" s="12"/>
      <c r="K32" s="12"/>
      <c r="L32" s="12"/>
      <c r="M32" s="12"/>
      <c r="N32" s="12"/>
      <c r="O32" s="12" t="s">
        <v>252</v>
      </c>
      <c r="P32" s="12"/>
      <c r="Q32" s="12"/>
      <c r="R32" s="12"/>
      <c r="S32" s="12"/>
      <c r="T32" s="12"/>
      <c r="U32" s="12"/>
    </row>
    <row r="33" customFormat="false" ht="30" hidden="false" customHeight="true" outlineLevel="0" collapsed="false">
      <c r="A33" s="4" t="s">
        <v>176</v>
      </c>
      <c r="B33" s="4" t="s">
        <v>274</v>
      </c>
      <c r="C33" s="8" t="s">
        <v>77</v>
      </c>
      <c r="D33" s="12"/>
      <c r="E33" s="12"/>
      <c r="F33" s="12"/>
      <c r="G33" s="12"/>
      <c r="H33" s="12" t="s">
        <v>252</v>
      </c>
      <c r="I33" s="12"/>
      <c r="J33" s="12"/>
      <c r="K33" s="12"/>
      <c r="L33" s="12"/>
      <c r="M33" s="12"/>
      <c r="N33" s="12"/>
      <c r="O33" s="12"/>
      <c r="P33" s="12"/>
      <c r="Q33" s="12"/>
      <c r="R33" s="12"/>
      <c r="S33" s="12"/>
      <c r="T33" s="12"/>
      <c r="U33" s="12"/>
    </row>
    <row r="34" customFormat="false" ht="30" hidden="false" customHeight="true" outlineLevel="0" collapsed="false">
      <c r="A34" s="4" t="s">
        <v>180</v>
      </c>
      <c r="B34" s="4" t="s">
        <v>275</v>
      </c>
      <c r="C34" s="7" t="s">
        <v>40</v>
      </c>
      <c r="D34" s="12"/>
      <c r="E34" s="12"/>
      <c r="F34" s="12"/>
      <c r="G34" s="12"/>
      <c r="H34" s="12"/>
      <c r="I34" s="12"/>
      <c r="J34" s="12"/>
      <c r="K34" s="12"/>
      <c r="L34" s="12"/>
      <c r="M34" s="12"/>
      <c r="N34" s="12"/>
      <c r="O34" s="12" t="s">
        <v>247</v>
      </c>
      <c r="P34" s="12"/>
      <c r="Q34" s="12"/>
      <c r="R34" s="12"/>
      <c r="S34" s="12"/>
      <c r="T34" s="12"/>
      <c r="U34" s="12"/>
    </row>
    <row r="35" customFormat="false" ht="30" hidden="false" customHeight="true" outlineLevel="0" collapsed="false">
      <c r="A35" s="4" t="s">
        <v>185</v>
      </c>
      <c r="B35" s="4" t="s">
        <v>276</v>
      </c>
      <c r="C35" s="7" t="s">
        <v>40</v>
      </c>
      <c r="D35" s="12"/>
      <c r="E35" s="12"/>
      <c r="F35" s="12"/>
      <c r="G35" s="12"/>
      <c r="H35" s="12"/>
      <c r="I35" s="12"/>
      <c r="J35" s="12"/>
      <c r="K35" s="12"/>
      <c r="L35" s="12"/>
      <c r="M35" s="12"/>
      <c r="N35" s="12"/>
      <c r="O35" s="12"/>
      <c r="P35" s="12"/>
      <c r="Q35" s="12"/>
      <c r="R35" s="12"/>
      <c r="S35" s="12"/>
      <c r="T35" s="12"/>
      <c r="U35" s="12"/>
    </row>
    <row r="36" customFormat="false" ht="30" hidden="false" customHeight="true" outlineLevel="0" collapsed="false">
      <c r="A36" s="4" t="s">
        <v>188</v>
      </c>
      <c r="B36" s="4" t="s">
        <v>277</v>
      </c>
      <c r="C36" s="9" t="s">
        <v>71</v>
      </c>
      <c r="D36" s="12"/>
      <c r="E36" s="12"/>
      <c r="F36" s="12"/>
      <c r="G36" s="12"/>
      <c r="H36" s="12"/>
      <c r="I36" s="12"/>
      <c r="J36" s="12"/>
      <c r="K36" s="12"/>
      <c r="L36" s="12"/>
      <c r="M36" s="12"/>
      <c r="N36" s="12"/>
      <c r="O36" s="12"/>
      <c r="P36" s="12"/>
      <c r="Q36" s="12"/>
      <c r="R36" s="12"/>
      <c r="S36" s="12"/>
      <c r="T36" s="12"/>
      <c r="U36" s="12"/>
    </row>
    <row r="37" customFormat="false" ht="30" hidden="false" customHeight="true" outlineLevel="0" collapsed="false">
      <c r="A37" s="4" t="s">
        <v>192</v>
      </c>
      <c r="B37" s="4" t="s">
        <v>278</v>
      </c>
      <c r="C37" s="7" t="s">
        <v>40</v>
      </c>
      <c r="D37" s="12"/>
      <c r="E37" s="12"/>
      <c r="F37" s="12"/>
      <c r="G37" s="12"/>
      <c r="H37" s="12"/>
      <c r="I37" s="12"/>
      <c r="J37" s="12"/>
      <c r="K37" s="12"/>
      <c r="L37" s="12"/>
      <c r="M37" s="12"/>
      <c r="N37" s="12"/>
      <c r="O37" s="12"/>
      <c r="P37" s="12"/>
      <c r="Q37" s="12"/>
      <c r="R37" s="12"/>
      <c r="S37" s="12"/>
      <c r="T37" s="12"/>
      <c r="U37" s="12"/>
    </row>
    <row r="38" customFormat="false" ht="30" hidden="false" customHeight="true" outlineLevel="0" collapsed="false">
      <c r="A38" s="4" t="s">
        <v>196</v>
      </c>
      <c r="B38" s="4" t="s">
        <v>279</v>
      </c>
      <c r="C38" s="7" t="s">
        <v>40</v>
      </c>
      <c r="D38" s="12"/>
      <c r="E38" s="12"/>
      <c r="F38" s="12"/>
      <c r="G38" s="12"/>
      <c r="H38" s="12"/>
      <c r="I38" s="12"/>
      <c r="J38" s="12"/>
      <c r="K38" s="12"/>
      <c r="L38" s="12"/>
      <c r="M38" s="12"/>
      <c r="N38" s="12" t="s">
        <v>247</v>
      </c>
      <c r="O38" s="12"/>
      <c r="P38" s="12"/>
      <c r="Q38" s="12"/>
      <c r="R38" s="12"/>
      <c r="S38" s="12"/>
      <c r="T38" s="12"/>
      <c r="U38" s="12"/>
    </row>
    <row r="39" customFormat="false" ht="30" hidden="false" customHeight="true" outlineLevel="0" collapsed="false">
      <c r="A39" s="4" t="s">
        <v>201</v>
      </c>
      <c r="B39" s="4" t="s">
        <v>280</v>
      </c>
      <c r="C39" s="7" t="s">
        <v>40</v>
      </c>
      <c r="D39" s="12"/>
      <c r="E39" s="12" t="s">
        <v>247</v>
      </c>
      <c r="F39" s="12"/>
      <c r="G39" s="12"/>
      <c r="H39" s="12"/>
      <c r="I39" s="12"/>
      <c r="J39" s="12"/>
      <c r="K39" s="12"/>
      <c r="L39" s="12"/>
      <c r="M39" s="12"/>
      <c r="N39" s="12"/>
      <c r="O39" s="12"/>
      <c r="P39" s="12"/>
      <c r="Q39" s="12"/>
      <c r="R39" s="12"/>
      <c r="S39" s="12"/>
      <c r="T39" s="12"/>
      <c r="U39" s="12"/>
    </row>
    <row r="40" customFormat="false" ht="30" hidden="false" customHeight="true" outlineLevel="0" collapsed="false">
      <c r="A40" s="4" t="s">
        <v>206</v>
      </c>
      <c r="B40" s="4" t="s">
        <v>281</v>
      </c>
      <c r="C40" s="7" t="s">
        <v>40</v>
      </c>
      <c r="D40" s="12"/>
      <c r="E40" s="12"/>
      <c r="F40" s="12"/>
      <c r="G40" s="12"/>
      <c r="H40" s="12"/>
      <c r="I40" s="12"/>
      <c r="J40" s="12"/>
      <c r="K40" s="12"/>
      <c r="L40" s="12"/>
      <c r="M40" s="12"/>
      <c r="N40" s="12"/>
      <c r="O40" s="12"/>
      <c r="P40" s="12"/>
      <c r="Q40" s="12"/>
      <c r="R40" s="12"/>
      <c r="S40" s="12"/>
      <c r="T40" s="12"/>
      <c r="U40" s="12"/>
    </row>
    <row r="41" customFormat="false" ht="30" hidden="false" customHeight="true" outlineLevel="0" collapsed="false">
      <c r="A41" s="4" t="s">
        <v>210</v>
      </c>
      <c r="B41" s="4" t="s">
        <v>282</v>
      </c>
      <c r="C41" s="7" t="s">
        <v>40</v>
      </c>
      <c r="D41" s="12"/>
      <c r="E41" s="12"/>
      <c r="F41" s="12" t="s">
        <v>247</v>
      </c>
      <c r="G41" s="12"/>
      <c r="H41" s="12"/>
      <c r="I41" s="12"/>
      <c r="J41" s="12"/>
      <c r="K41" s="12"/>
      <c r="L41" s="12"/>
      <c r="M41" s="12"/>
      <c r="N41" s="12"/>
      <c r="O41" s="12"/>
      <c r="P41" s="12"/>
      <c r="Q41" s="12"/>
      <c r="R41" s="12"/>
      <c r="S41" s="12"/>
      <c r="T41" s="12"/>
      <c r="U41" s="12"/>
    </row>
    <row r="42" customFormat="false" ht="30" hidden="false" customHeight="true" outlineLevel="0" collapsed="false">
      <c r="A42" s="4" t="s">
        <v>213</v>
      </c>
      <c r="B42" s="4" t="s">
        <v>283</v>
      </c>
      <c r="C42" s="8" t="s">
        <v>77</v>
      </c>
      <c r="D42" s="12" t="s">
        <v>252</v>
      </c>
      <c r="E42" s="12"/>
      <c r="F42" s="12"/>
      <c r="G42" s="12"/>
      <c r="H42" s="12"/>
      <c r="I42" s="12"/>
      <c r="J42" s="12"/>
      <c r="K42" s="12"/>
      <c r="L42" s="12"/>
      <c r="M42" s="12"/>
      <c r="N42" s="12"/>
      <c r="O42" s="12"/>
      <c r="P42" s="12"/>
      <c r="Q42" s="12"/>
      <c r="R42" s="12"/>
      <c r="S42" s="12"/>
      <c r="T42" s="12"/>
      <c r="U42" s="12"/>
    </row>
    <row r="43" customFormat="false" ht="30" hidden="false" customHeight="true" outlineLevel="0" collapsed="false">
      <c r="A43" s="4" t="s">
        <v>216</v>
      </c>
      <c r="B43" s="4" t="s">
        <v>284</v>
      </c>
      <c r="C43" s="8" t="s">
        <v>77</v>
      </c>
      <c r="D43" s="12"/>
      <c r="E43" s="12"/>
      <c r="F43" s="12"/>
      <c r="G43" s="12"/>
      <c r="H43" s="12"/>
      <c r="I43" s="12"/>
      <c r="J43" s="12"/>
      <c r="K43" s="12"/>
      <c r="L43" s="12"/>
      <c r="M43" s="12" t="s">
        <v>252</v>
      </c>
      <c r="N43" s="12"/>
      <c r="O43" s="12"/>
      <c r="P43" s="12"/>
      <c r="Q43" s="12"/>
      <c r="R43" s="12"/>
      <c r="S43" s="12"/>
      <c r="T43" s="12"/>
      <c r="U43" s="12"/>
    </row>
    <row r="44" customFormat="false" ht="30" hidden="false" customHeight="true" outlineLevel="0" collapsed="false">
      <c r="A44" s="4" t="s">
        <v>218</v>
      </c>
      <c r="B44" s="4" t="s">
        <v>285</v>
      </c>
      <c r="C44" s="8" t="s">
        <v>77</v>
      </c>
      <c r="D44" s="12"/>
      <c r="E44" s="12"/>
      <c r="F44" s="12"/>
      <c r="G44" s="12"/>
      <c r="H44" s="12" t="s">
        <v>252</v>
      </c>
      <c r="I44" s="12"/>
      <c r="J44" s="12"/>
      <c r="K44" s="12"/>
      <c r="L44" s="12"/>
      <c r="M44" s="12"/>
      <c r="N44" s="12"/>
      <c r="O44" s="12"/>
      <c r="P44" s="12"/>
      <c r="Q44" s="12"/>
      <c r="R44" s="12"/>
      <c r="S44" s="12"/>
      <c r="T44" s="12"/>
      <c r="U44" s="12"/>
    </row>
    <row r="45" customFormat="false" ht="15" hidden="false" customHeight="false" outlineLevel="0" collapsed="false">
      <c r="A45" s="10"/>
      <c r="B45" s="3" t="s">
        <v>286</v>
      </c>
      <c r="C45" s="10"/>
      <c r="D45" s="13" t="n">
        <f aca="false">COUNTIF(D6:D44,"●")+COUNTIF(D6:D44,"◐")</f>
        <v>2</v>
      </c>
      <c r="E45" s="13" t="n">
        <f aca="false">COUNTIF(E6:E44,"●")+COUNTIF(E6:E44,"◐")</f>
        <v>3</v>
      </c>
      <c r="F45" s="13" t="n">
        <f aca="false">COUNTIF(F6:F44,"●")+COUNTIF(F6:F44,"◐")</f>
        <v>1</v>
      </c>
      <c r="G45" s="13" t="n">
        <f aca="false">COUNTIF(G6:G44,"●")+COUNTIF(G6:G44,"◐")</f>
        <v>2</v>
      </c>
      <c r="H45" s="13" t="n">
        <f aca="false">COUNTIF(H6:H44,"●")+COUNTIF(H6:H44,"◐")</f>
        <v>0</v>
      </c>
      <c r="I45" s="13" t="n">
        <f aca="false">COUNTIF(I6:I44,"●")+COUNTIF(I6:I44,"◐")</f>
        <v>0</v>
      </c>
      <c r="J45" s="13" t="n">
        <f aca="false">COUNTIF(J6:J44,"●")+COUNTIF(J6:J44,"◐")</f>
        <v>0</v>
      </c>
      <c r="K45" s="13" t="n">
        <f aca="false">COUNTIF(K6:K44,"●")+COUNTIF(K6:K44,"◐")</f>
        <v>2</v>
      </c>
      <c r="L45" s="13" t="n">
        <f aca="false">COUNTIF(L6:L44,"●")+COUNTIF(L6:L44,"◐")</f>
        <v>2</v>
      </c>
      <c r="M45" s="13" t="n">
        <f aca="false">COUNTIF(M6:M44,"●")+COUNTIF(M6:M44,"◐")</f>
        <v>1</v>
      </c>
      <c r="N45" s="13" t="n">
        <f aca="false">COUNTIF(N6:N44,"●")+COUNTIF(N6:N44,"◐")</f>
        <v>1</v>
      </c>
      <c r="O45" s="13" t="n">
        <f aca="false">COUNTIF(O6:O44,"●")+COUNTIF(O6:O44,"◐")</f>
        <v>1</v>
      </c>
      <c r="P45" s="13" t="n">
        <f aca="false">COUNTIF(P6:P44,"●")+COUNTIF(P6:P44,"◐")</f>
        <v>1</v>
      </c>
      <c r="Q45" s="13" t="n">
        <f aca="false">COUNTIF(Q6:Q44,"●")+COUNTIF(Q6:Q44,"◐")</f>
        <v>1</v>
      </c>
      <c r="R45" s="13" t="n">
        <f aca="false">COUNTIF(R6:R44,"●")+COUNTIF(R6:R44,"◐")</f>
        <v>0</v>
      </c>
      <c r="S45" s="13" t="n">
        <f aca="false">COUNTIF(S6:S44,"●")+COUNTIF(S6:S44,"◐")</f>
        <v>0</v>
      </c>
      <c r="T45" s="13" t="n">
        <f aca="false">COUNTIF(T6:T44,"●")+COUNTIF(T6:T44,"◐")</f>
        <v>0</v>
      </c>
      <c r="U45" s="13" t="n">
        <f aca="false">COUNTIF(U6:U44,"●")+COUNTIF(U6:U44,"◐")</f>
        <v>0</v>
      </c>
    </row>
    <row r="46" customFormat="false" ht="15" hidden="false" customHeight="false" outlineLevel="0" collapsed="false">
      <c r="A46" s="10"/>
      <c r="B46" s="3" t="s">
        <v>287</v>
      </c>
      <c r="C46" s="10"/>
      <c r="D46" s="13" t="n">
        <f aca="false">COUNTIF(D6:D44,"○")</f>
        <v>1</v>
      </c>
      <c r="E46" s="13" t="n">
        <f aca="false">COUNTIF(E6:E44,"○")</f>
        <v>0</v>
      </c>
      <c r="F46" s="13" t="n">
        <f aca="false">COUNTIF(F6:F44,"○")</f>
        <v>0</v>
      </c>
      <c r="G46" s="13" t="n">
        <f aca="false">COUNTIF(G6:G44,"○")</f>
        <v>1</v>
      </c>
      <c r="H46" s="13" t="n">
        <f aca="false">COUNTIF(H6:H44,"○")</f>
        <v>2</v>
      </c>
      <c r="I46" s="13" t="n">
        <f aca="false">COUNTIF(I6:I44,"○")</f>
        <v>1</v>
      </c>
      <c r="J46" s="13" t="n">
        <f aca="false">COUNTIF(J6:J44,"○")</f>
        <v>1</v>
      </c>
      <c r="K46" s="13" t="n">
        <f aca="false">COUNTIF(K6:K44,"○")</f>
        <v>0</v>
      </c>
      <c r="L46" s="13" t="n">
        <f aca="false">COUNTIF(L6:L44,"○")</f>
        <v>0</v>
      </c>
      <c r="M46" s="13" t="n">
        <f aca="false">COUNTIF(M6:M44,"○")</f>
        <v>1</v>
      </c>
      <c r="N46" s="13" t="n">
        <f aca="false">COUNTIF(N6:N44,"○")</f>
        <v>0</v>
      </c>
      <c r="O46" s="13" t="n">
        <f aca="false">COUNTIF(O6:O44,"○")</f>
        <v>1</v>
      </c>
      <c r="P46" s="13" t="n">
        <f aca="false">COUNTIF(P6:P44,"○")</f>
        <v>1</v>
      </c>
      <c r="Q46" s="13" t="n">
        <f aca="false">COUNTIF(Q6:Q44,"○")</f>
        <v>1</v>
      </c>
      <c r="R46" s="13" t="n">
        <f aca="false">COUNTIF(R6:R44,"○")</f>
        <v>1</v>
      </c>
      <c r="S46" s="13" t="n">
        <f aca="false">COUNTIF(S6:S44,"○")</f>
        <v>1</v>
      </c>
      <c r="T46" s="13" t="n">
        <f aca="false">COUNTIF(T6:T44,"○")</f>
        <v>1</v>
      </c>
      <c r="U46" s="13" t="n">
        <f aca="false">COUNTIF(U6:U44,"○")</f>
        <v>1</v>
      </c>
    </row>
  </sheetData>
  <mergeCells count="1">
    <mergeCell ref="A2:U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12"/>
    <col collapsed="false" customWidth="true" hidden="false" outlineLevel="0" max="4" min="4" style="0" width="36"/>
    <col collapsed="false" customWidth="true" hidden="false" outlineLevel="0" max="6" min="5" style="0" width="14"/>
    <col collapsed="false" customWidth="true" hidden="false" outlineLevel="0" max="7" min="7" style="0" width="28"/>
    <col collapsed="false" customWidth="true" hidden="false" outlineLevel="0" max="8" min="8" style="0" width="24"/>
    <col collapsed="false" customWidth="true" hidden="false" outlineLevel="0" max="9" min="9" style="0" width="14"/>
    <col collapsed="false" customWidth="true" hidden="false" outlineLevel="0" max="10" min="10" style="0" width="22"/>
    <col collapsed="false" customWidth="true" hidden="false" outlineLevel="0" max="11" min="11" style="0" width="28"/>
  </cols>
  <sheetData>
    <row r="1" customFormat="false" ht="17.35" hidden="false" customHeight="false" outlineLevel="0" collapsed="false">
      <c r="A1" s="1" t="s">
        <v>288</v>
      </c>
    </row>
    <row r="2" customFormat="false" ht="43.5" hidden="false" customHeight="true" outlineLevel="0" collapsed="false">
      <c r="A2" s="5" t="s">
        <v>289</v>
      </c>
      <c r="B2" s="5"/>
      <c r="C2" s="5"/>
      <c r="D2" s="5"/>
      <c r="E2" s="5"/>
      <c r="F2" s="5"/>
      <c r="G2" s="5"/>
      <c r="H2" s="5"/>
      <c r="I2" s="5"/>
      <c r="J2" s="5"/>
      <c r="K2" s="5"/>
    </row>
    <row r="4" customFormat="false" ht="31.5" hidden="false" customHeight="true" outlineLevel="0" collapsed="false">
      <c r="A4" s="6" t="s">
        <v>26</v>
      </c>
      <c r="B4" s="6" t="s">
        <v>290</v>
      </c>
      <c r="C4" s="6" t="s">
        <v>291</v>
      </c>
      <c r="D4" s="6" t="s">
        <v>226</v>
      </c>
      <c r="E4" s="6" t="s">
        <v>292</v>
      </c>
      <c r="F4" s="6" t="s">
        <v>293</v>
      </c>
      <c r="G4" s="6" t="s">
        <v>294</v>
      </c>
      <c r="H4" s="6" t="s">
        <v>295</v>
      </c>
      <c r="I4" s="6" t="s">
        <v>30</v>
      </c>
      <c r="J4" s="6" t="s">
        <v>296</v>
      </c>
      <c r="K4" s="6" t="s">
        <v>32</v>
      </c>
    </row>
    <row r="5" customFormat="false" ht="30" hidden="false" customHeight="true" outlineLevel="0" collapsed="false">
      <c r="A5" s="4" t="s">
        <v>52</v>
      </c>
      <c r="B5" s="4" t="s">
        <v>297</v>
      </c>
      <c r="C5" s="4" t="s">
        <v>51</v>
      </c>
      <c r="D5" s="4" t="s">
        <v>227</v>
      </c>
      <c r="E5" s="14" t="n">
        <f aca="false">'Akun x pemicu'!D45</f>
        <v>2</v>
      </c>
      <c r="F5" s="14" t="n">
        <f aca="false">'Akun x pemicu'!D46</f>
        <v>1</v>
      </c>
      <c r="G5" s="4" t="s">
        <v>298</v>
      </c>
      <c r="H5" s="4" t="s">
        <v>213</v>
      </c>
      <c r="I5" s="8"/>
      <c r="J5" s="8"/>
      <c r="K5" s="8"/>
    </row>
    <row r="6" customFormat="false" ht="30" hidden="false" customHeight="true" outlineLevel="0" collapsed="false">
      <c r="A6" s="4" t="s">
        <v>52</v>
      </c>
      <c r="B6" s="4" t="s">
        <v>297</v>
      </c>
      <c r="C6" s="4" t="s">
        <v>59</v>
      </c>
      <c r="D6" s="4" t="s">
        <v>228</v>
      </c>
      <c r="E6" s="14" t="n">
        <f aca="false">'Akun x pemicu'!E45</f>
        <v>3</v>
      </c>
      <c r="F6" s="14" t="n">
        <f aca="false">'Akun x pemicu'!E46</f>
        <v>0</v>
      </c>
      <c r="G6" s="4" t="s">
        <v>299</v>
      </c>
      <c r="H6" s="4" t="s">
        <v>39</v>
      </c>
      <c r="I6" s="8"/>
      <c r="J6" s="8"/>
      <c r="K6" s="8"/>
    </row>
    <row r="7" customFormat="false" ht="30" hidden="false" customHeight="true" outlineLevel="0" collapsed="false">
      <c r="A7" s="4" t="s">
        <v>52</v>
      </c>
      <c r="B7" s="4" t="s">
        <v>297</v>
      </c>
      <c r="C7" s="4" t="s">
        <v>212</v>
      </c>
      <c r="D7" s="4" t="s">
        <v>229</v>
      </c>
      <c r="E7" s="14" t="n">
        <f aca="false">'Akun x pemicu'!F45</f>
        <v>1</v>
      </c>
      <c r="F7" s="14" t="n">
        <f aca="false">'Akun x pemicu'!F46</f>
        <v>0</v>
      </c>
      <c r="G7" s="4" t="s">
        <v>210</v>
      </c>
      <c r="H7" s="4" t="s">
        <v>39</v>
      </c>
      <c r="I7" s="8"/>
      <c r="J7" s="8"/>
      <c r="K7" s="8"/>
    </row>
    <row r="8" customFormat="false" ht="30" hidden="false" customHeight="true" outlineLevel="0" collapsed="false">
      <c r="A8" s="4" t="s">
        <v>52</v>
      </c>
      <c r="B8" s="4" t="s">
        <v>297</v>
      </c>
      <c r="C8" s="4" t="s">
        <v>64</v>
      </c>
      <c r="D8" s="4" t="s">
        <v>230</v>
      </c>
      <c r="E8" s="14" t="n">
        <f aca="false">'Akun x pemicu'!G45</f>
        <v>2</v>
      </c>
      <c r="F8" s="14" t="n">
        <f aca="false">'Akun x pemicu'!G46</f>
        <v>1</v>
      </c>
      <c r="G8" s="4" t="s">
        <v>300</v>
      </c>
      <c r="H8" s="4" t="s">
        <v>167</v>
      </c>
      <c r="I8" s="8"/>
      <c r="J8" s="8"/>
      <c r="K8" s="8"/>
    </row>
    <row r="9" customFormat="false" ht="30" hidden="false" customHeight="true" outlineLevel="0" collapsed="false">
      <c r="A9" s="4" t="s">
        <v>76</v>
      </c>
      <c r="B9" s="4" t="s">
        <v>301</v>
      </c>
      <c r="C9" s="4" t="s">
        <v>178</v>
      </c>
      <c r="D9" s="4" t="s">
        <v>177</v>
      </c>
      <c r="E9" s="14" t="n">
        <f aca="false">'Akun x pemicu'!H45</f>
        <v>0</v>
      </c>
      <c r="F9" s="14" t="n">
        <f aca="false">'Akun x pemicu'!H46</f>
        <v>2</v>
      </c>
      <c r="G9" s="4" t="s">
        <v>302</v>
      </c>
      <c r="H9" s="4" t="s">
        <v>303</v>
      </c>
      <c r="I9" s="8"/>
      <c r="J9" s="8"/>
      <c r="K9" s="8"/>
    </row>
    <row r="10" customFormat="false" ht="30" hidden="false" customHeight="true" outlineLevel="0" collapsed="false">
      <c r="A10" s="4" t="s">
        <v>76</v>
      </c>
      <c r="B10" s="4" t="s">
        <v>301</v>
      </c>
      <c r="C10" s="4" t="s">
        <v>131</v>
      </c>
      <c r="D10" s="4" t="s">
        <v>231</v>
      </c>
      <c r="E10" s="14" t="n">
        <f aca="false">'Akun x pemicu'!I45</f>
        <v>0</v>
      </c>
      <c r="F10" s="14" t="n">
        <f aca="false">'Akun x pemicu'!I46</f>
        <v>1</v>
      </c>
      <c r="G10" s="4" t="s">
        <v>302</v>
      </c>
      <c r="H10" s="4" t="s">
        <v>128</v>
      </c>
      <c r="I10" s="8"/>
      <c r="J10" s="8"/>
      <c r="K10" s="8"/>
    </row>
    <row r="11" customFormat="false" ht="30" hidden="false" customHeight="true" outlineLevel="0" collapsed="false">
      <c r="A11" s="4" t="s">
        <v>76</v>
      </c>
      <c r="B11" s="4" t="s">
        <v>301</v>
      </c>
      <c r="C11" s="4" t="s">
        <v>75</v>
      </c>
      <c r="D11" s="4" t="s">
        <v>232</v>
      </c>
      <c r="E11" s="14" t="n">
        <f aca="false">'Akun x pemicu'!J45</f>
        <v>0</v>
      </c>
      <c r="F11" s="14" t="n">
        <f aca="false">'Akun x pemicu'!J46</f>
        <v>1</v>
      </c>
      <c r="G11" s="4" t="s">
        <v>302</v>
      </c>
      <c r="H11" s="4" t="s">
        <v>73</v>
      </c>
      <c r="I11" s="8"/>
      <c r="J11" s="8"/>
      <c r="K11" s="8"/>
    </row>
    <row r="12" customFormat="false" ht="30" hidden="false" customHeight="true" outlineLevel="0" collapsed="false">
      <c r="A12" s="4" t="s">
        <v>76</v>
      </c>
      <c r="B12" s="4" t="s">
        <v>301</v>
      </c>
      <c r="C12" s="4" t="s">
        <v>152</v>
      </c>
      <c r="D12" s="4" t="s">
        <v>233</v>
      </c>
      <c r="E12" s="14" t="n">
        <f aca="false">'Akun x pemicu'!K45</f>
        <v>2</v>
      </c>
      <c r="F12" s="14" t="n">
        <f aca="false">'Akun x pemicu'!K46</f>
        <v>0</v>
      </c>
      <c r="G12" s="4" t="s">
        <v>304</v>
      </c>
      <c r="H12" s="4" t="s">
        <v>39</v>
      </c>
      <c r="I12" s="8"/>
      <c r="J12" s="8"/>
      <c r="K12" s="8"/>
    </row>
    <row r="13" customFormat="false" ht="30" hidden="false" customHeight="true" outlineLevel="0" collapsed="false">
      <c r="A13" s="4" t="s">
        <v>76</v>
      </c>
      <c r="B13" s="4" t="s">
        <v>301</v>
      </c>
      <c r="C13" s="4" t="s">
        <v>147</v>
      </c>
      <c r="D13" s="4" t="s">
        <v>234</v>
      </c>
      <c r="E13" s="14" t="n">
        <f aca="false">'Akun x pemicu'!L45</f>
        <v>2</v>
      </c>
      <c r="F13" s="14" t="n">
        <f aca="false">'Akun x pemicu'!L46</f>
        <v>0</v>
      </c>
      <c r="G13" s="4" t="s">
        <v>305</v>
      </c>
      <c r="H13" s="4" t="s">
        <v>39</v>
      </c>
      <c r="I13" s="8"/>
      <c r="J13" s="8"/>
      <c r="K13" s="8"/>
    </row>
    <row r="14" customFormat="false" ht="30" hidden="false" customHeight="true" outlineLevel="0" collapsed="false">
      <c r="A14" s="4" t="s">
        <v>69</v>
      </c>
      <c r="B14" s="4" t="s">
        <v>306</v>
      </c>
      <c r="C14" s="4" t="s">
        <v>69</v>
      </c>
      <c r="D14" s="4" t="s">
        <v>235</v>
      </c>
      <c r="E14" s="14" t="n">
        <f aca="false">'Akun x pemicu'!M45</f>
        <v>1</v>
      </c>
      <c r="F14" s="14" t="n">
        <f aca="false">'Akun x pemicu'!M46</f>
        <v>1</v>
      </c>
      <c r="G14" s="4" t="s">
        <v>66</v>
      </c>
      <c r="H14" s="4" t="s">
        <v>216</v>
      </c>
      <c r="I14" s="8"/>
      <c r="J14" s="8"/>
      <c r="K14" s="8"/>
    </row>
    <row r="15" customFormat="false" ht="30" hidden="false" customHeight="true" outlineLevel="0" collapsed="false">
      <c r="A15" s="4" t="s">
        <v>199</v>
      </c>
      <c r="B15" s="4" t="s">
        <v>307</v>
      </c>
      <c r="C15" s="4" t="s">
        <v>199</v>
      </c>
      <c r="D15" s="4" t="s">
        <v>236</v>
      </c>
      <c r="E15" s="14" t="n">
        <f aca="false">'Akun x pemicu'!N45</f>
        <v>1</v>
      </c>
      <c r="F15" s="14" t="n">
        <f aca="false">'Akun x pemicu'!N46</f>
        <v>0</v>
      </c>
      <c r="G15" s="4" t="s">
        <v>196</v>
      </c>
      <c r="H15" s="4" t="s">
        <v>39</v>
      </c>
      <c r="I15" s="8"/>
      <c r="J15" s="8"/>
      <c r="K15" s="8"/>
    </row>
    <row r="16" customFormat="false" ht="30" hidden="false" customHeight="true" outlineLevel="0" collapsed="false">
      <c r="A16" s="4" t="s">
        <v>174</v>
      </c>
      <c r="B16" s="4" t="s">
        <v>308</v>
      </c>
      <c r="C16" s="4" t="s">
        <v>173</v>
      </c>
      <c r="D16" s="4" t="s">
        <v>237</v>
      </c>
      <c r="E16" s="14" t="n">
        <f aca="false">'Akun x pemicu'!O45</f>
        <v>1</v>
      </c>
      <c r="F16" s="14" t="n">
        <f aca="false">'Akun x pemicu'!O46</f>
        <v>1</v>
      </c>
      <c r="G16" s="4" t="s">
        <v>180</v>
      </c>
      <c r="H16" s="4" t="s">
        <v>170</v>
      </c>
      <c r="I16" s="8"/>
      <c r="J16" s="8"/>
      <c r="K16" s="8"/>
    </row>
    <row r="17" customFormat="false" ht="30" hidden="false" customHeight="true" outlineLevel="0" collapsed="false">
      <c r="A17" s="4" t="s">
        <v>96</v>
      </c>
      <c r="B17" s="4" t="s">
        <v>309</v>
      </c>
      <c r="C17" s="4" t="s">
        <v>95</v>
      </c>
      <c r="D17" s="4" t="s">
        <v>238</v>
      </c>
      <c r="E17" s="14" t="n">
        <f aca="false">'Akun x pemicu'!P45</f>
        <v>1</v>
      </c>
      <c r="F17" s="14" t="n">
        <f aca="false">'Akun x pemicu'!P46</f>
        <v>1</v>
      </c>
      <c r="G17" s="4" t="s">
        <v>133</v>
      </c>
      <c r="H17" s="4" t="s">
        <v>92</v>
      </c>
      <c r="I17" s="8"/>
      <c r="J17" s="8"/>
      <c r="K17" s="8"/>
    </row>
    <row r="18" customFormat="false" ht="30" hidden="false" customHeight="true" outlineLevel="0" collapsed="false">
      <c r="A18" s="4" t="s">
        <v>96</v>
      </c>
      <c r="B18" s="4" t="s">
        <v>309</v>
      </c>
      <c r="C18" s="4" t="s">
        <v>142</v>
      </c>
      <c r="D18" s="4" t="s">
        <v>239</v>
      </c>
      <c r="E18" s="14" t="n">
        <f aca="false">'Akun x pemicu'!Q45</f>
        <v>1</v>
      </c>
      <c r="F18" s="14" t="n">
        <f aca="false">'Akun x pemicu'!Q46</f>
        <v>1</v>
      </c>
      <c r="G18" s="4" t="s">
        <v>133</v>
      </c>
      <c r="H18" s="4" t="s">
        <v>139</v>
      </c>
      <c r="I18" s="8"/>
      <c r="J18" s="8"/>
      <c r="K18" s="8"/>
    </row>
    <row r="19" customFormat="false" ht="30" hidden="false" customHeight="true" outlineLevel="0" collapsed="false">
      <c r="A19" s="4" t="s">
        <v>83</v>
      </c>
      <c r="B19" s="4" t="s">
        <v>310</v>
      </c>
      <c r="C19" s="4" t="s">
        <v>222</v>
      </c>
      <c r="D19" s="4" t="s">
        <v>240</v>
      </c>
      <c r="E19" s="14" t="n">
        <f aca="false">'Akun x pemicu'!R45</f>
        <v>0</v>
      </c>
      <c r="F19" s="14" t="n">
        <f aca="false">'Akun x pemicu'!R46</f>
        <v>1</v>
      </c>
      <c r="G19" s="4" t="s">
        <v>302</v>
      </c>
      <c r="H19" s="4" t="s">
        <v>79</v>
      </c>
      <c r="I19" s="8"/>
      <c r="J19" s="8"/>
      <c r="K19" s="8"/>
    </row>
    <row r="20" customFormat="false" ht="30" hidden="false" customHeight="true" outlineLevel="0" collapsed="false">
      <c r="A20" s="4" t="s">
        <v>83</v>
      </c>
      <c r="B20" s="4" t="s">
        <v>310</v>
      </c>
      <c r="C20" s="4" t="s">
        <v>223</v>
      </c>
      <c r="D20" s="4" t="s">
        <v>241</v>
      </c>
      <c r="E20" s="14" t="n">
        <f aca="false">'Akun x pemicu'!S45</f>
        <v>0</v>
      </c>
      <c r="F20" s="14" t="n">
        <f aca="false">'Akun x pemicu'!S46</f>
        <v>1</v>
      </c>
      <c r="G20" s="4" t="s">
        <v>302</v>
      </c>
      <c r="H20" s="4" t="s">
        <v>79</v>
      </c>
      <c r="I20" s="8"/>
      <c r="J20" s="8"/>
      <c r="K20" s="8"/>
    </row>
    <row r="21" customFormat="false" ht="30" hidden="false" customHeight="true" outlineLevel="0" collapsed="false">
      <c r="A21" s="4" t="s">
        <v>90</v>
      </c>
      <c r="B21" s="4" t="s">
        <v>311</v>
      </c>
      <c r="C21" s="4" t="s">
        <v>224</v>
      </c>
      <c r="D21" s="4" t="s">
        <v>242</v>
      </c>
      <c r="E21" s="14" t="n">
        <f aca="false">'Akun x pemicu'!T45</f>
        <v>0</v>
      </c>
      <c r="F21" s="14" t="n">
        <f aca="false">'Akun x pemicu'!T46</f>
        <v>1</v>
      </c>
      <c r="G21" s="4" t="s">
        <v>302</v>
      </c>
      <c r="H21" s="4" t="s">
        <v>86</v>
      </c>
      <c r="I21" s="8"/>
      <c r="J21" s="8"/>
      <c r="K21" s="8"/>
    </row>
    <row r="22" customFormat="false" ht="30" hidden="false" customHeight="true" outlineLevel="0" collapsed="false">
      <c r="A22" s="4" t="s">
        <v>90</v>
      </c>
      <c r="B22" s="4" t="s">
        <v>311</v>
      </c>
      <c r="C22" s="4" t="s">
        <v>225</v>
      </c>
      <c r="D22" s="4" t="s">
        <v>243</v>
      </c>
      <c r="E22" s="14" t="n">
        <f aca="false">'Akun x pemicu'!U45</f>
        <v>0</v>
      </c>
      <c r="F22" s="14" t="n">
        <f aca="false">'Akun x pemicu'!U46</f>
        <v>1</v>
      </c>
      <c r="G22" s="4" t="s">
        <v>302</v>
      </c>
      <c r="H22" s="4" t="s">
        <v>86</v>
      </c>
      <c r="I22" s="8"/>
      <c r="J22" s="8"/>
      <c r="K22" s="8"/>
    </row>
  </sheetData>
  <mergeCells count="1">
    <mergeCell ref="A2:K2"/>
  </mergeCells>
  <dataValidations count="1">
    <dataValidation allowBlank="true" errorStyle="stop" operator="between" showDropDown="false" showErrorMessage="false" showInputMessage="false" sqref="I5:I22" type="list">
      <formula1>"Sesuai,Ubah,Hapus,Tambah,Tanya"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8"/>
    <col collapsed="false" customWidth="true" hidden="false" outlineLevel="0" max="3" min="3" style="0" width="26"/>
    <col collapsed="false" customWidth="true" hidden="false" outlineLevel="0" max="4" min="4" style="0" width="40"/>
    <col collapsed="false" customWidth="true" hidden="false" outlineLevel="0" max="5" min="5" style="0" width="24"/>
    <col collapsed="false" customWidth="true" hidden="false" outlineLevel="0" max="6" min="6" style="0" width="36"/>
    <col collapsed="false" customWidth="true" hidden="false" outlineLevel="0" max="7" min="7" style="0" width="18"/>
    <col collapsed="false" customWidth="true" hidden="false" outlineLevel="0" max="8" min="8" style="0" width="14"/>
    <col collapsed="false" customWidth="true" hidden="false" outlineLevel="0" max="9" min="9" style="0" width="12"/>
    <col collapsed="false" customWidth="true" hidden="false" outlineLevel="0" max="10" min="10" style="0" width="14"/>
    <col collapsed="false" customWidth="true" hidden="false" outlineLevel="0" max="11" min="11" style="0" width="22"/>
    <col collapsed="false" customWidth="true" hidden="false" outlineLevel="0" max="12" min="12" style="0" width="28"/>
  </cols>
  <sheetData>
    <row r="1" customFormat="false" ht="17.35" hidden="false" customHeight="false" outlineLevel="0" collapsed="false">
      <c r="A1" s="1" t="s">
        <v>312</v>
      </c>
    </row>
    <row r="2" customFormat="false" ht="51.75" hidden="false" customHeight="true" outlineLevel="0" collapsed="false">
      <c r="A2" s="5" t="s">
        <v>313</v>
      </c>
      <c r="B2" s="5"/>
      <c r="C2" s="5"/>
      <c r="D2" s="5"/>
      <c r="E2" s="5"/>
      <c r="F2" s="5"/>
      <c r="G2" s="5"/>
      <c r="H2" s="5"/>
      <c r="I2" s="5"/>
      <c r="J2" s="5"/>
      <c r="K2" s="5"/>
      <c r="L2" s="5"/>
    </row>
    <row r="4" customFormat="false" ht="31.5" hidden="false" customHeight="true" outlineLevel="0" collapsed="false">
      <c r="A4" s="6" t="s">
        <v>314</v>
      </c>
      <c r="B4" s="6" t="s">
        <v>315</v>
      </c>
      <c r="C4" s="6" t="s">
        <v>316</v>
      </c>
      <c r="D4" s="6" t="s">
        <v>317</v>
      </c>
      <c r="E4" s="6" t="s">
        <v>318</v>
      </c>
      <c r="F4" s="6" t="s">
        <v>319</v>
      </c>
      <c r="G4" s="6" t="s">
        <v>26</v>
      </c>
      <c r="H4" s="6" t="s">
        <v>320</v>
      </c>
      <c r="I4" s="6" t="s">
        <v>321</v>
      </c>
      <c r="J4" s="6" t="s">
        <v>30</v>
      </c>
      <c r="K4" s="6" t="s">
        <v>322</v>
      </c>
      <c r="L4" s="6" t="s">
        <v>32</v>
      </c>
    </row>
    <row r="5" customFormat="false" ht="27.75" hidden="false" customHeight="true" outlineLevel="0" collapsed="false">
      <c r="A5" s="4" t="s">
        <v>323</v>
      </c>
      <c r="B5" s="4" t="s">
        <v>324</v>
      </c>
      <c r="C5" s="4" t="s">
        <v>325</v>
      </c>
      <c r="D5" s="4" t="s">
        <v>326</v>
      </c>
      <c r="E5" s="4" t="s">
        <v>327</v>
      </c>
      <c r="F5" s="4" t="s">
        <v>38</v>
      </c>
      <c r="G5" s="4" t="s">
        <v>39</v>
      </c>
      <c r="H5" s="4" t="s">
        <v>39</v>
      </c>
      <c r="I5" s="4" t="s">
        <v>39</v>
      </c>
      <c r="J5" s="8"/>
      <c r="K5" s="8"/>
      <c r="L5" s="8"/>
    </row>
    <row r="6" customFormat="false" ht="27.75" hidden="false" customHeight="true" outlineLevel="0" collapsed="false">
      <c r="A6" s="4" t="s">
        <v>323</v>
      </c>
      <c r="B6" s="4" t="s">
        <v>328</v>
      </c>
      <c r="C6" s="4" t="s">
        <v>329</v>
      </c>
      <c r="D6" s="4" t="s">
        <v>330</v>
      </c>
      <c r="E6" s="4" t="s">
        <v>331</v>
      </c>
      <c r="F6" s="4" t="s">
        <v>38</v>
      </c>
      <c r="G6" s="4" t="s">
        <v>39</v>
      </c>
      <c r="H6" s="4" t="s">
        <v>39</v>
      </c>
      <c r="I6" s="4" t="s">
        <v>39</v>
      </c>
      <c r="J6" s="8"/>
      <c r="K6" s="8"/>
      <c r="L6" s="8"/>
    </row>
    <row r="7" customFormat="false" ht="27.75" hidden="false" customHeight="true" outlineLevel="0" collapsed="false">
      <c r="A7" s="4" t="s">
        <v>323</v>
      </c>
      <c r="B7" s="4" t="s">
        <v>328</v>
      </c>
      <c r="C7" s="4" t="s">
        <v>329</v>
      </c>
      <c r="D7" s="4" t="s">
        <v>330</v>
      </c>
      <c r="E7" s="4" t="s">
        <v>332</v>
      </c>
      <c r="F7" s="4" t="s">
        <v>69</v>
      </c>
      <c r="G7" s="4" t="s">
        <v>69</v>
      </c>
      <c r="H7" s="4" t="s">
        <v>39</v>
      </c>
      <c r="I7" s="4" t="s">
        <v>39</v>
      </c>
      <c r="J7" s="8"/>
      <c r="K7" s="8"/>
      <c r="L7" s="8"/>
    </row>
    <row r="8" customFormat="false" ht="27.75" hidden="false" customHeight="true" outlineLevel="0" collapsed="false">
      <c r="A8" s="4" t="s">
        <v>323</v>
      </c>
      <c r="B8" s="4" t="s">
        <v>328</v>
      </c>
      <c r="C8" s="4" t="s">
        <v>333</v>
      </c>
      <c r="D8" s="4" t="s">
        <v>330</v>
      </c>
      <c r="E8" s="4" t="s">
        <v>331</v>
      </c>
      <c r="F8" s="4" t="s">
        <v>64</v>
      </c>
      <c r="G8" s="4" t="s">
        <v>52</v>
      </c>
      <c r="H8" s="4" t="s">
        <v>39</v>
      </c>
      <c r="I8" s="4" t="s">
        <v>39</v>
      </c>
      <c r="J8" s="8"/>
      <c r="K8" s="8"/>
      <c r="L8" s="8"/>
    </row>
    <row r="9" customFormat="false" ht="27.75" hidden="false" customHeight="true" outlineLevel="0" collapsed="false">
      <c r="A9" s="4" t="s">
        <v>323</v>
      </c>
      <c r="B9" s="4" t="s">
        <v>328</v>
      </c>
      <c r="C9" s="4" t="s">
        <v>333</v>
      </c>
      <c r="D9" s="4" t="s">
        <v>330</v>
      </c>
      <c r="E9" s="4" t="s">
        <v>332</v>
      </c>
      <c r="F9" s="4" t="s">
        <v>334</v>
      </c>
      <c r="G9" s="4" t="s">
        <v>335</v>
      </c>
      <c r="H9" s="4" t="s">
        <v>39</v>
      </c>
      <c r="I9" s="4" t="s">
        <v>39</v>
      </c>
      <c r="J9" s="8"/>
      <c r="K9" s="8"/>
      <c r="L9" s="8"/>
    </row>
    <row r="10" customFormat="false" ht="27.75" hidden="false" customHeight="true" outlineLevel="0" collapsed="false">
      <c r="A10" s="4" t="s">
        <v>323</v>
      </c>
      <c r="B10" s="4" t="s">
        <v>336</v>
      </c>
      <c r="C10" s="4" t="s">
        <v>337</v>
      </c>
      <c r="D10" s="4" t="s">
        <v>338</v>
      </c>
      <c r="E10" s="4" t="s">
        <v>331</v>
      </c>
      <c r="F10" s="4" t="s">
        <v>51</v>
      </c>
      <c r="G10" s="4" t="s">
        <v>52</v>
      </c>
      <c r="H10" s="4" t="s">
        <v>39</v>
      </c>
      <c r="I10" s="4" t="s">
        <v>39</v>
      </c>
      <c r="J10" s="8"/>
      <c r="K10" s="8"/>
      <c r="L10" s="8"/>
    </row>
    <row r="11" customFormat="false" ht="27.75" hidden="false" customHeight="true" outlineLevel="0" collapsed="false">
      <c r="A11" s="4" t="s">
        <v>323</v>
      </c>
      <c r="B11" s="4" t="s">
        <v>336</v>
      </c>
      <c r="C11" s="4" t="s">
        <v>337</v>
      </c>
      <c r="D11" s="4" t="s">
        <v>338</v>
      </c>
      <c r="E11" s="4" t="s">
        <v>332</v>
      </c>
      <c r="F11" s="4" t="s">
        <v>339</v>
      </c>
      <c r="G11" s="4" t="s">
        <v>335</v>
      </c>
      <c r="H11" s="4" t="s">
        <v>39</v>
      </c>
      <c r="I11" s="4" t="s">
        <v>39</v>
      </c>
      <c r="J11" s="8"/>
      <c r="K11" s="8"/>
      <c r="L11" s="8"/>
    </row>
    <row r="12" customFormat="false" ht="27.75" hidden="false" customHeight="true" outlineLevel="0" collapsed="false">
      <c r="A12" s="4" t="s">
        <v>323</v>
      </c>
      <c r="B12" s="4" t="s">
        <v>336</v>
      </c>
      <c r="C12" s="4" t="s">
        <v>337</v>
      </c>
      <c r="D12" s="4" t="s">
        <v>340</v>
      </c>
      <c r="E12" s="4" t="s">
        <v>331</v>
      </c>
      <c r="F12" s="4" t="s">
        <v>341</v>
      </c>
      <c r="G12" s="4" t="s">
        <v>52</v>
      </c>
      <c r="H12" s="4" t="s">
        <v>39</v>
      </c>
      <c r="I12" s="4" t="s">
        <v>39</v>
      </c>
      <c r="J12" s="8"/>
      <c r="K12" s="8"/>
      <c r="L12" s="8"/>
    </row>
    <row r="13" customFormat="false" ht="27.75" hidden="false" customHeight="true" outlineLevel="0" collapsed="false">
      <c r="A13" s="4" t="s">
        <v>323</v>
      </c>
      <c r="B13" s="4" t="s">
        <v>336</v>
      </c>
      <c r="C13" s="4" t="s">
        <v>337</v>
      </c>
      <c r="D13" s="4" t="s">
        <v>340</v>
      </c>
      <c r="E13" s="4" t="s">
        <v>332</v>
      </c>
      <c r="F13" s="4" t="s">
        <v>342</v>
      </c>
      <c r="G13" s="4" t="s">
        <v>335</v>
      </c>
      <c r="H13" s="4" t="s">
        <v>39</v>
      </c>
      <c r="I13" s="4" t="s">
        <v>39</v>
      </c>
      <c r="J13" s="8"/>
      <c r="K13" s="8"/>
      <c r="L13" s="8"/>
    </row>
    <row r="14" customFormat="false" ht="27.75" hidden="false" customHeight="true" outlineLevel="0" collapsed="false">
      <c r="A14" s="4" t="s">
        <v>323</v>
      </c>
      <c r="B14" s="4" t="s">
        <v>343</v>
      </c>
      <c r="C14" s="4" t="s">
        <v>329</v>
      </c>
      <c r="D14" s="4" t="s">
        <v>338</v>
      </c>
      <c r="E14" s="4" t="s">
        <v>331</v>
      </c>
      <c r="F14" s="4" t="s">
        <v>51</v>
      </c>
      <c r="G14" s="4" t="s">
        <v>52</v>
      </c>
      <c r="H14" s="4" t="s">
        <v>39</v>
      </c>
      <c r="I14" s="4" t="s">
        <v>39</v>
      </c>
      <c r="J14" s="8"/>
      <c r="K14" s="8"/>
      <c r="L14" s="8"/>
    </row>
    <row r="15" customFormat="false" ht="27.75" hidden="false" customHeight="true" outlineLevel="0" collapsed="false">
      <c r="A15" s="4" t="s">
        <v>323</v>
      </c>
      <c r="B15" s="4" t="s">
        <v>343</v>
      </c>
      <c r="C15" s="4" t="s">
        <v>329</v>
      </c>
      <c r="D15" s="4" t="s">
        <v>338</v>
      </c>
      <c r="E15" s="4" t="s">
        <v>332</v>
      </c>
      <c r="F15" s="4" t="s">
        <v>339</v>
      </c>
      <c r="G15" s="4" t="s">
        <v>335</v>
      </c>
      <c r="H15" s="4" t="s">
        <v>39</v>
      </c>
      <c r="I15" s="4" t="s">
        <v>39</v>
      </c>
      <c r="J15" s="8"/>
      <c r="K15" s="8"/>
      <c r="L15" s="8"/>
    </row>
    <row r="16" customFormat="false" ht="27.75" hidden="false" customHeight="true" outlineLevel="0" collapsed="false">
      <c r="A16" s="4" t="s">
        <v>323</v>
      </c>
      <c r="B16" s="4" t="s">
        <v>343</v>
      </c>
      <c r="C16" s="4" t="s">
        <v>329</v>
      </c>
      <c r="D16" s="4" t="s">
        <v>340</v>
      </c>
      <c r="E16" s="4" t="s">
        <v>331</v>
      </c>
      <c r="F16" s="4" t="s">
        <v>341</v>
      </c>
      <c r="G16" s="4" t="s">
        <v>52</v>
      </c>
      <c r="H16" s="4" t="s">
        <v>39</v>
      </c>
      <c r="I16" s="4" t="s">
        <v>39</v>
      </c>
      <c r="J16" s="8"/>
      <c r="K16" s="8"/>
      <c r="L16" s="8"/>
    </row>
    <row r="17" customFormat="false" ht="27.75" hidden="false" customHeight="true" outlineLevel="0" collapsed="false">
      <c r="A17" s="4" t="s">
        <v>323</v>
      </c>
      <c r="B17" s="4" t="s">
        <v>343</v>
      </c>
      <c r="C17" s="4" t="s">
        <v>329</v>
      </c>
      <c r="D17" s="4" t="s">
        <v>340</v>
      </c>
      <c r="E17" s="4" t="s">
        <v>332</v>
      </c>
      <c r="F17" s="4" t="s">
        <v>342</v>
      </c>
      <c r="G17" s="4" t="s">
        <v>335</v>
      </c>
      <c r="H17" s="4" t="s">
        <v>39</v>
      </c>
      <c r="I17" s="4" t="s">
        <v>39</v>
      </c>
      <c r="J17" s="8"/>
      <c r="K17" s="8"/>
      <c r="L17" s="8"/>
    </row>
    <row r="18" customFormat="false" ht="27.75" hidden="false" customHeight="true" outlineLevel="0" collapsed="false">
      <c r="A18" s="4" t="s">
        <v>323</v>
      </c>
      <c r="B18" s="4" t="s">
        <v>343</v>
      </c>
      <c r="C18" s="4" t="s">
        <v>333</v>
      </c>
      <c r="D18" s="4" t="s">
        <v>338</v>
      </c>
      <c r="E18" s="4" t="s">
        <v>331</v>
      </c>
      <c r="F18" s="4" t="s">
        <v>344</v>
      </c>
      <c r="G18" s="4" t="s">
        <v>52</v>
      </c>
      <c r="H18" s="4" t="s">
        <v>39</v>
      </c>
      <c r="I18" s="4" t="s">
        <v>39</v>
      </c>
      <c r="J18" s="8"/>
      <c r="K18" s="8"/>
      <c r="L18" s="8"/>
    </row>
    <row r="19" customFormat="false" ht="27.75" hidden="false" customHeight="true" outlineLevel="0" collapsed="false">
      <c r="A19" s="4" t="s">
        <v>323</v>
      </c>
      <c r="B19" s="4" t="s">
        <v>343</v>
      </c>
      <c r="C19" s="4" t="s">
        <v>333</v>
      </c>
      <c r="D19" s="4" t="s">
        <v>338</v>
      </c>
      <c r="E19" s="4" t="s">
        <v>332</v>
      </c>
      <c r="F19" s="4" t="s">
        <v>345</v>
      </c>
      <c r="G19" s="4" t="s">
        <v>335</v>
      </c>
      <c r="H19" s="4" t="s">
        <v>39</v>
      </c>
      <c r="I19" s="4" t="s">
        <v>39</v>
      </c>
      <c r="J19" s="8"/>
      <c r="K19" s="8"/>
      <c r="L19" s="8"/>
    </row>
    <row r="20" customFormat="false" ht="27.75" hidden="false" customHeight="true" outlineLevel="0" collapsed="false">
      <c r="A20" s="4" t="s">
        <v>323</v>
      </c>
      <c r="B20" s="4" t="s">
        <v>343</v>
      </c>
      <c r="C20" s="4" t="s">
        <v>333</v>
      </c>
      <c r="D20" s="4" t="s">
        <v>340</v>
      </c>
      <c r="E20" s="4" t="s">
        <v>331</v>
      </c>
      <c r="F20" s="4" t="s">
        <v>346</v>
      </c>
      <c r="G20" s="4" t="s">
        <v>52</v>
      </c>
      <c r="H20" s="4" t="s">
        <v>39</v>
      </c>
      <c r="I20" s="4" t="s">
        <v>39</v>
      </c>
      <c r="J20" s="8"/>
      <c r="K20" s="8"/>
      <c r="L20" s="8"/>
    </row>
    <row r="21" customFormat="false" ht="27.75" hidden="false" customHeight="true" outlineLevel="0" collapsed="false">
      <c r="A21" s="4" t="s">
        <v>323</v>
      </c>
      <c r="B21" s="4" t="s">
        <v>343</v>
      </c>
      <c r="C21" s="4" t="s">
        <v>333</v>
      </c>
      <c r="D21" s="4" t="s">
        <v>340</v>
      </c>
      <c r="E21" s="4" t="s">
        <v>332</v>
      </c>
      <c r="F21" s="4" t="s">
        <v>347</v>
      </c>
      <c r="G21" s="4" t="s">
        <v>335</v>
      </c>
      <c r="H21" s="4" t="s">
        <v>39</v>
      </c>
      <c r="I21" s="4" t="s">
        <v>39</v>
      </c>
      <c r="J21" s="8"/>
      <c r="K21" s="8"/>
      <c r="L21" s="8"/>
    </row>
    <row r="22" customFormat="false" ht="27.75" hidden="false" customHeight="true" outlineLevel="0" collapsed="false">
      <c r="A22" s="4" t="s">
        <v>348</v>
      </c>
      <c r="B22" s="4" t="s">
        <v>349</v>
      </c>
      <c r="C22" s="4" t="s">
        <v>39</v>
      </c>
      <c r="D22" s="4" t="s">
        <v>39</v>
      </c>
      <c r="E22" s="4" t="s">
        <v>39</v>
      </c>
      <c r="F22" s="4" t="s">
        <v>38</v>
      </c>
      <c r="G22" s="4" t="s">
        <v>39</v>
      </c>
      <c r="H22" s="4" t="s">
        <v>39</v>
      </c>
      <c r="I22" s="4" t="s">
        <v>39</v>
      </c>
      <c r="J22" s="8"/>
      <c r="K22" s="8"/>
      <c r="L22" s="8"/>
    </row>
    <row r="23" customFormat="false" ht="27.75" hidden="false" customHeight="true" outlineLevel="0" collapsed="false">
      <c r="A23" s="4" t="s">
        <v>350</v>
      </c>
      <c r="B23" s="4" t="s">
        <v>351</v>
      </c>
      <c r="C23" s="4" t="s">
        <v>39</v>
      </c>
      <c r="D23" s="4" t="s">
        <v>39</v>
      </c>
      <c r="E23" s="4" t="s">
        <v>39</v>
      </c>
      <c r="F23" s="4" t="s">
        <v>38</v>
      </c>
      <c r="G23" s="4" t="s">
        <v>39</v>
      </c>
      <c r="H23" s="4" t="s">
        <v>39</v>
      </c>
      <c r="I23" s="4" t="s">
        <v>39</v>
      </c>
      <c r="J23" s="8"/>
      <c r="K23" s="8"/>
      <c r="L23" s="8"/>
    </row>
    <row r="24" customFormat="false" ht="27.75" hidden="false" customHeight="true" outlineLevel="0" collapsed="false">
      <c r="A24" s="4" t="s">
        <v>350</v>
      </c>
      <c r="B24" s="4" t="s">
        <v>352</v>
      </c>
      <c r="C24" s="4" t="s">
        <v>39</v>
      </c>
      <c r="D24" s="4" t="s">
        <v>39</v>
      </c>
      <c r="E24" s="4" t="s">
        <v>39</v>
      </c>
      <c r="F24" s="4" t="s">
        <v>51</v>
      </c>
      <c r="G24" s="4" t="s">
        <v>52</v>
      </c>
      <c r="H24" s="4" t="s">
        <v>39</v>
      </c>
      <c r="I24" s="4" t="s">
        <v>39</v>
      </c>
      <c r="J24" s="8"/>
      <c r="K24" s="8"/>
      <c r="L24" s="8"/>
    </row>
    <row r="25" customFormat="false" ht="27.75" hidden="false" customHeight="true" outlineLevel="0" collapsed="false">
      <c r="A25" s="4" t="s">
        <v>350</v>
      </c>
      <c r="B25" s="4" t="s">
        <v>353</v>
      </c>
      <c r="C25" s="4" t="s">
        <v>39</v>
      </c>
      <c r="D25" s="4" t="s">
        <v>39</v>
      </c>
      <c r="E25" s="4" t="s">
        <v>39</v>
      </c>
      <c r="F25" s="4" t="s">
        <v>51</v>
      </c>
      <c r="G25" s="4" t="s">
        <v>52</v>
      </c>
      <c r="H25" s="4" t="s">
        <v>39</v>
      </c>
      <c r="I25" s="4" t="s">
        <v>39</v>
      </c>
      <c r="J25" s="8"/>
      <c r="K25" s="8"/>
      <c r="L25" s="8"/>
    </row>
    <row r="26" customFormat="false" ht="27.75" hidden="false" customHeight="true" outlineLevel="0" collapsed="false">
      <c r="A26" s="4" t="s">
        <v>350</v>
      </c>
      <c r="B26" s="4" t="s">
        <v>354</v>
      </c>
      <c r="C26" s="4" t="s">
        <v>39</v>
      </c>
      <c r="D26" s="4" t="s">
        <v>39</v>
      </c>
      <c r="E26" s="4" t="s">
        <v>39</v>
      </c>
      <c r="F26" s="4" t="s">
        <v>38</v>
      </c>
      <c r="G26" s="4" t="s">
        <v>39</v>
      </c>
      <c r="H26" s="4" t="s">
        <v>39</v>
      </c>
      <c r="I26" s="4" t="s">
        <v>39</v>
      </c>
      <c r="J26" s="8"/>
      <c r="K26" s="8"/>
      <c r="L26" s="8"/>
    </row>
    <row r="27" customFormat="false" ht="27.75" hidden="false" customHeight="true" outlineLevel="0" collapsed="false">
      <c r="A27" s="4" t="s">
        <v>350</v>
      </c>
      <c r="B27" s="4" t="s">
        <v>355</v>
      </c>
      <c r="C27" s="4" t="s">
        <v>39</v>
      </c>
      <c r="D27" s="4" t="s">
        <v>39</v>
      </c>
      <c r="E27" s="4" t="s">
        <v>39</v>
      </c>
      <c r="F27" s="4" t="s">
        <v>38</v>
      </c>
      <c r="G27" s="4" t="s">
        <v>39</v>
      </c>
      <c r="H27" s="4" t="s">
        <v>39</v>
      </c>
      <c r="I27" s="4" t="s">
        <v>39</v>
      </c>
      <c r="J27" s="8"/>
      <c r="K27" s="8"/>
      <c r="L27" s="8"/>
    </row>
    <row r="28" customFormat="false" ht="27.75" hidden="false" customHeight="true" outlineLevel="0" collapsed="false">
      <c r="A28" s="4" t="s">
        <v>350</v>
      </c>
      <c r="B28" s="4" t="s">
        <v>356</v>
      </c>
      <c r="C28" s="4" t="s">
        <v>39</v>
      </c>
      <c r="D28" s="4" t="s">
        <v>39</v>
      </c>
      <c r="E28" s="4" t="s">
        <v>39</v>
      </c>
      <c r="F28" s="4" t="s">
        <v>51</v>
      </c>
      <c r="G28" s="4" t="s">
        <v>52</v>
      </c>
      <c r="H28" s="4" t="s">
        <v>39</v>
      </c>
      <c r="I28" s="4" t="s">
        <v>39</v>
      </c>
      <c r="J28" s="8"/>
      <c r="K28" s="8"/>
      <c r="L28" s="8"/>
    </row>
    <row r="29" customFormat="false" ht="27.75" hidden="false" customHeight="true" outlineLevel="0" collapsed="false">
      <c r="A29" s="4" t="s">
        <v>350</v>
      </c>
      <c r="B29" s="4" t="s">
        <v>357</v>
      </c>
      <c r="C29" s="4" t="s">
        <v>39</v>
      </c>
      <c r="D29" s="4" t="s">
        <v>39</v>
      </c>
      <c r="E29" s="4" t="s">
        <v>39</v>
      </c>
      <c r="F29" s="4" t="s">
        <v>51</v>
      </c>
      <c r="G29" s="4" t="s">
        <v>52</v>
      </c>
      <c r="H29" s="4" t="s">
        <v>39</v>
      </c>
      <c r="I29" s="4" t="s">
        <v>39</v>
      </c>
      <c r="J29" s="8"/>
      <c r="K29" s="8"/>
      <c r="L29" s="8"/>
    </row>
    <row r="30" customFormat="false" ht="27.75" hidden="false" customHeight="true" outlineLevel="0" collapsed="false">
      <c r="A30" s="4" t="s">
        <v>358</v>
      </c>
      <c r="B30" s="4" t="s">
        <v>359</v>
      </c>
      <c r="C30" s="4" t="s">
        <v>360</v>
      </c>
      <c r="D30" s="4" t="s">
        <v>39</v>
      </c>
      <c r="E30" s="4" t="s">
        <v>39</v>
      </c>
      <c r="F30" s="4" t="s">
        <v>38</v>
      </c>
      <c r="G30" s="4" t="s">
        <v>39</v>
      </c>
      <c r="H30" s="4" t="s">
        <v>39</v>
      </c>
      <c r="I30" s="4" t="s">
        <v>39</v>
      </c>
      <c r="J30" s="8"/>
      <c r="K30" s="8"/>
      <c r="L30" s="8"/>
    </row>
    <row r="31" customFormat="false" ht="27.75" hidden="false" customHeight="true" outlineLevel="0" collapsed="false">
      <c r="A31" s="4" t="s">
        <v>358</v>
      </c>
      <c r="B31" s="4" t="s">
        <v>361</v>
      </c>
      <c r="C31" s="4" t="s">
        <v>362</v>
      </c>
      <c r="D31" s="4" t="s">
        <v>363</v>
      </c>
      <c r="E31" s="4" t="s">
        <v>39</v>
      </c>
      <c r="F31" s="4" t="s">
        <v>38</v>
      </c>
      <c r="G31" s="4" t="s">
        <v>39</v>
      </c>
      <c r="H31" s="4" t="s">
        <v>39</v>
      </c>
      <c r="I31" s="4" t="s">
        <v>39</v>
      </c>
      <c r="J31" s="8"/>
      <c r="K31" s="8"/>
      <c r="L31" s="8"/>
    </row>
    <row r="32" customFormat="false" ht="27.75" hidden="false" customHeight="true" outlineLevel="0" collapsed="false">
      <c r="A32" s="4" t="s">
        <v>358</v>
      </c>
      <c r="B32" s="4" t="s">
        <v>361</v>
      </c>
      <c r="C32" s="4" t="s">
        <v>362</v>
      </c>
      <c r="D32" s="4" t="s">
        <v>364</v>
      </c>
      <c r="E32" s="4" t="s">
        <v>39</v>
      </c>
      <c r="F32" s="4" t="s">
        <v>64</v>
      </c>
      <c r="G32" s="4" t="s">
        <v>52</v>
      </c>
      <c r="H32" s="4" t="s">
        <v>39</v>
      </c>
      <c r="I32" s="4" t="s">
        <v>39</v>
      </c>
      <c r="J32" s="8"/>
      <c r="K32" s="8"/>
      <c r="L32" s="8"/>
    </row>
    <row r="33" customFormat="false" ht="27.75" hidden="false" customHeight="true" outlineLevel="0" collapsed="false">
      <c r="A33" s="4" t="s">
        <v>358</v>
      </c>
      <c r="B33" s="4" t="s">
        <v>361</v>
      </c>
      <c r="C33" s="4" t="s">
        <v>365</v>
      </c>
      <c r="D33" s="4" t="s">
        <v>366</v>
      </c>
      <c r="E33" s="4" t="s">
        <v>39</v>
      </c>
      <c r="F33" s="4" t="s">
        <v>64</v>
      </c>
      <c r="G33" s="4" t="s">
        <v>52</v>
      </c>
      <c r="H33" s="4" t="s">
        <v>39</v>
      </c>
      <c r="I33" s="4" t="s">
        <v>39</v>
      </c>
      <c r="J33" s="8"/>
      <c r="K33" s="8"/>
      <c r="L33" s="8"/>
    </row>
    <row r="34" customFormat="false" ht="27.75" hidden="false" customHeight="true" outlineLevel="0" collapsed="false">
      <c r="A34" s="4" t="s">
        <v>358</v>
      </c>
      <c r="B34" s="4" t="s">
        <v>367</v>
      </c>
      <c r="C34" s="4" t="s">
        <v>360</v>
      </c>
      <c r="D34" s="4" t="s">
        <v>368</v>
      </c>
      <c r="E34" s="4" t="s">
        <v>39</v>
      </c>
      <c r="F34" s="4" t="s">
        <v>38</v>
      </c>
      <c r="G34" s="4" t="s">
        <v>39</v>
      </c>
      <c r="H34" s="4" t="s">
        <v>39</v>
      </c>
      <c r="I34" s="4" t="s">
        <v>39</v>
      </c>
      <c r="J34" s="8"/>
      <c r="K34" s="8"/>
      <c r="L34" s="8"/>
    </row>
    <row r="35" customFormat="false" ht="27.75" hidden="false" customHeight="true" outlineLevel="0" collapsed="false">
      <c r="A35" s="4" t="s">
        <v>358</v>
      </c>
      <c r="B35" s="4" t="s">
        <v>367</v>
      </c>
      <c r="C35" s="4" t="s">
        <v>360</v>
      </c>
      <c r="D35" s="4" t="s">
        <v>369</v>
      </c>
      <c r="E35" s="4" t="s">
        <v>39</v>
      </c>
      <c r="F35" s="4" t="s">
        <v>59</v>
      </c>
      <c r="G35" s="4" t="s">
        <v>52</v>
      </c>
      <c r="H35" s="4" t="s">
        <v>39</v>
      </c>
      <c r="I35" s="4" t="s">
        <v>39</v>
      </c>
      <c r="J35" s="8"/>
      <c r="K35" s="8"/>
      <c r="L35" s="8"/>
    </row>
    <row r="36" customFormat="false" ht="27.75" hidden="false" customHeight="true" outlineLevel="0" collapsed="false">
      <c r="A36" s="4" t="s">
        <v>370</v>
      </c>
      <c r="B36" s="4" t="s">
        <v>371</v>
      </c>
      <c r="C36" s="4" t="s">
        <v>372</v>
      </c>
      <c r="D36" s="4" t="s">
        <v>373</v>
      </c>
      <c r="E36" s="4" t="s">
        <v>374</v>
      </c>
      <c r="F36" s="4" t="s">
        <v>137</v>
      </c>
      <c r="G36" s="4" t="s">
        <v>96</v>
      </c>
      <c r="H36" s="4" t="s">
        <v>39</v>
      </c>
      <c r="I36" s="4" t="s">
        <v>119</v>
      </c>
      <c r="J36" s="8"/>
      <c r="K36" s="8"/>
      <c r="L36" s="8"/>
    </row>
    <row r="37" customFormat="false" ht="27.75" hidden="false" customHeight="true" outlineLevel="0" collapsed="false">
      <c r="A37" s="4" t="s">
        <v>370</v>
      </c>
      <c r="B37" s="4" t="s">
        <v>371</v>
      </c>
      <c r="C37" s="4" t="s">
        <v>375</v>
      </c>
      <c r="D37" s="4" t="s">
        <v>373</v>
      </c>
      <c r="E37" s="4" t="s">
        <v>374</v>
      </c>
      <c r="F37" s="4" t="s">
        <v>137</v>
      </c>
      <c r="G37" s="4" t="s">
        <v>96</v>
      </c>
      <c r="H37" s="4" t="s">
        <v>39</v>
      </c>
      <c r="I37" s="4" t="s">
        <v>57</v>
      </c>
      <c r="J37" s="8"/>
      <c r="K37" s="8"/>
      <c r="L37" s="8"/>
    </row>
    <row r="38" customFormat="false" ht="27.75" hidden="false" customHeight="true" outlineLevel="0" collapsed="false">
      <c r="A38" s="4" t="s">
        <v>370</v>
      </c>
      <c r="B38" s="4" t="s">
        <v>376</v>
      </c>
      <c r="C38" s="4" t="s">
        <v>372</v>
      </c>
      <c r="D38" s="4" t="s">
        <v>377</v>
      </c>
      <c r="E38" s="4" t="s">
        <v>374</v>
      </c>
      <c r="F38" s="4" t="s">
        <v>38</v>
      </c>
      <c r="G38" s="4" t="s">
        <v>39</v>
      </c>
      <c r="H38" s="4" t="s">
        <v>39</v>
      </c>
      <c r="I38" s="4" t="s">
        <v>119</v>
      </c>
      <c r="J38" s="8"/>
      <c r="K38" s="8"/>
      <c r="L38" s="8"/>
    </row>
    <row r="39" customFormat="false" ht="27.75" hidden="false" customHeight="true" outlineLevel="0" collapsed="false">
      <c r="A39" s="4" t="s">
        <v>370</v>
      </c>
      <c r="B39" s="4" t="s">
        <v>376</v>
      </c>
      <c r="C39" s="4" t="s">
        <v>372</v>
      </c>
      <c r="D39" s="4" t="s">
        <v>378</v>
      </c>
      <c r="E39" s="4" t="s">
        <v>374</v>
      </c>
      <c r="F39" s="4" t="s">
        <v>147</v>
      </c>
      <c r="G39" s="4" t="s">
        <v>76</v>
      </c>
      <c r="H39" s="4" t="s">
        <v>379</v>
      </c>
      <c r="I39" s="4" t="s">
        <v>119</v>
      </c>
      <c r="J39" s="8"/>
      <c r="K39" s="8"/>
      <c r="L39" s="8"/>
    </row>
    <row r="40" customFormat="false" ht="27.75" hidden="false" customHeight="true" outlineLevel="0" collapsed="false">
      <c r="A40" s="4" t="s">
        <v>370</v>
      </c>
      <c r="B40" s="4" t="s">
        <v>376</v>
      </c>
      <c r="C40" s="4" t="s">
        <v>372</v>
      </c>
      <c r="D40" s="4" t="s">
        <v>380</v>
      </c>
      <c r="E40" s="4" t="s">
        <v>374</v>
      </c>
      <c r="F40" s="4" t="s">
        <v>137</v>
      </c>
      <c r="G40" s="4" t="s">
        <v>96</v>
      </c>
      <c r="H40" s="4" t="s">
        <v>39</v>
      </c>
      <c r="I40" s="4" t="s">
        <v>119</v>
      </c>
      <c r="J40" s="8"/>
      <c r="K40" s="8"/>
      <c r="L40" s="8"/>
    </row>
    <row r="41" customFormat="false" ht="27.75" hidden="false" customHeight="true" outlineLevel="0" collapsed="false">
      <c r="A41" s="4" t="s">
        <v>370</v>
      </c>
      <c r="B41" s="4" t="s">
        <v>376</v>
      </c>
      <c r="C41" s="4" t="s">
        <v>372</v>
      </c>
      <c r="D41" s="4" t="s">
        <v>381</v>
      </c>
      <c r="E41" s="4" t="s">
        <v>374</v>
      </c>
      <c r="F41" s="4" t="s">
        <v>382</v>
      </c>
      <c r="G41" s="4" t="s">
        <v>383</v>
      </c>
      <c r="H41" s="4" t="s">
        <v>379</v>
      </c>
      <c r="I41" s="4" t="s">
        <v>119</v>
      </c>
      <c r="J41" s="8"/>
      <c r="K41" s="8"/>
      <c r="L41" s="8"/>
    </row>
    <row r="42" customFormat="false" ht="27.75" hidden="false" customHeight="true" outlineLevel="0" collapsed="false">
      <c r="A42" s="4" t="s">
        <v>370</v>
      </c>
      <c r="B42" s="4" t="s">
        <v>376</v>
      </c>
      <c r="C42" s="4" t="s">
        <v>384</v>
      </c>
      <c r="D42" s="4" t="s">
        <v>377</v>
      </c>
      <c r="E42" s="4" t="s">
        <v>374</v>
      </c>
      <c r="F42" s="4" t="s">
        <v>38</v>
      </c>
      <c r="G42" s="4" t="s">
        <v>39</v>
      </c>
      <c r="H42" s="4" t="s">
        <v>39</v>
      </c>
      <c r="I42" s="4" t="s">
        <v>57</v>
      </c>
      <c r="J42" s="8"/>
      <c r="K42" s="8"/>
      <c r="L42" s="8"/>
    </row>
    <row r="43" customFormat="false" ht="27.75" hidden="false" customHeight="true" outlineLevel="0" collapsed="false">
      <c r="A43" s="4" t="s">
        <v>370</v>
      </c>
      <c r="B43" s="4" t="s">
        <v>376</v>
      </c>
      <c r="C43" s="4" t="s">
        <v>384</v>
      </c>
      <c r="D43" s="4" t="s">
        <v>378</v>
      </c>
      <c r="E43" s="4" t="s">
        <v>374</v>
      </c>
      <c r="F43" s="4" t="s">
        <v>152</v>
      </c>
      <c r="G43" s="4" t="s">
        <v>76</v>
      </c>
      <c r="H43" s="4" t="s">
        <v>39</v>
      </c>
      <c r="I43" s="4" t="s">
        <v>57</v>
      </c>
      <c r="J43" s="8"/>
      <c r="K43" s="8"/>
      <c r="L43" s="8"/>
    </row>
    <row r="44" customFormat="false" ht="27.75" hidden="false" customHeight="true" outlineLevel="0" collapsed="false">
      <c r="A44" s="4" t="s">
        <v>370</v>
      </c>
      <c r="B44" s="4" t="s">
        <v>376</v>
      </c>
      <c r="C44" s="4" t="s">
        <v>384</v>
      </c>
      <c r="D44" s="4" t="s">
        <v>380</v>
      </c>
      <c r="E44" s="4" t="s">
        <v>374</v>
      </c>
      <c r="F44" s="4" t="s">
        <v>137</v>
      </c>
      <c r="G44" s="4" t="s">
        <v>96</v>
      </c>
      <c r="H44" s="4" t="s">
        <v>39</v>
      </c>
      <c r="I44" s="4" t="s">
        <v>57</v>
      </c>
      <c r="J44" s="8"/>
      <c r="K44" s="8"/>
      <c r="L44" s="8"/>
    </row>
    <row r="45" customFormat="false" ht="27.75" hidden="false" customHeight="true" outlineLevel="0" collapsed="false">
      <c r="A45" s="4" t="s">
        <v>370</v>
      </c>
      <c r="B45" s="4" t="s">
        <v>376</v>
      </c>
      <c r="C45" s="4" t="s">
        <v>384</v>
      </c>
      <c r="D45" s="4" t="s">
        <v>381</v>
      </c>
      <c r="E45" s="4" t="s">
        <v>374</v>
      </c>
      <c r="F45" s="4" t="s">
        <v>385</v>
      </c>
      <c r="G45" s="4" t="s">
        <v>383</v>
      </c>
      <c r="H45" s="4" t="s">
        <v>39</v>
      </c>
      <c r="I45" s="4" t="s">
        <v>57</v>
      </c>
      <c r="J45" s="8"/>
      <c r="K45" s="8"/>
      <c r="L45" s="8"/>
    </row>
    <row r="46" customFormat="false" ht="27.75" hidden="false" customHeight="true" outlineLevel="0" collapsed="false">
      <c r="A46" s="4" t="s">
        <v>370</v>
      </c>
      <c r="B46" s="4" t="s">
        <v>376</v>
      </c>
      <c r="C46" s="4" t="s">
        <v>375</v>
      </c>
      <c r="D46" s="4" t="s">
        <v>377</v>
      </c>
      <c r="E46" s="4" t="s">
        <v>374</v>
      </c>
      <c r="F46" s="4" t="s">
        <v>38</v>
      </c>
      <c r="G46" s="4" t="s">
        <v>39</v>
      </c>
      <c r="H46" s="4" t="s">
        <v>39</v>
      </c>
      <c r="I46" s="4" t="s">
        <v>57</v>
      </c>
      <c r="J46" s="8"/>
      <c r="K46" s="8"/>
      <c r="L46" s="8"/>
    </row>
    <row r="47" customFormat="false" ht="27.75" hidden="false" customHeight="true" outlineLevel="0" collapsed="false">
      <c r="A47" s="4" t="s">
        <v>370</v>
      </c>
      <c r="B47" s="4" t="s">
        <v>376</v>
      </c>
      <c r="C47" s="4" t="s">
        <v>375</v>
      </c>
      <c r="D47" s="4" t="s">
        <v>378</v>
      </c>
      <c r="E47" s="4" t="s">
        <v>374</v>
      </c>
      <c r="F47" s="4" t="s">
        <v>156</v>
      </c>
      <c r="G47" s="4" t="s">
        <v>76</v>
      </c>
      <c r="H47" s="4" t="s">
        <v>39</v>
      </c>
      <c r="I47" s="4" t="s">
        <v>57</v>
      </c>
      <c r="J47" s="8"/>
      <c r="K47" s="8"/>
      <c r="L47" s="8"/>
    </row>
    <row r="48" customFormat="false" ht="27.75" hidden="false" customHeight="true" outlineLevel="0" collapsed="false">
      <c r="A48" s="4" t="s">
        <v>370</v>
      </c>
      <c r="B48" s="4" t="s">
        <v>376</v>
      </c>
      <c r="C48" s="4" t="s">
        <v>375</v>
      </c>
      <c r="D48" s="4" t="s">
        <v>380</v>
      </c>
      <c r="E48" s="4" t="s">
        <v>374</v>
      </c>
      <c r="F48" s="4" t="s">
        <v>137</v>
      </c>
      <c r="G48" s="4" t="s">
        <v>96</v>
      </c>
      <c r="H48" s="4" t="s">
        <v>39</v>
      </c>
      <c r="I48" s="4" t="s">
        <v>57</v>
      </c>
      <c r="J48" s="8"/>
      <c r="K48" s="8"/>
      <c r="L48" s="8"/>
    </row>
    <row r="49" customFormat="false" ht="27.75" hidden="false" customHeight="true" outlineLevel="0" collapsed="false">
      <c r="A49" s="4" t="s">
        <v>370</v>
      </c>
      <c r="B49" s="4" t="s">
        <v>376</v>
      </c>
      <c r="C49" s="4" t="s">
        <v>375</v>
      </c>
      <c r="D49" s="4" t="s">
        <v>381</v>
      </c>
      <c r="E49" s="4" t="s">
        <v>374</v>
      </c>
      <c r="F49" s="4" t="s">
        <v>386</v>
      </c>
      <c r="G49" s="4" t="s">
        <v>383</v>
      </c>
      <c r="H49" s="4" t="s">
        <v>39</v>
      </c>
      <c r="I49" s="4" t="s">
        <v>57</v>
      </c>
      <c r="J49" s="8"/>
      <c r="K49" s="8"/>
      <c r="L49" s="8"/>
    </row>
    <row r="50" customFormat="false" ht="27.75" hidden="false" customHeight="true" outlineLevel="0" collapsed="false">
      <c r="A50" s="4" t="s">
        <v>370</v>
      </c>
      <c r="B50" s="4" t="s">
        <v>387</v>
      </c>
      <c r="C50" s="4" t="s">
        <v>372</v>
      </c>
      <c r="D50" s="4" t="s">
        <v>377</v>
      </c>
      <c r="E50" s="4" t="s">
        <v>374</v>
      </c>
      <c r="F50" s="4" t="s">
        <v>38</v>
      </c>
      <c r="G50" s="4" t="s">
        <v>39</v>
      </c>
      <c r="H50" s="4" t="s">
        <v>39</v>
      </c>
      <c r="I50" s="4" t="s">
        <v>119</v>
      </c>
      <c r="J50" s="8"/>
      <c r="K50" s="8"/>
      <c r="L50" s="8"/>
    </row>
    <row r="51" customFormat="false" ht="27.75" hidden="false" customHeight="true" outlineLevel="0" collapsed="false">
      <c r="A51" s="4" t="s">
        <v>370</v>
      </c>
      <c r="B51" s="4" t="s">
        <v>387</v>
      </c>
      <c r="C51" s="4" t="s">
        <v>372</v>
      </c>
      <c r="D51" s="4" t="s">
        <v>378</v>
      </c>
      <c r="E51" s="4" t="s">
        <v>374</v>
      </c>
      <c r="F51" s="4" t="s">
        <v>147</v>
      </c>
      <c r="G51" s="4" t="s">
        <v>76</v>
      </c>
      <c r="H51" s="4" t="s">
        <v>379</v>
      </c>
      <c r="I51" s="4" t="s">
        <v>119</v>
      </c>
      <c r="J51" s="8"/>
      <c r="K51" s="8"/>
      <c r="L51" s="8"/>
    </row>
    <row r="52" customFormat="false" ht="27.75" hidden="false" customHeight="true" outlineLevel="0" collapsed="false">
      <c r="A52" s="4" t="s">
        <v>370</v>
      </c>
      <c r="B52" s="4" t="s">
        <v>387</v>
      </c>
      <c r="C52" s="4" t="s">
        <v>372</v>
      </c>
      <c r="D52" s="4" t="s">
        <v>380</v>
      </c>
      <c r="E52" s="4" t="s">
        <v>374</v>
      </c>
      <c r="F52" s="4" t="s">
        <v>137</v>
      </c>
      <c r="G52" s="4" t="s">
        <v>96</v>
      </c>
      <c r="H52" s="4" t="s">
        <v>39</v>
      </c>
      <c r="I52" s="4" t="s">
        <v>119</v>
      </c>
      <c r="J52" s="8"/>
      <c r="K52" s="8"/>
      <c r="L52" s="8"/>
    </row>
    <row r="53" customFormat="false" ht="27.75" hidden="false" customHeight="true" outlineLevel="0" collapsed="false">
      <c r="A53" s="4" t="s">
        <v>370</v>
      </c>
      <c r="B53" s="4" t="s">
        <v>387</v>
      </c>
      <c r="C53" s="4" t="s">
        <v>372</v>
      </c>
      <c r="D53" s="4" t="s">
        <v>381</v>
      </c>
      <c r="E53" s="4" t="s">
        <v>374</v>
      </c>
      <c r="F53" s="4" t="s">
        <v>382</v>
      </c>
      <c r="G53" s="4" t="s">
        <v>383</v>
      </c>
      <c r="H53" s="4" t="s">
        <v>379</v>
      </c>
      <c r="I53" s="4" t="s">
        <v>119</v>
      </c>
      <c r="J53" s="8"/>
      <c r="K53" s="8"/>
      <c r="L53" s="8"/>
    </row>
    <row r="54" customFormat="false" ht="27.75" hidden="false" customHeight="true" outlineLevel="0" collapsed="false">
      <c r="A54" s="4" t="s">
        <v>370</v>
      </c>
      <c r="B54" s="4" t="s">
        <v>387</v>
      </c>
      <c r="C54" s="4" t="s">
        <v>384</v>
      </c>
      <c r="D54" s="4" t="s">
        <v>377</v>
      </c>
      <c r="E54" s="4" t="s">
        <v>374</v>
      </c>
      <c r="F54" s="4" t="s">
        <v>38</v>
      </c>
      <c r="G54" s="4" t="s">
        <v>39</v>
      </c>
      <c r="H54" s="4" t="s">
        <v>39</v>
      </c>
      <c r="I54" s="4" t="s">
        <v>57</v>
      </c>
      <c r="J54" s="8"/>
      <c r="K54" s="8"/>
      <c r="L54" s="8"/>
    </row>
    <row r="55" customFormat="false" ht="27.75" hidden="false" customHeight="true" outlineLevel="0" collapsed="false">
      <c r="A55" s="4" t="s">
        <v>370</v>
      </c>
      <c r="B55" s="4" t="s">
        <v>387</v>
      </c>
      <c r="C55" s="4" t="s">
        <v>384</v>
      </c>
      <c r="D55" s="4" t="s">
        <v>378</v>
      </c>
      <c r="E55" s="4" t="s">
        <v>374</v>
      </c>
      <c r="F55" s="4" t="s">
        <v>152</v>
      </c>
      <c r="G55" s="4" t="s">
        <v>76</v>
      </c>
      <c r="H55" s="4" t="s">
        <v>39</v>
      </c>
      <c r="I55" s="4" t="s">
        <v>57</v>
      </c>
      <c r="J55" s="8"/>
      <c r="K55" s="8"/>
      <c r="L55" s="8"/>
    </row>
    <row r="56" customFormat="false" ht="27.75" hidden="false" customHeight="true" outlineLevel="0" collapsed="false">
      <c r="A56" s="4" t="s">
        <v>370</v>
      </c>
      <c r="B56" s="4" t="s">
        <v>387</v>
      </c>
      <c r="C56" s="4" t="s">
        <v>384</v>
      </c>
      <c r="D56" s="4" t="s">
        <v>380</v>
      </c>
      <c r="E56" s="4" t="s">
        <v>374</v>
      </c>
      <c r="F56" s="4" t="s">
        <v>137</v>
      </c>
      <c r="G56" s="4" t="s">
        <v>96</v>
      </c>
      <c r="H56" s="4" t="s">
        <v>39</v>
      </c>
      <c r="I56" s="4" t="s">
        <v>57</v>
      </c>
      <c r="J56" s="8"/>
      <c r="K56" s="8"/>
      <c r="L56" s="8"/>
    </row>
    <row r="57" customFormat="false" ht="27.75" hidden="false" customHeight="true" outlineLevel="0" collapsed="false">
      <c r="A57" s="4" t="s">
        <v>370</v>
      </c>
      <c r="B57" s="4" t="s">
        <v>387</v>
      </c>
      <c r="C57" s="4" t="s">
        <v>384</v>
      </c>
      <c r="D57" s="4" t="s">
        <v>381</v>
      </c>
      <c r="E57" s="4" t="s">
        <v>374</v>
      </c>
      <c r="F57" s="4" t="s">
        <v>385</v>
      </c>
      <c r="G57" s="4" t="s">
        <v>383</v>
      </c>
      <c r="H57" s="4" t="s">
        <v>39</v>
      </c>
      <c r="I57" s="4" t="s">
        <v>57</v>
      </c>
      <c r="J57" s="8"/>
      <c r="K57" s="8"/>
      <c r="L57" s="8"/>
    </row>
    <row r="58" customFormat="false" ht="27.75" hidden="false" customHeight="true" outlineLevel="0" collapsed="false">
      <c r="A58" s="4" t="s">
        <v>370</v>
      </c>
      <c r="B58" s="4" t="s">
        <v>387</v>
      </c>
      <c r="C58" s="4" t="s">
        <v>375</v>
      </c>
      <c r="D58" s="4" t="s">
        <v>377</v>
      </c>
      <c r="E58" s="4" t="s">
        <v>374</v>
      </c>
      <c r="F58" s="4" t="s">
        <v>38</v>
      </c>
      <c r="G58" s="4" t="s">
        <v>39</v>
      </c>
      <c r="H58" s="4" t="s">
        <v>39</v>
      </c>
      <c r="I58" s="4" t="s">
        <v>57</v>
      </c>
      <c r="J58" s="8"/>
      <c r="K58" s="8"/>
      <c r="L58" s="8"/>
    </row>
    <row r="59" customFormat="false" ht="27.75" hidden="false" customHeight="true" outlineLevel="0" collapsed="false">
      <c r="A59" s="4" t="s">
        <v>370</v>
      </c>
      <c r="B59" s="4" t="s">
        <v>387</v>
      </c>
      <c r="C59" s="4" t="s">
        <v>375</v>
      </c>
      <c r="D59" s="4" t="s">
        <v>378</v>
      </c>
      <c r="E59" s="4" t="s">
        <v>374</v>
      </c>
      <c r="F59" s="4" t="s">
        <v>156</v>
      </c>
      <c r="G59" s="4" t="s">
        <v>76</v>
      </c>
      <c r="H59" s="4" t="s">
        <v>39</v>
      </c>
      <c r="I59" s="4" t="s">
        <v>57</v>
      </c>
      <c r="J59" s="8"/>
      <c r="K59" s="8"/>
      <c r="L59" s="8"/>
    </row>
    <row r="60" customFormat="false" ht="27.75" hidden="false" customHeight="true" outlineLevel="0" collapsed="false">
      <c r="A60" s="4" t="s">
        <v>370</v>
      </c>
      <c r="B60" s="4" t="s">
        <v>387</v>
      </c>
      <c r="C60" s="4" t="s">
        <v>375</v>
      </c>
      <c r="D60" s="4" t="s">
        <v>380</v>
      </c>
      <c r="E60" s="4" t="s">
        <v>374</v>
      </c>
      <c r="F60" s="4" t="s">
        <v>137</v>
      </c>
      <c r="G60" s="4" t="s">
        <v>96</v>
      </c>
      <c r="H60" s="4" t="s">
        <v>39</v>
      </c>
      <c r="I60" s="4" t="s">
        <v>57</v>
      </c>
      <c r="J60" s="8"/>
      <c r="K60" s="8"/>
      <c r="L60" s="8"/>
    </row>
    <row r="61" customFormat="false" ht="27.75" hidden="false" customHeight="true" outlineLevel="0" collapsed="false">
      <c r="A61" s="4" t="s">
        <v>370</v>
      </c>
      <c r="B61" s="4" t="s">
        <v>387</v>
      </c>
      <c r="C61" s="4" t="s">
        <v>375</v>
      </c>
      <c r="D61" s="4" t="s">
        <v>381</v>
      </c>
      <c r="E61" s="4" t="s">
        <v>374</v>
      </c>
      <c r="F61" s="4" t="s">
        <v>386</v>
      </c>
      <c r="G61" s="4" t="s">
        <v>383</v>
      </c>
      <c r="H61" s="4" t="s">
        <v>39</v>
      </c>
      <c r="I61" s="4" t="s">
        <v>57</v>
      </c>
      <c r="J61" s="8"/>
      <c r="K61" s="8"/>
      <c r="L61" s="8"/>
    </row>
    <row r="62" customFormat="false" ht="27.75" hidden="false" customHeight="true" outlineLevel="0" collapsed="false">
      <c r="A62" s="4" t="s">
        <v>370</v>
      </c>
      <c r="B62" s="4" t="s">
        <v>388</v>
      </c>
      <c r="C62" s="4" t="s">
        <v>372</v>
      </c>
      <c r="D62" s="4" t="s">
        <v>389</v>
      </c>
      <c r="E62" s="4" t="s">
        <v>374</v>
      </c>
      <c r="F62" s="4" t="s">
        <v>38</v>
      </c>
      <c r="G62" s="4" t="s">
        <v>39</v>
      </c>
      <c r="H62" s="4" t="s">
        <v>39</v>
      </c>
      <c r="I62" s="4" t="s">
        <v>119</v>
      </c>
      <c r="J62" s="8"/>
      <c r="K62" s="8"/>
      <c r="L62" s="8"/>
    </row>
    <row r="63" customFormat="false" ht="27.75" hidden="false" customHeight="true" outlineLevel="0" collapsed="false">
      <c r="A63" s="4" t="s">
        <v>370</v>
      </c>
      <c r="B63" s="4" t="s">
        <v>388</v>
      </c>
      <c r="C63" s="4" t="s">
        <v>372</v>
      </c>
      <c r="D63" s="4" t="s">
        <v>390</v>
      </c>
      <c r="E63" s="4" t="s">
        <v>374</v>
      </c>
      <c r="F63" s="4" t="s">
        <v>147</v>
      </c>
      <c r="G63" s="4" t="s">
        <v>76</v>
      </c>
      <c r="H63" s="4" t="s">
        <v>379</v>
      </c>
      <c r="I63" s="4" t="s">
        <v>119</v>
      </c>
      <c r="J63" s="8"/>
      <c r="K63" s="8"/>
      <c r="L63" s="8"/>
    </row>
    <row r="64" customFormat="false" ht="27.75" hidden="false" customHeight="true" outlineLevel="0" collapsed="false">
      <c r="A64" s="4" t="s">
        <v>370</v>
      </c>
      <c r="B64" s="4" t="s">
        <v>388</v>
      </c>
      <c r="C64" s="4" t="s">
        <v>384</v>
      </c>
      <c r="D64" s="4" t="s">
        <v>389</v>
      </c>
      <c r="E64" s="4" t="s">
        <v>374</v>
      </c>
      <c r="F64" s="4" t="s">
        <v>38</v>
      </c>
      <c r="G64" s="4" t="s">
        <v>39</v>
      </c>
      <c r="H64" s="4" t="s">
        <v>39</v>
      </c>
      <c r="I64" s="4" t="s">
        <v>57</v>
      </c>
      <c r="J64" s="8"/>
      <c r="K64" s="8"/>
      <c r="L64" s="8"/>
    </row>
    <row r="65" customFormat="false" ht="27.75" hidden="false" customHeight="true" outlineLevel="0" collapsed="false">
      <c r="A65" s="4" t="s">
        <v>370</v>
      </c>
      <c r="B65" s="4" t="s">
        <v>388</v>
      </c>
      <c r="C65" s="4" t="s">
        <v>384</v>
      </c>
      <c r="D65" s="4" t="s">
        <v>390</v>
      </c>
      <c r="E65" s="4" t="s">
        <v>374</v>
      </c>
      <c r="F65" s="4" t="s">
        <v>152</v>
      </c>
      <c r="G65" s="4" t="s">
        <v>76</v>
      </c>
      <c r="H65" s="4" t="s">
        <v>39</v>
      </c>
      <c r="I65" s="4" t="s">
        <v>57</v>
      </c>
      <c r="J65" s="8"/>
      <c r="K65" s="8"/>
      <c r="L65" s="8"/>
    </row>
    <row r="66" customFormat="false" ht="27.75" hidden="false" customHeight="true" outlineLevel="0" collapsed="false">
      <c r="A66" s="4" t="s">
        <v>370</v>
      </c>
      <c r="B66" s="4" t="s">
        <v>388</v>
      </c>
      <c r="C66" s="4" t="s">
        <v>375</v>
      </c>
      <c r="D66" s="4" t="s">
        <v>389</v>
      </c>
      <c r="E66" s="4" t="s">
        <v>374</v>
      </c>
      <c r="F66" s="4" t="s">
        <v>38</v>
      </c>
      <c r="G66" s="4" t="s">
        <v>39</v>
      </c>
      <c r="H66" s="4" t="s">
        <v>39</v>
      </c>
      <c r="I66" s="4" t="s">
        <v>57</v>
      </c>
      <c r="J66" s="8"/>
      <c r="K66" s="8"/>
      <c r="L66" s="8"/>
    </row>
    <row r="67" customFormat="false" ht="27.75" hidden="false" customHeight="true" outlineLevel="0" collapsed="false">
      <c r="A67" s="4" t="s">
        <v>370</v>
      </c>
      <c r="B67" s="4" t="s">
        <v>388</v>
      </c>
      <c r="C67" s="4" t="s">
        <v>375</v>
      </c>
      <c r="D67" s="4" t="s">
        <v>390</v>
      </c>
      <c r="E67" s="4" t="s">
        <v>374</v>
      </c>
      <c r="F67" s="4" t="s">
        <v>156</v>
      </c>
      <c r="G67" s="4" t="s">
        <v>76</v>
      </c>
      <c r="H67" s="4" t="s">
        <v>39</v>
      </c>
      <c r="I67" s="4" t="s">
        <v>57</v>
      </c>
      <c r="J67" s="8"/>
      <c r="K67" s="8"/>
      <c r="L67" s="8"/>
    </row>
    <row r="68" customFormat="false" ht="27.75" hidden="false" customHeight="true" outlineLevel="0" collapsed="false">
      <c r="A68" s="4" t="s">
        <v>370</v>
      </c>
      <c r="B68" s="4" t="s">
        <v>391</v>
      </c>
      <c r="C68" s="4" t="s">
        <v>372</v>
      </c>
      <c r="D68" s="4" t="s">
        <v>389</v>
      </c>
      <c r="E68" s="4" t="s">
        <v>392</v>
      </c>
      <c r="F68" s="4" t="s">
        <v>38</v>
      </c>
      <c r="G68" s="4" t="s">
        <v>39</v>
      </c>
      <c r="H68" s="4" t="s">
        <v>39</v>
      </c>
      <c r="I68" s="4" t="s">
        <v>119</v>
      </c>
      <c r="J68" s="8"/>
      <c r="K68" s="8"/>
      <c r="L68" s="8"/>
    </row>
    <row r="69" customFormat="false" ht="27.75" hidden="false" customHeight="true" outlineLevel="0" collapsed="false">
      <c r="A69" s="4" t="s">
        <v>370</v>
      </c>
      <c r="B69" s="4" t="s">
        <v>391</v>
      </c>
      <c r="C69" s="4" t="s">
        <v>372</v>
      </c>
      <c r="D69" s="4" t="s">
        <v>390</v>
      </c>
      <c r="E69" s="4" t="s">
        <v>392</v>
      </c>
      <c r="F69" s="4" t="s">
        <v>147</v>
      </c>
      <c r="G69" s="4" t="s">
        <v>76</v>
      </c>
      <c r="H69" s="4" t="s">
        <v>379</v>
      </c>
      <c r="I69" s="4" t="s">
        <v>119</v>
      </c>
      <c r="J69" s="8"/>
      <c r="K69" s="8"/>
      <c r="L69" s="8"/>
    </row>
    <row r="70" customFormat="false" ht="27.75" hidden="false" customHeight="true" outlineLevel="0" collapsed="false">
      <c r="A70" s="4" t="s">
        <v>370</v>
      </c>
      <c r="B70" s="4" t="s">
        <v>391</v>
      </c>
      <c r="C70" s="4" t="s">
        <v>384</v>
      </c>
      <c r="D70" s="4" t="s">
        <v>389</v>
      </c>
      <c r="E70" s="4" t="s">
        <v>392</v>
      </c>
      <c r="F70" s="4" t="s">
        <v>38</v>
      </c>
      <c r="G70" s="4" t="s">
        <v>39</v>
      </c>
      <c r="H70" s="4" t="s">
        <v>39</v>
      </c>
      <c r="I70" s="4" t="s">
        <v>57</v>
      </c>
      <c r="J70" s="8"/>
      <c r="K70" s="8"/>
      <c r="L70" s="8"/>
    </row>
    <row r="71" customFormat="false" ht="27.75" hidden="false" customHeight="true" outlineLevel="0" collapsed="false">
      <c r="A71" s="4" t="s">
        <v>370</v>
      </c>
      <c r="B71" s="4" t="s">
        <v>391</v>
      </c>
      <c r="C71" s="4" t="s">
        <v>384</v>
      </c>
      <c r="D71" s="4" t="s">
        <v>390</v>
      </c>
      <c r="E71" s="4" t="s">
        <v>392</v>
      </c>
      <c r="F71" s="4" t="s">
        <v>152</v>
      </c>
      <c r="G71" s="4" t="s">
        <v>76</v>
      </c>
      <c r="H71" s="4" t="s">
        <v>39</v>
      </c>
      <c r="I71" s="4" t="s">
        <v>57</v>
      </c>
      <c r="J71" s="8"/>
      <c r="K71" s="8"/>
      <c r="L71" s="8"/>
    </row>
    <row r="72" customFormat="false" ht="27.75" hidden="false" customHeight="true" outlineLevel="0" collapsed="false">
      <c r="A72" s="4" t="s">
        <v>370</v>
      </c>
      <c r="B72" s="4" t="s">
        <v>391</v>
      </c>
      <c r="C72" s="4" t="s">
        <v>375</v>
      </c>
      <c r="D72" s="4" t="s">
        <v>389</v>
      </c>
      <c r="E72" s="4" t="s">
        <v>392</v>
      </c>
      <c r="F72" s="4" t="s">
        <v>38</v>
      </c>
      <c r="G72" s="4" t="s">
        <v>39</v>
      </c>
      <c r="H72" s="4" t="s">
        <v>39</v>
      </c>
      <c r="I72" s="4" t="s">
        <v>57</v>
      </c>
      <c r="J72" s="8"/>
      <c r="K72" s="8"/>
      <c r="L72" s="8"/>
    </row>
    <row r="73" customFormat="false" ht="27.75" hidden="false" customHeight="true" outlineLevel="0" collapsed="false">
      <c r="A73" s="4" t="s">
        <v>370</v>
      </c>
      <c r="B73" s="4" t="s">
        <v>391</v>
      </c>
      <c r="C73" s="4" t="s">
        <v>375</v>
      </c>
      <c r="D73" s="4" t="s">
        <v>390</v>
      </c>
      <c r="E73" s="4" t="s">
        <v>392</v>
      </c>
      <c r="F73" s="4" t="s">
        <v>156</v>
      </c>
      <c r="G73" s="4" t="s">
        <v>76</v>
      </c>
      <c r="H73" s="4" t="s">
        <v>39</v>
      </c>
      <c r="I73" s="4" t="s">
        <v>57</v>
      </c>
      <c r="J73" s="8"/>
      <c r="K73" s="8"/>
      <c r="L73" s="8"/>
    </row>
    <row r="74" customFormat="false" ht="27.75" hidden="false" customHeight="true" outlineLevel="0" collapsed="false">
      <c r="A74" s="4" t="s">
        <v>393</v>
      </c>
      <c r="B74" s="4" t="s">
        <v>394</v>
      </c>
      <c r="C74" s="4" t="s">
        <v>395</v>
      </c>
      <c r="D74" s="4" t="s">
        <v>39</v>
      </c>
      <c r="E74" s="4" t="s">
        <v>39</v>
      </c>
      <c r="F74" s="4" t="s">
        <v>38</v>
      </c>
      <c r="G74" s="4" t="s">
        <v>39</v>
      </c>
      <c r="H74" s="4" t="s">
        <v>39</v>
      </c>
      <c r="I74" s="4" t="s">
        <v>39</v>
      </c>
      <c r="J74" s="8"/>
      <c r="K74" s="8"/>
      <c r="L74" s="8"/>
    </row>
    <row r="75" customFormat="false" ht="27.75" hidden="false" customHeight="true" outlineLevel="0" collapsed="false">
      <c r="A75" s="4" t="s">
        <v>393</v>
      </c>
      <c r="B75" s="4" t="s">
        <v>183</v>
      </c>
      <c r="C75" s="4" t="s">
        <v>395</v>
      </c>
      <c r="D75" s="4" t="s">
        <v>39</v>
      </c>
      <c r="E75" s="4" t="s">
        <v>39</v>
      </c>
      <c r="F75" s="4" t="s">
        <v>173</v>
      </c>
      <c r="G75" s="4" t="s">
        <v>174</v>
      </c>
      <c r="H75" s="4" t="s">
        <v>39</v>
      </c>
      <c r="I75" s="4" t="s">
        <v>39</v>
      </c>
      <c r="J75" s="8"/>
      <c r="K75" s="8"/>
      <c r="L75" s="8"/>
    </row>
    <row r="76" customFormat="false" ht="27.75" hidden="false" customHeight="true" outlineLevel="0" collapsed="false">
      <c r="A76" s="4" t="s">
        <v>393</v>
      </c>
      <c r="B76" s="4" t="s">
        <v>396</v>
      </c>
      <c r="C76" s="4" t="s">
        <v>395</v>
      </c>
      <c r="D76" s="4" t="s">
        <v>39</v>
      </c>
      <c r="E76" s="4" t="s">
        <v>39</v>
      </c>
      <c r="F76" s="4" t="s">
        <v>38</v>
      </c>
      <c r="G76" s="4" t="s">
        <v>39</v>
      </c>
      <c r="H76" s="4" t="s">
        <v>39</v>
      </c>
      <c r="I76" s="4" t="s">
        <v>39</v>
      </c>
      <c r="J76" s="8"/>
      <c r="K76" s="8"/>
      <c r="L76" s="8"/>
    </row>
    <row r="77" customFormat="false" ht="27.75" hidden="false" customHeight="true" outlineLevel="0" collapsed="false">
      <c r="A77" s="4" t="s">
        <v>397</v>
      </c>
      <c r="B77" s="4" t="s">
        <v>398</v>
      </c>
      <c r="C77" s="4" t="s">
        <v>399</v>
      </c>
      <c r="D77" s="4" t="s">
        <v>400</v>
      </c>
      <c r="E77" s="4" t="s">
        <v>401</v>
      </c>
      <c r="F77" s="4" t="s">
        <v>38</v>
      </c>
      <c r="G77" s="4" t="s">
        <v>39</v>
      </c>
      <c r="H77" s="4" t="s">
        <v>39</v>
      </c>
      <c r="I77" s="4" t="s">
        <v>39</v>
      </c>
      <c r="J77" s="8"/>
      <c r="K77" s="8"/>
      <c r="L77" s="8"/>
    </row>
    <row r="78" customFormat="false" ht="27.75" hidden="false" customHeight="true" outlineLevel="0" collapsed="false">
      <c r="A78" s="4" t="s">
        <v>397</v>
      </c>
      <c r="B78" s="4" t="s">
        <v>402</v>
      </c>
      <c r="C78" s="4" t="s">
        <v>403</v>
      </c>
      <c r="D78" s="4" t="s">
        <v>400</v>
      </c>
      <c r="E78" s="4" t="s">
        <v>401</v>
      </c>
      <c r="F78" s="4" t="s">
        <v>38</v>
      </c>
      <c r="G78" s="4" t="s">
        <v>39</v>
      </c>
      <c r="H78" s="4" t="s">
        <v>39</v>
      </c>
      <c r="I78" s="4" t="s">
        <v>39</v>
      </c>
      <c r="J78" s="8"/>
      <c r="K78" s="8"/>
      <c r="L78" s="8"/>
    </row>
    <row r="79" customFormat="false" ht="27.75" hidden="false" customHeight="true" outlineLevel="0" collapsed="false">
      <c r="A79" s="4" t="s">
        <v>397</v>
      </c>
      <c r="B79" s="4" t="s">
        <v>402</v>
      </c>
      <c r="C79" s="4" t="s">
        <v>404</v>
      </c>
      <c r="D79" s="4" t="s">
        <v>405</v>
      </c>
      <c r="E79" s="4" t="s">
        <v>406</v>
      </c>
      <c r="F79" s="4" t="s">
        <v>199</v>
      </c>
      <c r="G79" s="4" t="s">
        <v>199</v>
      </c>
      <c r="H79" s="4" t="s">
        <v>39</v>
      </c>
      <c r="I79" s="4" t="s">
        <v>39</v>
      </c>
      <c r="J79" s="8"/>
      <c r="K79" s="8"/>
      <c r="L79" s="8"/>
    </row>
    <row r="80" customFormat="false" ht="27.75" hidden="false" customHeight="true" outlineLevel="0" collapsed="false">
      <c r="A80" s="4" t="s">
        <v>397</v>
      </c>
      <c r="B80" s="4" t="s">
        <v>402</v>
      </c>
      <c r="C80" s="4" t="s">
        <v>404</v>
      </c>
      <c r="D80" s="4" t="s">
        <v>405</v>
      </c>
      <c r="E80" s="4" t="s">
        <v>407</v>
      </c>
      <c r="F80" s="4" t="s">
        <v>408</v>
      </c>
      <c r="G80" s="4" t="s">
        <v>409</v>
      </c>
      <c r="H80" s="4" t="s">
        <v>39</v>
      </c>
      <c r="I80" s="4" t="s">
        <v>39</v>
      </c>
      <c r="J80" s="8"/>
      <c r="K80" s="8"/>
      <c r="L80" s="8"/>
    </row>
    <row r="81" customFormat="false" ht="27.75" hidden="false" customHeight="true" outlineLevel="0" collapsed="false">
      <c r="A81" s="4" t="s">
        <v>397</v>
      </c>
      <c r="B81" s="4" t="s">
        <v>402</v>
      </c>
      <c r="C81" s="4" t="s">
        <v>404</v>
      </c>
      <c r="D81" s="4" t="s">
        <v>410</v>
      </c>
      <c r="E81" s="4" t="s">
        <v>406</v>
      </c>
      <c r="F81" s="4" t="s">
        <v>411</v>
      </c>
      <c r="G81" s="4" t="s">
        <v>409</v>
      </c>
      <c r="H81" s="4" t="s">
        <v>39</v>
      </c>
      <c r="I81" s="4" t="s">
        <v>39</v>
      </c>
      <c r="J81" s="8"/>
      <c r="K81" s="8"/>
      <c r="L81" s="8"/>
    </row>
    <row r="82" customFormat="false" ht="27.75" hidden="false" customHeight="true" outlineLevel="0" collapsed="false">
      <c r="A82" s="4" t="s">
        <v>397</v>
      </c>
      <c r="B82" s="4" t="s">
        <v>402</v>
      </c>
      <c r="C82" s="4" t="s">
        <v>404</v>
      </c>
      <c r="D82" s="4" t="s">
        <v>410</v>
      </c>
      <c r="E82" s="4" t="s">
        <v>407</v>
      </c>
      <c r="F82" s="4" t="s">
        <v>412</v>
      </c>
      <c r="G82" s="4" t="s">
        <v>409</v>
      </c>
      <c r="H82" s="4" t="s">
        <v>39</v>
      </c>
      <c r="I82" s="4" t="s">
        <v>39</v>
      </c>
      <c r="J82" s="8"/>
      <c r="K82" s="8"/>
      <c r="L82" s="8"/>
    </row>
    <row r="83" customFormat="false" ht="27.75" hidden="false" customHeight="true" outlineLevel="0" collapsed="false">
      <c r="A83" s="4" t="s">
        <v>397</v>
      </c>
      <c r="B83" s="4" t="s">
        <v>402</v>
      </c>
      <c r="C83" s="4" t="s">
        <v>404</v>
      </c>
      <c r="D83" s="4" t="s">
        <v>413</v>
      </c>
      <c r="E83" s="4" t="s">
        <v>406</v>
      </c>
      <c r="F83" s="4" t="s">
        <v>199</v>
      </c>
      <c r="G83" s="4" t="s">
        <v>199</v>
      </c>
      <c r="H83" s="4" t="s">
        <v>39</v>
      </c>
      <c r="I83" s="4" t="s">
        <v>39</v>
      </c>
      <c r="J83" s="8"/>
      <c r="K83" s="8"/>
      <c r="L83" s="8"/>
    </row>
    <row r="84" customFormat="false" ht="27.75" hidden="false" customHeight="true" outlineLevel="0" collapsed="false">
      <c r="A84" s="4" t="s">
        <v>397</v>
      </c>
      <c r="B84" s="4" t="s">
        <v>402</v>
      </c>
      <c r="C84" s="4" t="s">
        <v>404</v>
      </c>
      <c r="D84" s="4" t="s">
        <v>413</v>
      </c>
      <c r="E84" s="4" t="s">
        <v>407</v>
      </c>
      <c r="F84" s="4" t="s">
        <v>408</v>
      </c>
      <c r="G84" s="4" t="s">
        <v>409</v>
      </c>
      <c r="H84" s="4" t="s">
        <v>39</v>
      </c>
      <c r="I84" s="4" t="s">
        <v>39</v>
      </c>
      <c r="J84" s="8"/>
      <c r="K84" s="8"/>
      <c r="L84" s="8"/>
    </row>
  </sheetData>
  <autoFilter ref="A4:L84"/>
  <mergeCells count="1">
    <mergeCell ref="A2:L2"/>
  </mergeCells>
  <dataValidations count="1">
    <dataValidation allowBlank="true" errorStyle="stop" operator="between" showDropDown="false" showErrorMessage="false" showInputMessage="false" sqref="J5:J84" type="list">
      <formula1>"Sesuai,Ubah,Hapus,Tambah,Tanya"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3" min="3" style="0" width="44"/>
    <col collapsed="false" customWidth="true" hidden="false" outlineLevel="0" max="4" min="4" style="0" width="56"/>
    <col collapsed="false" customWidth="true" hidden="false" outlineLevel="0" max="6" min="5" style="0" width="28"/>
  </cols>
  <sheetData>
    <row r="1" customFormat="false" ht="17.35" hidden="false" customHeight="false" outlineLevel="0" collapsed="false">
      <c r="A1" s="1" t="s">
        <v>414</v>
      </c>
    </row>
    <row r="2" customFormat="false" ht="43.5" hidden="false" customHeight="true" outlineLevel="0" collapsed="false">
      <c r="A2" s="5" t="s">
        <v>415</v>
      </c>
      <c r="B2" s="5"/>
      <c r="C2" s="5"/>
      <c r="D2" s="5"/>
      <c r="E2" s="5"/>
      <c r="F2" s="5"/>
    </row>
    <row r="4" customFormat="false" ht="31.5" hidden="false" customHeight="true" outlineLevel="0" collapsed="false">
      <c r="A4" s="6" t="s">
        <v>416</v>
      </c>
      <c r="B4" s="6" t="s">
        <v>417</v>
      </c>
      <c r="C4" s="6" t="s">
        <v>418</v>
      </c>
      <c r="D4" s="6" t="s">
        <v>419</v>
      </c>
      <c r="E4" s="6" t="s">
        <v>420</v>
      </c>
      <c r="F4" s="6" t="s">
        <v>421</v>
      </c>
    </row>
    <row r="5" customFormat="false" ht="45.75" hidden="false" customHeight="true" outlineLevel="0" collapsed="false">
      <c r="A5" s="14" t="n">
        <v>1</v>
      </c>
      <c r="B5" s="4" t="s">
        <v>422</v>
      </c>
      <c r="C5" s="4" t="s">
        <v>423</v>
      </c>
      <c r="D5" s="4" t="s">
        <v>424</v>
      </c>
      <c r="E5" s="8"/>
      <c r="F5" s="8"/>
    </row>
    <row r="6" customFormat="false" ht="45.75" hidden="false" customHeight="true" outlineLevel="0" collapsed="false">
      <c r="A6" s="14" t="n">
        <v>2</v>
      </c>
      <c r="B6" s="4" t="s">
        <v>425</v>
      </c>
      <c r="C6" s="4" t="s">
        <v>426</v>
      </c>
      <c r="D6" s="4" t="s">
        <v>427</v>
      </c>
      <c r="E6" s="8"/>
      <c r="F6" s="8"/>
    </row>
    <row r="7" customFormat="false" ht="45.75" hidden="false" customHeight="true" outlineLevel="0" collapsed="false">
      <c r="A7" s="14" t="n">
        <v>3</v>
      </c>
      <c r="B7" s="4" t="s">
        <v>428</v>
      </c>
      <c r="C7" s="4" t="s">
        <v>429</v>
      </c>
      <c r="D7" s="4" t="s">
        <v>430</v>
      </c>
      <c r="E7" s="8"/>
      <c r="F7" s="8"/>
    </row>
    <row r="8" customFormat="false" ht="45.75" hidden="false" customHeight="true" outlineLevel="0" collapsed="false">
      <c r="A8" s="14" t="n">
        <v>4</v>
      </c>
      <c r="B8" s="4" t="s">
        <v>431</v>
      </c>
      <c r="C8" s="4" t="s">
        <v>426</v>
      </c>
      <c r="D8" s="4" t="s">
        <v>432</v>
      </c>
      <c r="E8" s="8"/>
      <c r="F8" s="8"/>
    </row>
    <row r="9" customFormat="false" ht="45.75" hidden="false" customHeight="true" outlineLevel="0" collapsed="false">
      <c r="A9" s="14" t="n">
        <v>5</v>
      </c>
      <c r="B9" s="4" t="s">
        <v>433</v>
      </c>
      <c r="C9" s="4" t="s">
        <v>426</v>
      </c>
      <c r="D9" s="4" t="s">
        <v>434</v>
      </c>
      <c r="E9" s="8"/>
      <c r="F9" s="8"/>
    </row>
    <row r="10" customFormat="false" ht="45.75" hidden="false" customHeight="true" outlineLevel="0" collapsed="false">
      <c r="A10" s="14" t="n">
        <v>6</v>
      </c>
      <c r="B10" s="4" t="s">
        <v>435</v>
      </c>
      <c r="C10" s="4" t="s">
        <v>436</v>
      </c>
      <c r="D10" s="4" t="s">
        <v>437</v>
      </c>
      <c r="E10" s="8"/>
      <c r="F10" s="8"/>
    </row>
    <row r="11" customFormat="false" ht="45.75" hidden="false" customHeight="true" outlineLevel="0" collapsed="false">
      <c r="A11" s="14" t="n">
        <v>7</v>
      </c>
      <c r="B11" s="4" t="s">
        <v>438</v>
      </c>
      <c r="C11" s="4" t="s">
        <v>439</v>
      </c>
      <c r="D11" s="4" t="s">
        <v>440</v>
      </c>
      <c r="E11" s="8"/>
      <c r="F11" s="8"/>
    </row>
    <row r="12" customFormat="false" ht="45.75" hidden="false" customHeight="true" outlineLevel="0" collapsed="false">
      <c r="A12" s="14" t="n">
        <v>8</v>
      </c>
      <c r="B12" s="4" t="s">
        <v>441</v>
      </c>
      <c r="C12" s="4" t="s">
        <v>426</v>
      </c>
      <c r="D12" s="4" t="s">
        <v>442</v>
      </c>
      <c r="E12" s="8"/>
      <c r="F12" s="8"/>
    </row>
    <row r="13" customFormat="false" ht="45.75" hidden="false" customHeight="true" outlineLevel="0" collapsed="false">
      <c r="A13" s="14" t="n">
        <v>9</v>
      </c>
      <c r="B13" s="4" t="s">
        <v>443</v>
      </c>
      <c r="C13" s="4" t="s">
        <v>426</v>
      </c>
      <c r="D13" s="4" t="s">
        <v>444</v>
      </c>
      <c r="E13" s="8"/>
      <c r="F13" s="8"/>
    </row>
    <row r="14" customFormat="false" ht="45.75" hidden="false" customHeight="true" outlineLevel="0" collapsed="false">
      <c r="A14" s="14" t="n">
        <v>10</v>
      </c>
      <c r="B14" s="4" t="s">
        <v>445</v>
      </c>
      <c r="C14" s="4" t="s">
        <v>426</v>
      </c>
      <c r="D14" s="4" t="s">
        <v>446</v>
      </c>
      <c r="E14" s="8"/>
      <c r="F14" s="8"/>
    </row>
    <row r="15" customFormat="false" ht="45.75" hidden="false" customHeight="true" outlineLevel="0" collapsed="false">
      <c r="A15" s="14" t="n">
        <v>11</v>
      </c>
      <c r="B15" s="4" t="s">
        <v>447</v>
      </c>
      <c r="C15" s="4" t="s">
        <v>448</v>
      </c>
      <c r="D15" s="4" t="s">
        <v>449</v>
      </c>
      <c r="E15" s="8"/>
      <c r="F15" s="8"/>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2026-10-25T06:40:57Z</dcterms:created>
  <dc:creator>openpyxl</dc:creator>
  <dc:description/>
  <dc:language>en-US</dc:language>
  <cp:lastModifiedBy/>
  <dcterms:modified xsi:type="dcterms:W3CDTF">2026-10-25T06:40:57Z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