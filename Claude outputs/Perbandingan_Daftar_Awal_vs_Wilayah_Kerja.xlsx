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Belum Plotting" sheetId="2" state="visible" r:id="rId4"/>
    <sheet name="Korwil-PML" sheetId="3" state="visible" r:id="rId5"/>
    <sheet name="Kecenderungan Korwil" sheetId="4" state="visible" r:id="rId6"/>
    <sheet name="Saran per PPL" sheetId="5" state="visible" r:id="rId7"/>
    <sheet name="Screening NTP" sheetId="6" state="visible" r:id="rId8"/>
    <sheet name="Perwakilan Nagari Pusat" sheetId="7" state="visible" r:id="rId9"/>
    <sheet name="Detail Sub SLS" sheetId="8" state="visible" r:id="rId10"/>
    <sheet name="Jorong Terverifikasi" sheetId="9" state="visible" r:id="rId11"/>
    <sheet name="Per Nagari" sheetId="10" state="visible" r:id="rId12"/>
    <sheet name="Daftar Korwil (belum dipetakan)" sheetId="11" state="visible" r:id="rId13"/>
  </sheets>
  <definedNames>
    <definedName function="false" hidden="true" localSheetId="1" name="_xlnm._FilterDatabase" vbProcedure="false">'Belum Plotting'!$A$4:$Y$40</definedName>
    <definedName function="false" hidden="true" localSheetId="7" name="_xlnm._FilterDatabase" vbProcedure="false">'Detail Sub SLS'!$A$1:$T$660</definedName>
    <definedName function="false" hidden="true" localSheetId="8" name="_xlnm._FilterDatabase" vbProcedure="false">'Jorong Terverifikasi'!$A$1:$N$54</definedName>
    <definedName function="false" hidden="true" localSheetId="9" name="_xlnm._FilterDatabase" vbProcedure="false">'Per Nagari'!$A$1:$L$75</definedName>
    <definedName function="false" hidden="true" localSheetId="6" name="_xlnm._FilterDatabase" vbProcedure="false">'Perwakilan Nagari Pusat'!$A$4:$R$33</definedName>
    <definedName function="false" hidden="true" localSheetId="5" name="_xlnm._FilterDatabase" vbProcedure="false">'Screening NTP'!$A$4:$I$65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<sst xmlns="http://schemas.openxmlformats.org/spreadsheetml/2006/main" count="10494" uniqueCount="1923">
  <si>
    <t xml:space="preserve">Perbandingan Daftar Awal Lokasi Terdampak vs Wilayah Kerja Pendataan Pascabencana</t>
  </si>
  <si>
    <t xml:space="preserve">BPS Kabupaten Solok — disusun 4 Oktober 2026 dari database aplikasi (diperbarui sore hari: +36 Sub SLS PDF, saran PPL, screening NTP). Seluruh flag/saran adalah USULAN untuk membantu keputusan, bukan keputusan.</t>
  </si>
  <si>
    <t xml:space="preserve">Kategori</t>
  </si>
  <si>
    <t xml:space="preserve">Sub SLS</t>
  </si>
  <si>
    <t xml:space="preserve">Penjelasan</t>
  </si>
  <si>
    <t xml:space="preserve">Total Sub SLS di tabel wilayah</t>
  </si>
  <si>
    <t xml:space="preserve">Seluruh Sub SLS yang tercatat (1.084).</t>
  </si>
  <si>
    <t xml:space="preserve">MASUK WILAYAH KERJA</t>
  </si>
  <si>
    <t xml:space="preserve">Ada di daftar awal DAN termasuk sampel wilayah kerja.</t>
  </si>
  <si>
    <t xml:space="preserve">TAMBAHAN</t>
  </si>
  <si>
    <t xml:space="preserve">Tidak ada di daftar awal, tetapi termasuk sampel wilayah kerja.</t>
  </si>
  <si>
    <t xml:space="preserve">TIDAK IKUT</t>
  </si>
  <si>
    <t xml:space="preserve">Ada di daftar awal, tetapi TIDAK termasuk sampel wilayah kerja.</t>
  </si>
  <si>
    <t xml:space="preserve">Di luar daftar awal &amp; tidak dikerjakan</t>
  </si>
  <si>
    <t xml:space="preserve">Tidak ada di daftar awal dan tidak dikerjakan (tidak dirinci per baris; lihat sheet Per Nagari). Nilai dari database.</t>
  </si>
  <si>
    <t xml:space="preserve">Pemeriksaan silang</t>
  </si>
  <si>
    <t xml:space="preserve">Daftar awal (= masuk + tidak ikut)</t>
  </si>
  <si>
    <t xml:space="preserve">Harus 636.</t>
  </si>
  <si>
    <t xml:space="preserve">Wilayah kerja (= masuk + tambahan)</t>
  </si>
  <si>
    <t xml:space="preserve">Harus 228 (192 sebelumnya + 36 jorong PDF ditambahkan 4 Okt 2026).</t>
  </si>
  <si>
    <t xml:space="preserve">Belum plotting (wilayah kerja tanpa PPL)</t>
  </si>
  <si>
    <t xml:space="preserve">Sub SLS wilayah kerja yang belum punya PPL; rincian + saran PPL di sheet "Belum Plotting".</t>
  </si>
  <si>
    <t xml:space="preserve">Temuan utama</t>
  </si>
  <si>
    <t xml:space="preserve">1. 431 dari 636 Sub SLS daftar awal (68%) tidak ikut wilayah kerja; 205 masuk (169 + 36 dari PDF). Tambahan di luar daftar awal: 23 Sub SLS.</t>
  </si>
  <si>
    <t xml:space="preserve">2. Alahan Panjang (55 Sub SLS): 1 masuk (Batu Putih, 4 KK), 54 tidak ikut. Sungai Nanam (55 Sub SLS): 11 masuk (Pasa 6 + Rimbo Data 5; verifikasi 2 KK), 44 tidak ikut.</t>
  </si>
  <si>
    <t xml:space="preserve">3. Jorong Balai Gadang (Saniang Baka, 31 KK) kini masuk tetapi KK terdampak sistem 135,5 per Sub SLS (isian lama + PDF); menunggu keputusan koreksi. Batu Palano (Selayo, 74 KK) dan Padang Belimbing (Koto Sani, 64 KK) hanya sebagian Sub SLS-nya ikut.</t>
  </si>
  <si>
    <t xml:space="preserve">4. 13 nagari dilaporkan mitra "ada jorong terdampak" tetapi belum punya identifikasi per jorong sehingga tidak ada Sub SLS sampel (lihat sheet Per Nagari, kolom catatan).</t>
  </si>
  <si>
    <t xml:space="preserve">5. Kolom Saran di sheet Detail hanya usulan: "Pertimbangkan ditambah" bila jorong punya ≥20 KK terverifikasi; "Cek" bila ada KK terverifikasi/mitra ragu-ragu; selain itu "Tidak ada indikasi tambahan".</t>
  </si>
  <si>
    <t xml:space="preserve">6. 36 Sub SLS dari 12 jorong PDF ditambahkan 4 Okt 2026 dan BELUM PLOTTING; saran PPL, status pendaftaran, kegiatan lain, dan korwil ada di sheet "Belum Plotting".</t>
  </si>
  <si>
    <t xml:space="preserve">7. Korwil (11 nama) dipetakan ke 21 PML aktif menurut kecenderungan nagari: kini 21 dari 33 slot terisi; kekurangan 12 PML (lihat sheet Korwil-PML).</t>
  </si>
  <si>
    <t xml:space="preserve">Sheet: Belum Plotting (36) · Korwil-PML · Kecenderungan Korwil · Saran per PPL · Screening NTP · Perwakilan Nagari Pusat · Detail Sub SLS (659 baris berflag) · Jorong Terverifikasi (53 jorong) · Per Nagari (74 nagari) · Daftar Korwil (arsip).</t>
  </si>
  <si>
    <t xml:space="preserve">Definisi: "daftar awal" = alokasi awal pusat (kolom daftar_awal di tabel wilayah, 29 nagari/636 Sub SLS); "wilayah kerja" = Sub SLS bertanda sampel (termasuk_sampel). Diperbarui 4 Okt 2026.</t>
  </si>
  <si>
    <t xml:space="preserve">Wilayah Kerja Belum Plotting (36 Sub SLS) — Saran PPL</t>
  </si>
  <si>
    <t xml:space="preserve">Usulan, bukan keputusan. Aturan: PPL existing &lt;5 km dahulu → mitra baru &lt;5 km → terdekat ≤20 km. Beban akhir ≤4 Sub SLS; PPL SPDT NTP dikecualikan; PML NTP dihindari.</t>
  </si>
  <si>
    <t xml:space="preserve">No</t>
  </si>
  <si>
    <t xml:space="preserve">Korwil (usulan)</t>
  </si>
  <si>
    <t xml:space="preserve">Kecamatan</t>
  </si>
  <si>
    <t xml:space="preserve">Nagari</t>
  </si>
  <si>
    <t xml:space="preserve">Jorong</t>
  </si>
  <si>
    <t xml:space="preserve">ID Sub SLS</t>
  </si>
  <si>
    <t xml:space="preserve">KK total</t>
  </si>
  <si>
    <t xml:space="preserve">KK terdampak (estimasi sistem)</t>
  </si>
  <si>
    <t xml:space="preserve">KK verifikasi PDF (jorong)</t>
  </si>
  <si>
    <t xml:space="preserve">Rincian PDF jorong (RB/RS/RR/TRD/Hanyut)</t>
  </si>
  <si>
    <t xml:space="preserve">Titik lokasi</t>
  </si>
  <si>
    <t xml:space="preserve">Saran PPL (utama)</t>
  </si>
  <si>
    <t xml:space="preserve">Jenis</t>
  </si>
  <si>
    <t xml:space="preserve">Jarak (km)</t>
  </si>
  <si>
    <t xml:space="preserve">Beban sekarang</t>
  </si>
  <si>
    <t xml:space="preserve">Beban setelah (jika semua saran dipakai)</t>
  </si>
  <si>
    <t xml:space="preserve">Mengajukan diri?</t>
  </si>
  <si>
    <t xml:space="preserve">Status kontak</t>
  </si>
  <si>
    <t xml:space="preserve">Kegiatan lain</t>
  </si>
  <si>
    <t xml:space="preserve">Peran SPDT NTP</t>
  </si>
  <si>
    <t xml:space="preserve">Alternatif 1</t>
  </si>
  <si>
    <t xml:space="preserve">Alternatif 2</t>
  </si>
  <si>
    <t xml:space="preserve">Alternatif 3</t>
  </si>
  <si>
    <t xml:space="preserve">Catatan / peringatan</t>
  </si>
  <si>
    <t xml:space="preserve">Witria Dasni, S.Tr.Stat.</t>
  </si>
  <si>
    <t xml:space="preserve">Lembah Gumanti</t>
  </si>
  <si>
    <t xml:space="preserve">Alahan Panjang</t>
  </si>
  <si>
    <t xml:space="preserve">Jorong Batu Putih</t>
  </si>
  <si>
    <t xml:space="preserve">00</t>
  </si>
  <si>
    <t xml:space="preserve">1303050001000300</t>
  </si>
  <si>
    <t xml:space="preserve">1/0/3/0/0</t>
  </si>
  <si>
    <t xml:space="preserve">geotag DTSEN</t>
  </si>
  <si>
    <t xml:space="preserve">Siti Oktavia</t>
  </si>
  <si>
    <t xml:space="preserve">Mitra baru (diangkat PPL)</t>
  </si>
  <si>
    <t xml:space="preserve">Ya</t>
  </si>
  <si>
    <t xml:space="preserve">Belum dikontak</t>
  </si>
  <si>
    <t xml:space="preserve">Tidak ada</t>
  </si>
  <si>
    <t xml:space="preserve">-</t>
  </si>
  <si>
    <t xml:space="preserve">Nindi Oktaviana (mitra baru, 6.1 km, beban 0)</t>
  </si>
  <si>
    <t xml:space="preserve">Witri Nadia Devita Sari (mitra baru, 7.0 km, beban 0)</t>
  </si>
  <si>
    <t xml:space="preserve">Arismen (mitra baru, 8.0 km, beban 0)</t>
  </si>
  <si>
    <t xml:space="preserve">Belum PPL: perlu dikontak dan diangkat sebagai PPL. Belum dikontak untuk pendaftaran bencana.</t>
  </si>
  <si>
    <t xml:space="preserve">Kafsal, SE.</t>
  </si>
  <si>
    <t xml:space="preserve">Sungai Nanam</t>
  </si>
  <si>
    <t xml:space="preserve">Jorong Pasa</t>
  </si>
  <si>
    <t xml:space="preserve">01</t>
  </si>
  <si>
    <t xml:space="preserve">1303050002000101</t>
  </si>
  <si>
    <t xml:space="preserve">1/0/0/0/0</t>
  </si>
  <si>
    <t xml:space="preserve">Arismen</t>
  </si>
  <si>
    <t xml:space="preserve">SITASI 2026</t>
  </si>
  <si>
    <t xml:space="preserve">Resi Linda Putri (mitra baru, 1.0 km, beban 0)</t>
  </si>
  <si>
    <t xml:space="preserve">Witri Nadia Devita Sari (mitra baru, 1.8 km, beban 0)</t>
  </si>
  <si>
    <t xml:space="preserve">Nindi Oktaviana (mitra baru, 2.4 km, beban 0)</t>
  </si>
  <si>
    <t xml:space="preserve">Belum PPL: perlu dikontak dan diangkat sebagai PPL. Belum dikontak untuk pendaftaran bencana. Ikut kegiatan lain: SITASI 2026.</t>
  </si>
  <si>
    <t xml:space="preserve">02</t>
  </si>
  <si>
    <t xml:space="preserve">1303050002000102</t>
  </si>
  <si>
    <t xml:space="preserve">Resi Linda Putri (mitra baru, 1.1 km, beban 0)</t>
  </si>
  <si>
    <t xml:space="preserve">Nindi Oktaviana (mitra baru, 2.3 km, beban 0)</t>
  </si>
  <si>
    <t xml:space="preserve">03</t>
  </si>
  <si>
    <t xml:space="preserve">1303050002000103</t>
  </si>
  <si>
    <t xml:space="preserve">Arismen (mitra baru, 0.5 km, beban 0)</t>
  </si>
  <si>
    <t xml:space="preserve">Resi Linda Putri (mitra baru, 1.5 km, beban 0)</t>
  </si>
  <si>
    <t xml:space="preserve">Witri Nadia Devita Sari (mitra baru, 1.6 km, beban 0)</t>
  </si>
  <si>
    <t xml:space="preserve">04</t>
  </si>
  <si>
    <t xml:space="preserve">1303050002000104</t>
  </si>
  <si>
    <t xml:space="preserve">Witri Nadia Devita Sari</t>
  </si>
  <si>
    <t xml:space="preserve">Arismen (mitra baru, 0.6 km, beban 0)</t>
  </si>
  <si>
    <t xml:space="preserve">Resi Linda Putri (mitra baru, 1.2 km, beban 0)</t>
  </si>
  <si>
    <t xml:space="preserve">Nindi Oktaviana (mitra baru, 2.2 km, beban 0)</t>
  </si>
  <si>
    <t xml:space="preserve">05</t>
  </si>
  <si>
    <t xml:space="preserve">1303050002000105</t>
  </si>
  <si>
    <t xml:space="preserve">perlu dicek · geotag DTSEN</t>
  </si>
  <si>
    <t xml:space="preserve">Nindi Oktaviana</t>
  </si>
  <si>
    <t xml:space="preserve">Arismen (mitra baru, 1.0 km, beban 0)</t>
  </si>
  <si>
    <t xml:space="preserve">Witri Nadia Devita Sari (mitra baru, 1.4 km, beban 0)</t>
  </si>
  <si>
    <t xml:space="preserve">Resi Linda Putri (mitra baru, 1.8 km, beban 0)</t>
  </si>
  <si>
    <t xml:space="preserve">Titik Sub SLS "perlu cek"; jarak hanya perkiraan. Belum PPL: perlu dikontak dan diangkat sebagai PPL. Belum dikontak untuk pendaftaran bencana.</t>
  </si>
  <si>
    <t xml:space="preserve">06</t>
  </si>
  <si>
    <t xml:space="preserve">1303050002000106</t>
  </si>
  <si>
    <t xml:space="preserve">titik usaha nagari</t>
  </si>
  <si>
    <t xml:space="preserve">Resi Linda Putri</t>
  </si>
  <si>
    <t xml:space="preserve">PES SE2026</t>
  </si>
  <si>
    <t xml:space="preserve">Arismen (mitra baru, 0.2 km, beban 0)</t>
  </si>
  <si>
    <t xml:space="preserve">Nindi Oktaviana (mitra baru, 2.5 km, beban 0)</t>
  </si>
  <si>
    <t xml:space="preserve">Belum PPL: perlu dikontak dan diangkat sebagai PPL. Belum dikontak untuk pendaftaran bencana. Ikut kegiatan lain: PES SE2026.</t>
  </si>
  <si>
    <t xml:space="preserve">Jorong Rimbo Data</t>
  </si>
  <si>
    <t xml:space="preserve">1303050002001401</t>
  </si>
  <si>
    <t xml:space="preserve">0/0/1/0/0</t>
  </si>
  <si>
    <t xml:space="preserve">Arismen (mitra baru, 2.7 km, beban 0)</t>
  </si>
  <si>
    <t xml:space="preserve">Witri Nadia Devita Sari (mitra baru, 3.6 km, beban 0)</t>
  </si>
  <si>
    <t xml:space="preserve">Nindi Oktaviana (mitra baru, 5.1 km, beban 0)</t>
  </si>
  <si>
    <t xml:space="preserve">1303050002001402</t>
  </si>
  <si>
    <t xml:space="preserve">Resi Linda Putri (mitra baru, 2.2 km, beban 0)</t>
  </si>
  <si>
    <t xml:space="preserve">Arismen (mitra baru, 3.1 km, beban 0)</t>
  </si>
  <si>
    <t xml:space="preserve">Nindi Oktaviana (mitra baru, 5.5 km, beban 0)</t>
  </si>
  <si>
    <t xml:space="preserve">1303050002001403</t>
  </si>
  <si>
    <t xml:space="preserve">Resi Linda Putri (mitra baru, 2.5 km, beban 0)</t>
  </si>
  <si>
    <t xml:space="preserve">Witri Nadia Devita Sari (mitra baru, 4.1 km, beban 0)</t>
  </si>
  <si>
    <t xml:space="preserve">Nindi Oktaviana (mitra baru, 5.7 km, beban 0)</t>
  </si>
  <si>
    <t xml:space="preserve">1303050002001404</t>
  </si>
  <si>
    <t xml:space="preserve">Resi Linda Putri (mitra baru, 2.7 km, beban 0)</t>
  </si>
  <si>
    <t xml:space="preserve">Arismen (mitra baru, 3.4 km, beban 0)</t>
  </si>
  <si>
    <t xml:space="preserve">Nindi Oktaviana (mitra baru, 5.8 km, beban 0)</t>
  </si>
  <si>
    <t xml:space="preserve">1303050002001405</t>
  </si>
  <si>
    <t xml:space="preserve">Arismen (mitra baru, 2.8 km, beban 0)</t>
  </si>
  <si>
    <t xml:space="preserve">Witri Nadia Devita Sari (mitra baru, 4.0 km, beban 0)</t>
  </si>
  <si>
    <t xml:space="preserve">Danau Kembar</t>
  </si>
  <si>
    <t xml:space="preserve">Kampuang Batu Dalam</t>
  </si>
  <si>
    <t xml:space="preserve">Jorong Kampuang Dalam Tangah</t>
  </si>
  <si>
    <t xml:space="preserve">1303071001000201</t>
  </si>
  <si>
    <t xml:space="preserve">Sukma Yuliandra Putri</t>
  </si>
  <si>
    <t xml:space="preserve">Weza Deftalia (PPL, 4.4 km, beban 0)</t>
  </si>
  <si>
    <t xml:space="preserve">Resi Linda Putri (mitra baru, 6.3 km, beban 0)</t>
  </si>
  <si>
    <t xml:space="preserve">Witri Nadia Devita Sari (mitra baru, 6.8 km, beban 0)</t>
  </si>
  <si>
    <t xml:space="preserve">1303071001000202</t>
  </si>
  <si>
    <t xml:space="preserve">Weza Deftalia (PPL, 4.5 km, beban 0)</t>
  </si>
  <si>
    <t xml:space="preserve">Witri Nadia Devita Sari (mitra baru, 6.7 km, beban 0)</t>
  </si>
  <si>
    <t xml:space="preserve">1303071001000203</t>
  </si>
  <si>
    <t xml:space="preserve">Weza Deftalia (PPL, 4.2 km, beban 0)</t>
  </si>
  <si>
    <t xml:space="preserve">Resi Linda Putri (mitra baru, 6.1 km, beban 0)</t>
  </si>
  <si>
    <t xml:space="preserve">Witri Nadia Devita Sari (mitra baru, 6.5 km, beban 0)</t>
  </si>
  <si>
    <t xml:space="preserve">1303071001000204</t>
  </si>
  <si>
    <t xml:space="preserve">Resi Linda Putri (mitra baru, 6.0 km, beban 0)</t>
  </si>
  <si>
    <t xml:space="preserve">Witri Nadia Devita Sari (mitra baru, 6.4 km, beban 0)</t>
  </si>
  <si>
    <t xml:space="preserve">1303071001000205</t>
  </si>
  <si>
    <t xml:space="preserve">Weza Deftalia (PPL, 4.1 km, beban 0)</t>
  </si>
  <si>
    <t xml:space="preserve">Sukma Yuliandra Putri (mitra baru, 3.2 km, beban 0)</t>
  </si>
  <si>
    <t xml:space="preserve">Witri Nadia Devita Sari (mitra baru, 6.0 km, beban 0)</t>
  </si>
  <si>
    <t xml:space="preserve">1303071001000206</t>
  </si>
  <si>
    <t xml:space="preserve">Weza Deftalia (PPL, 4.3 km, beban 0)</t>
  </si>
  <si>
    <t xml:space="preserve">Sukma Yuliandra Putri (mitra baru, 3.1 km, beban 0)</t>
  </si>
  <si>
    <t xml:space="preserve">Resi Linda Putri (mitra baru, 5.7 km, beban 0)</t>
  </si>
  <si>
    <t xml:space="preserve">07</t>
  </si>
  <si>
    <t xml:space="preserve">1303071001000207</t>
  </si>
  <si>
    <t xml:space="preserve">perlu dicek · titik usaha nagari</t>
  </si>
  <si>
    <t xml:space="preserve">Weza Deftalia (PPL, 3.5 km, beban 0)</t>
  </si>
  <si>
    <t xml:space="preserve">Resi Linda Putri (mitra baru, 6.2 km, beban 0)</t>
  </si>
  <si>
    <t xml:space="preserve">Titik Sub SLS "perlu cek"; jarak hanya perkiraan. Belum PPL: perlu dikontak dan diangkat sebagai PPL. Belum dikontak untuk pendaftaran bencana. Ikut kegiatan lain: SITASI 2026.</t>
  </si>
  <si>
    <t xml:space="preserve">Jorong Aia Tawa Selatan</t>
  </si>
  <si>
    <t xml:space="preserve">1303071001000701</t>
  </si>
  <si>
    <t xml:space="preserve">Weza Deftalia</t>
  </si>
  <si>
    <t xml:space="preserve">PPL existing</t>
  </si>
  <si>
    <t xml:space="preserve">Diterima</t>
  </si>
  <si>
    <t xml:space="preserve">Witri Nadia Devita Sari (mitra baru, 4.7 km, beban 0)</t>
  </si>
  <si>
    <t xml:space="preserve">Resi Linda Putri (mitra baru, 5.8 km, beban 0)</t>
  </si>
  <si>
    <t xml:space="preserve">Arismen (mitra baru, 6.3 km, beban 0)</t>
  </si>
  <si>
    <t xml:space="preserve">Satu-satunya PPL &lt;5 km; ambil 4 Sub SLS Aia Tawa Selatan (beban 0 → 4).</t>
  </si>
  <si>
    <t xml:space="preserve">1303071001000702</t>
  </si>
  <si>
    <t xml:space="preserve">Witri Nadia Devita Sari (mitra baru, 3.7 km, beban 0)</t>
  </si>
  <si>
    <t xml:space="preserve">Resi Linda Putri (mitra baru, 5.1 km, beban 0)</t>
  </si>
  <si>
    <t xml:space="preserve">Arismen (mitra baru, 5.5 km, beban 0)</t>
  </si>
  <si>
    <t xml:space="preserve">1303071001000703</t>
  </si>
  <si>
    <t xml:space="preserve">Resi Linda Putri (mitra baru, 4.9 km, beban 0)</t>
  </si>
  <si>
    <t xml:space="preserve">Arismen (mitra baru, 5.3 km, beban 0)</t>
  </si>
  <si>
    <t xml:space="preserve">1303071001000704</t>
  </si>
  <si>
    <t xml:space="preserve">Witri Nadia Devita Sari (mitra baru, 4.2 km, beban 0)</t>
  </si>
  <si>
    <t xml:space="preserve">Resi Linda Putri (mitra baru, 5.3 km, beban 0)</t>
  </si>
  <si>
    <t xml:space="preserve">Arismen (mitra baru, 5.8 km, beban 0)</t>
  </si>
  <si>
    <t xml:space="preserve">Adrianus</t>
  </si>
  <si>
    <t xml:space="preserve">Gunung Talang</t>
  </si>
  <si>
    <t xml:space="preserve">Cupak</t>
  </si>
  <si>
    <t xml:space="preserve">Jorong Balai Tangah</t>
  </si>
  <si>
    <t xml:space="preserve">1303080001000501</t>
  </si>
  <si>
    <t xml:space="preserve">Fuji Erizka</t>
  </si>
  <si>
    <t xml:space="preserve">Naila Sabatini (PPL, 0.1 km, beban 5)</t>
  </si>
  <si>
    <t xml:space="preserve">Dhini Oktaviani (PPL, 1.5 km, beban 5)</t>
  </si>
  <si>
    <t xml:space="preserve">Idora Atia (PPL, 2.7 km, beban 1)</t>
  </si>
  <si>
    <t xml:space="preserve">1303080001000502</t>
  </si>
  <si>
    <t xml:space="preserve">Idora Atia</t>
  </si>
  <si>
    <t xml:space="preserve">Naila Sabatini (PPL, 0.3 km, beban 5)</t>
  </si>
  <si>
    <t xml:space="preserve">Dhini Oktaviani (PPL, 1.7 km, beban 5)</t>
  </si>
  <si>
    <t xml:space="preserve">Indri Septiadi (PPL, 3.0 km, beban 2)</t>
  </si>
  <si>
    <t xml:space="preserve">Lucia Veronica</t>
  </si>
  <si>
    <t xml:space="preserve">1303080001000503</t>
  </si>
  <si>
    <t xml:space="preserve">Nopi Nofila</t>
  </si>
  <si>
    <t xml:space="preserve">Dhini Oktaviani (PPL, 1.9 km, beban 5)</t>
  </si>
  <si>
    <t xml:space="preserve">Idora Atia (PPL, 2.4 km, beban 1)</t>
  </si>
  <si>
    <t xml:space="preserve">Belum dikontak untuk pendaftaran bencana.</t>
  </si>
  <si>
    <t xml:space="preserve">Adriyanto</t>
  </si>
  <si>
    <t xml:space="preserve">Bukit Sundi</t>
  </si>
  <si>
    <t xml:space="preserve">Bukit Tandang</t>
  </si>
  <si>
    <t xml:space="preserve">Jorong Kampung Tangah</t>
  </si>
  <si>
    <t xml:space="preserve">1303090005000100</t>
  </si>
  <si>
    <t xml:space="preserve">Yogi Eka Putra</t>
  </si>
  <si>
    <t xml:space="preserve">Muhamad Iqbal (PPL, 2.9 km, beban 2)</t>
  </si>
  <si>
    <t xml:space="preserve">Farah Sahara (PPL, 4.1 km, beban 3)</t>
  </si>
  <si>
    <t xml:space="preserve">Yora Komala Sari (PPL, 4.5 km, beban 2)</t>
  </si>
  <si>
    <t xml:space="preserve">Kubung</t>
  </si>
  <si>
    <t xml:space="preserve">Koto Hilalang</t>
  </si>
  <si>
    <t xml:space="preserve">Jorong Kapondong</t>
  </si>
  <si>
    <t xml:space="preserve">1303110006000200</t>
  </si>
  <si>
    <t xml:space="preserve">Eka Ramadani</t>
  </si>
  <si>
    <t xml:space="preserve">Nelva Roza Oktakia (PPL, 3.8 km, beban 2)</t>
  </si>
  <si>
    <t xml:space="preserve">Biki Wabihamdika (PPL, 4.8 km, beban 7)</t>
  </si>
  <si>
    <t xml:space="preserve">Ranu Artysanda (PPL, 4.9 km, beban 6)</t>
  </si>
  <si>
    <t xml:space="preserve">Riva Hestaria, A.Md.</t>
  </si>
  <si>
    <t xml:space="preserve">X Koto Diatas</t>
  </si>
  <si>
    <t xml:space="preserve">Bukit Kanduang</t>
  </si>
  <si>
    <t xml:space="preserve">Jorong Mudik</t>
  </si>
  <si>
    <t xml:space="preserve">1303120007000301</t>
  </si>
  <si>
    <t xml:space="preserve">Dara Muhaima Febriana</t>
  </si>
  <si>
    <t xml:space="preserve">Nurul Vani Fatia (PPL, 5.2 km, beban 2)</t>
  </si>
  <si>
    <t xml:space="preserve">Novi Endria Jhoni (PPL, 5.5 km, beban 2)</t>
  </si>
  <si>
    <t xml:space="preserve">Ira Wahyuni (PPL, 9.0 km, beban 4)</t>
  </si>
  <si>
    <t xml:space="preserve">Titik Sub SLS "perlu cek"; jarak hanya perkiraan. Belum dikontak untuk pendaftaran bencana.</t>
  </si>
  <si>
    <t xml:space="preserve">1303120007000302</t>
  </si>
  <si>
    <t xml:space="preserve">Nurul Vani Fatia</t>
  </si>
  <si>
    <t xml:space="preserve">Dara Muhaima Febriana (PPL, 4.6 km, beban 2)</t>
  </si>
  <si>
    <t xml:space="preserve">Novi Endria Jhoni (PPL, 4.9 km, beban 2)</t>
  </si>
  <si>
    <t xml:space="preserve">M. Hafizh Dinu Aulia (PPL, 4.9 km, beban 3)</t>
  </si>
  <si>
    <t xml:space="preserve">Sibarambang</t>
  </si>
  <si>
    <t xml:space="preserve">Jorong Karimbang</t>
  </si>
  <si>
    <t xml:space="preserve">1303120009000101</t>
  </si>
  <si>
    <t xml:space="preserve">Fenny Anda Listi</t>
  </si>
  <si>
    <t xml:space="preserve">Mira Apridayanti (PPL, 4.6 km, beban 1)</t>
  </si>
  <si>
    <t xml:space="preserve">Salsa Billa Duwita Putri (PPL, 6.8 km, beban 3)</t>
  </si>
  <si>
    <t xml:space="preserve">Nova Aliza (PPL, 9.4 km, beban 1)</t>
  </si>
  <si>
    <t xml:space="preserve">1303120009000102</t>
  </si>
  <si>
    <t xml:space="preserve">Mira Apridayanti (PPL, 5.4 km, beban 1)</t>
  </si>
  <si>
    <t xml:space="preserve">Salsa Billa Duwita Putri (PPL, 7.3 km, beban 3)</t>
  </si>
  <si>
    <t xml:space="preserve">Nova Aliza (PPL, 10.0 km, beban 1)</t>
  </si>
  <si>
    <t xml:space="preserve">Nurafiza Thamrin, S.Tr.Stat.</t>
  </si>
  <si>
    <t xml:space="preserve">1303120009000103</t>
  </si>
  <si>
    <t xml:space="preserve">Mira Apridayanti</t>
  </si>
  <si>
    <t xml:space="preserve">Fenny Anda Listi (PPL, 4.8 km, beban 1)</t>
  </si>
  <si>
    <t xml:space="preserve">Salsa Billa Duwita Putri (PPL, 7.0 km, beban 3)</t>
  </si>
  <si>
    <t xml:space="preserve">Nova Aliza (PPL, 9.3 km, beban 1)</t>
  </si>
  <si>
    <t xml:space="preserve">Jorong Jaruai</t>
  </si>
  <si>
    <t xml:space="preserve">1303120009000800</t>
  </si>
  <si>
    <t xml:space="preserve">Fenny Anda Listi (PPL, 4.2 km, beban 1)</t>
  </si>
  <si>
    <t xml:space="preserve">Nilam Sitaresmi Cahyono (PPL, 5.6 km, beban 1)</t>
  </si>
  <si>
    <t xml:space="preserve">Salsa Billa Duwita Putri (PPL, 6.1 km, beban 3)</t>
  </si>
  <si>
    <t xml:space="preserve">X Koto Singkarak</t>
  </si>
  <si>
    <t xml:space="preserve">Saniang Baka</t>
  </si>
  <si>
    <t xml:space="preserve">Jorong Balai Gadang</t>
  </si>
  <si>
    <t xml:space="preserve">1303130005000201</t>
  </si>
  <si>
    <t xml:space="preserve">1/0/0/30/0</t>
  </si>
  <si>
    <t xml:space="preserve">Bayu Pratama</t>
  </si>
  <si>
    <t xml:space="preserve">Agri Renta Falusia (PPL, 3.9 km, beban 2)</t>
  </si>
  <si>
    <t xml:space="preserve">Jahar Nas (PPL, 3.9 km, beban 5)</t>
  </si>
  <si>
    <t xml:space="preserve">Robi Alvian (PPL, 4.1 km, beban 2)</t>
  </si>
  <si>
    <t xml:space="preserve">KK terdampak sistem 135,5/Sub SLS vs 31 KK di PDF (isian lama ikut terjumlah) — menunggu keputusan A/B.</t>
  </si>
  <si>
    <t xml:space="preserve">1303130005000202</t>
  </si>
  <si>
    <t xml:space="preserve">Agri Renta Falusia</t>
  </si>
  <si>
    <t xml:space="preserve">Bayu Pratama (PPL, 3.3 km, beban 2)</t>
  </si>
  <si>
    <t xml:space="preserve">Jahar Nas (PPL, 3.8 km, beban 5)</t>
  </si>
  <si>
    <t xml:space="preserve">Robi Alvian (PPL, 4.2 km, beban 2)</t>
  </si>
  <si>
    <t xml:space="preserve">KK terdampak sistem 135,5/Sub SLS vs 31 KK di PDF (isian lama ikut terjumlah) — menunggu keputusan A/B. Belum dikontak untuk pendaftaran bencana.</t>
  </si>
  <si>
    <t xml:space="preserve">Keterangan: Korwil = usulan dari kecenderungan nagari yang Anda kirim + PML terdekat (lihat sheet "Korwil-PML"). Kuning = nagari Sub SLS bukan nagari pilihan korwil tsb (korwil ikut PML dari PPL yang disarankan).</t>
  </si>
  <si>
    <t xml:space="preserve">Korwil – PML: 1 korwil diharapkan membawahi 3 PML (usulan)</t>
  </si>
  <si>
    <t xml:space="preserve">Cara: tiap PML dicocokkan ke korwil yang nagari pilihannya paling dekat dengan lokasi kerja PML (rata-rata tertimbang jarak Sub SLS binaan ke nagari pilihan terdekat korwil), maksimal 3 PML per korwil. 21 PML aktif belum cukup untuk 11 korwil × 3 = 33 → kekurangan dihitung di tabel 1 dan kandidat PML tambahan di tabel 3. Seluruhnya usulan.</t>
  </si>
  <si>
    <t xml:space="preserve">Korwil</t>
  </si>
  <si>
    <t xml:space="preserve">Nagari pilihan (kecenderungan)</t>
  </si>
  <si>
    <t xml:space="preserve">Jumlah PML terpetakan</t>
  </si>
  <si>
    <t xml:space="preserve">Target PML</t>
  </si>
  <si>
    <t xml:space="preserve">Kekurangan PML</t>
  </si>
  <si>
    <t xml:space="preserve">Sub SLS wilker tercakup</t>
  </si>
  <si>
    <t xml:space="preserve">PML terpetakan</t>
  </si>
  <si>
    <t xml:space="preserve">PML tambahan yang disarankan (tabel 3)</t>
  </si>
  <si>
    <t xml:space="preserve">Batu Bajanjang, Kampuang Batu Dalam, Kinari, Koto Gadang Koto Anau, Koto Sani, Sibarambang, Sungai Nanam, Talang</t>
  </si>
  <si>
    <t xml:space="preserve">Yurneti</t>
  </si>
  <si>
    <t xml:space="preserve">Leni Fatimah, Luki Sirup Ramadan</t>
  </si>
  <si>
    <t xml:space="preserve">Aie Dingin, Alahan Panjang, Bukit Tandang, Gaung, Koto Laweh, Paninggahan, Selayo</t>
  </si>
  <si>
    <t xml:space="preserve">Budi Pernandes, Ilham, Mega Nana Yulianti</t>
  </si>
  <si>
    <t xml:space="preserve">Dina Marizka, S.Tr.Stat.</t>
  </si>
  <si>
    <t xml:space="preserve">Aie Batumbuak, Batang Barus, Cupak, Koto Gadang Guguak, Selayo, Simpang Tanjuang Nan Iv</t>
  </si>
  <si>
    <t xml:space="preserve">FERIANTO, Irawita, Lucky Melan Sari</t>
  </si>
  <si>
    <t xml:space="preserve">Koto Sani, Muaro Pingai, Sungai Durian</t>
  </si>
  <si>
    <t xml:space="preserve">Lia Angraini</t>
  </si>
  <si>
    <t xml:space="preserve">Annisa Suryani, Puji Putri</t>
  </si>
  <si>
    <t xml:space="preserve">Muaro Pingai, Paninggahan</t>
  </si>
  <si>
    <t xml:space="preserve">Hariston, Megawati, Usyenti</t>
  </si>
  <si>
    <t xml:space="preserve">Bukit Kanduang, Gaung, Koto Baru, Lolo, Selayo, Sibarambang</t>
  </si>
  <si>
    <t xml:space="preserve">Yelli Novita Sari</t>
  </si>
  <si>
    <t xml:space="preserve">Rini Ferani, Rosserita</t>
  </si>
  <si>
    <t xml:space="preserve">Deswaty, SST.</t>
  </si>
  <si>
    <t xml:space="preserve">Koto Baru</t>
  </si>
  <si>
    <t xml:space="preserve">(belum ada)</t>
  </si>
  <si>
    <t xml:space="preserve">Anike Putri, Mira Rozalinda, Wina Zurlaili</t>
  </si>
  <si>
    <t xml:space="preserve">Koto Baru, Koto Hilalang, Selayo</t>
  </si>
  <si>
    <t xml:space="preserve">Widya Verawati, Yeni Siswanti, Yusnita Susanti</t>
  </si>
  <si>
    <t xml:space="preserve">Arini Alva Syaadah, S.Tr.Stat.</t>
  </si>
  <si>
    <t xml:space="preserve">Koto Baru, Selayo</t>
  </si>
  <si>
    <t xml:space="preserve">Saputra Ebel Feri</t>
  </si>
  <si>
    <t xml:space="preserve">Imilsi Asgra Varka, Inggrit Yulia Hastri</t>
  </si>
  <si>
    <t xml:space="preserve">Riko Putra Roma</t>
  </si>
  <si>
    <t xml:space="preserve">Koto Sani, Saniang Baka</t>
  </si>
  <si>
    <t xml:space="preserve">Reza Sativa, Rifa Amelia</t>
  </si>
  <si>
    <t xml:space="preserve">Amelia</t>
  </si>
  <si>
    <t xml:space="preserve">Saniang Baka, Sumani, Tikalak</t>
  </si>
  <si>
    <t xml:space="preserve">Ayu Sepriani, Dessy Meiyarni, Widya Elvera</t>
  </si>
  <si>
    <t xml:space="preserve">Total</t>
  </si>
  <si>
    <t xml:space="preserve">Tabel 2 — PML (21 aktif) dan korwil yang dipetakan</t>
  </si>
  <si>
    <t xml:space="preserve">PML</t>
  </si>
  <si>
    <t xml:space="preserve">ID</t>
  </si>
  <si>
    <t xml:space="preserve">Domisili (nagari)</t>
  </si>
  <si>
    <t xml:space="preserve">Korwil usulan</t>
  </si>
  <si>
    <t xml:space="preserve">Sub SLS binaan (nagari: jumlah)</t>
  </si>
  <si>
    <t xml:space="preserve">Jarak kerja ke nagari pilihan korwil (km, rata-rata tertimbang)</t>
  </si>
  <si>
    <t xml:space="preserve">Catatan</t>
  </si>
  <si>
    <t xml:space="preserve">Widya Verawati</t>
  </si>
  <si>
    <t xml:space="preserve">Selayo: 5; Koto Baru: 3; Talang: 2; Cupak: 1; Gantuang Ciri: 1</t>
  </si>
  <si>
    <t xml:space="preserve">Yeni Siswanti</t>
  </si>
  <si>
    <t xml:space="preserve">Gantuang Ciri</t>
  </si>
  <si>
    <t xml:space="preserve">Gantuang Ciri: 4; Koto Hilalang: 3; Selayo: 3; Cupak: 1</t>
  </si>
  <si>
    <t xml:space="preserve">Yusnita Susanti</t>
  </si>
  <si>
    <t xml:space="preserve">Selayo</t>
  </si>
  <si>
    <t xml:space="preserve">Selayo: 4; Koto Hilalang: 1</t>
  </si>
  <si>
    <t xml:space="preserve">PPL SPDT NTP: sebaiknya diganti (tidak boleh rangkap).</t>
  </si>
  <si>
    <t xml:space="preserve">Gauang</t>
  </si>
  <si>
    <t xml:space="preserve">Koto Baru: 11; Selayo: 2</t>
  </si>
  <si>
    <t xml:space="preserve">Selayo: 5; Koto Baru: 1</t>
  </si>
  <si>
    <t xml:space="preserve">FERIANTO</t>
  </si>
  <si>
    <t xml:space="preserve">Gantuang Ciri: 9; Cupak: 4; Koto Gaek Guguk: 2; Selayo: 2; Talang: 2; Koto Baru: 1; Koto Gadang Guguak: 1; Koto Hilalang: 1</t>
  </si>
  <si>
    <t xml:space="preserve">Irawita</t>
  </si>
  <si>
    <t xml:space="preserve">Koto Gadang Guguak</t>
  </si>
  <si>
    <t xml:space="preserve">Batang Barus: 4; Koto Gadang Guguak: 2; Koto Gaek Guguk: 2; Aie Batumbuak: 1</t>
  </si>
  <si>
    <t xml:space="preserve">Lucky Melan Sari</t>
  </si>
  <si>
    <t xml:space="preserve">Batang Barus: 3; Koto Gaek Guguk: 1</t>
  </si>
  <si>
    <t xml:space="preserve">Selayo: 4; Sumani: 4; Koto Sani: 3</t>
  </si>
  <si>
    <t xml:space="preserve">Jarak kerja &gt;3 km dari nagari pilihan korwil.</t>
  </si>
  <si>
    <t xml:space="preserve">Hariston</t>
  </si>
  <si>
    <t xml:space="preserve">Muaro Pingai: 3; Paninggahan: 3; Saniang Baka: 1</t>
  </si>
  <si>
    <t xml:space="preserve">Megawati</t>
  </si>
  <si>
    <t xml:space="preserve">Paninggahan</t>
  </si>
  <si>
    <t xml:space="preserve">Paninggahan: 3; Muaro Pingai: 1; Saniang Baka: 1</t>
  </si>
  <si>
    <t xml:space="preserve">PML SPDT NTP (boleh rangkap, dihindari).</t>
  </si>
  <si>
    <t xml:space="preserve">Usyenti</t>
  </si>
  <si>
    <t xml:space="preserve">Paninggahan: 5; Muaro Pingai: 2; Kacang: 1</t>
  </si>
  <si>
    <t xml:space="preserve">Ayu Sepriani</t>
  </si>
  <si>
    <t xml:space="preserve">Koto Sani</t>
  </si>
  <si>
    <t xml:space="preserve">Sumani: 3; Saniang Baka: 1</t>
  </si>
  <si>
    <t xml:space="preserve">Dessy Meiyarni</t>
  </si>
  <si>
    <t xml:space="preserve">Sumani</t>
  </si>
  <si>
    <t xml:space="preserve">Sumani: 6</t>
  </si>
  <si>
    <t xml:space="preserve">Widya Elvera</t>
  </si>
  <si>
    <t xml:space="preserve">Sumani: 9; Koto Sani: 5</t>
  </si>
  <si>
    <t xml:space="preserve">Reza Sativa</t>
  </si>
  <si>
    <t xml:space="preserve">Saniang Baka: 4</t>
  </si>
  <si>
    <t xml:space="preserve">Rifa Amelia</t>
  </si>
  <si>
    <t xml:space="preserve">Aripan</t>
  </si>
  <si>
    <t xml:space="preserve">Saniang Baka: 3; Koto Sani: 1; Muaro Pingai: 1</t>
  </si>
  <si>
    <t xml:space="preserve">Tikalak</t>
  </si>
  <si>
    <t xml:space="preserve">Kacang: 3; Tikalak: 3; Muaro Pingai: 2; Paninggahan: 2; Sumani: 1</t>
  </si>
  <si>
    <t xml:space="preserve">PPL NTP (pengecualian, boleh rangkap). Jarak kerja &gt;3 km dari nagari pilihan korwil.</t>
  </si>
  <si>
    <t xml:space="preserve">Budi Pernandes</t>
  </si>
  <si>
    <t xml:space="preserve">Paninggahan: 17</t>
  </si>
  <si>
    <t xml:space="preserve">Ilham</t>
  </si>
  <si>
    <t xml:space="preserve">Batang Barus</t>
  </si>
  <si>
    <t xml:space="preserve">Aie Dingin: 12; Simpang Tanjuang Nan Iv: 5; Lolo: 2</t>
  </si>
  <si>
    <t xml:space="preserve">Mega Nana Yulianti</t>
  </si>
  <si>
    <t xml:space="preserve">Selayo: 6; Koto Baru: 2</t>
  </si>
  <si>
    <t xml:space="preserve">Tabel 3 — Kandidat PML tambahan (dari petugas berflag rekomendasi PML; menolak dikeluarkan)</t>
  </si>
  <si>
    <t xml:space="preserve">Korwil yang kekurangan</t>
  </si>
  <si>
    <t xml:space="preserve">Kandidat</t>
  </si>
  <si>
    <t xml:space="preserve">Peran sekarang</t>
  </si>
  <si>
    <t xml:space="preserve">Jarak ke nagari pilihan korwil (km)</t>
  </si>
  <si>
    <t xml:space="preserve">Sub SLS dipegang sbg PPL</t>
  </si>
  <si>
    <t xml:space="preserve">Leni Fatimah</t>
  </si>
  <si>
    <t xml:space="preserve">PPL</t>
  </si>
  <si>
    <t xml:space="preserve">diterima</t>
  </si>
  <si>
    <t xml:space="preserve">Dipromosikan jadi PML berarti 1 Sub SLS PPL-nya perlu PPL pengganti.</t>
  </si>
  <si>
    <t xml:space="preserve">Luki Sirup Ramadan</t>
  </si>
  <si>
    <t xml:space="preserve">Talang</t>
  </si>
  <si>
    <t xml:space="preserve">Dipromosikan jadi PML berarti 1 Sub SLS PPL-nya perlu PPL pengganti. Ikut PES SE2026.</t>
  </si>
  <si>
    <t xml:space="preserve">Puji Putri</t>
  </si>
  <si>
    <t xml:space="preserve">Muaro Pingai</t>
  </si>
  <si>
    <t xml:space="preserve">Annisa Suryani</t>
  </si>
  <si>
    <t xml:space="preserve">Singkarak</t>
  </si>
  <si>
    <t xml:space="preserve">belum dikontak</t>
  </si>
  <si>
    <t xml:space="preserve">Dipromosikan jadi PML berarti 2 Sub SLS PPL-nya perlu PPL pengganti.</t>
  </si>
  <si>
    <t xml:space="preserve">Rosserita</t>
  </si>
  <si>
    <t xml:space="preserve">Mitra (belum PPL)</t>
  </si>
  <si>
    <t xml:space="preserve">Panyakalan</t>
  </si>
  <si>
    <t xml:space="preserve">Rini Ferani</t>
  </si>
  <si>
    <t xml:space="preserve">Ikut PES SE2026.</t>
  </si>
  <si>
    <t xml:space="preserve">Wina Zurlaili</t>
  </si>
  <si>
    <t xml:space="preserve">Mira Rozalinda</t>
  </si>
  <si>
    <t xml:space="preserve">Anike Putri</t>
  </si>
  <si>
    <t xml:space="preserve">Dipromosikan jadi PML berarti 3 Sub SLS PPL-nya perlu PPL pengganti.</t>
  </si>
  <si>
    <t xml:space="preserve">Imilsi Asgra Varka</t>
  </si>
  <si>
    <t xml:space="preserve">Inggrit Yulia Hastri</t>
  </si>
  <si>
    <t xml:space="preserve">Dipromosikan jadi PML berarti 1 Sub SLS PPL-nya perlu PPL pengganti. Koordinat belum ada; memakai titik nagari.</t>
  </si>
  <si>
    <t xml:space="preserve">Catatan: kandidat tidak berasal dari data lain di luar flag rekomendasi_pml di aplikasi; 3 petugas yang menolak (Abdul Latif, Indah Permata Sari, Ondri Yandi) tidak diikutkan. Keputusan tetap di tangan admin.</t>
  </si>
  <si>
    <t xml:space="preserve">Kecenderungan Korwil per Nagari (kiriman user) + slot kosong yang digenapkan</t>
  </si>
  <si>
    <t xml:space="preserve">Baris pertama kiriman user (korwil Kafsal) tidak disertai kecamatan/nagari (terbaca sebagai judul kolom) sehingga tidak ikut dipetakan. Slot kosong diisi usulan: korwil yang masih kekurangan PML dan tendensinya terdekat dengan nagari itu.</t>
  </si>
  <si>
    <t xml:space="preserve">Korwil (kiriman user)</t>
  </si>
  <si>
    <t xml:space="preserve">Korwil setelah digenapkan</t>
  </si>
  <si>
    <t xml:space="preserve">Keterangan</t>
  </si>
  <si>
    <t xml:space="preserve">BUKIT SUNDI</t>
  </si>
  <si>
    <t xml:space="preserve">Kinari</t>
  </si>
  <si>
    <t xml:space="preserve">DANAU KEMBAR</t>
  </si>
  <si>
    <t xml:space="preserve">Simpang Tanjuang Nan Iv</t>
  </si>
  <si>
    <t xml:space="preserve">GUNUNG TALANG</t>
  </si>
  <si>
    <t xml:space="preserve">Aie Batumbuak</t>
  </si>
  <si>
    <t xml:space="preserve">IX KOTO SUNGAI LASI</t>
  </si>
  <si>
    <t xml:space="preserve">Sungai Durian</t>
  </si>
  <si>
    <t xml:space="preserve">JUNJUNG SIRIH</t>
  </si>
  <si>
    <t xml:space="preserve">KUBUNG</t>
  </si>
  <si>
    <t xml:space="preserve">Gaung</t>
  </si>
  <si>
    <t xml:space="preserve">(kosong)</t>
  </si>
  <si>
    <t xml:space="preserve">Usulan: Arini Alva Syaadah masih kekurangan PML dan nagari pilihannya terdekat.</t>
  </si>
  <si>
    <t xml:space="preserve">Usulan: Adriyanto masih kekurangan PML dan nagari pilihannya terdekat.</t>
  </si>
  <si>
    <t xml:space="preserve">LEMBAH GUMANTI</t>
  </si>
  <si>
    <t xml:space="preserve">Aie Dingin</t>
  </si>
  <si>
    <t xml:space="preserve">LEMBANG JAYA</t>
  </si>
  <si>
    <t xml:space="preserve">Batu Bajanjang</t>
  </si>
  <si>
    <t xml:space="preserve">Koto Gadang Koto Anau</t>
  </si>
  <si>
    <t xml:space="preserve">Koto Laweh</t>
  </si>
  <si>
    <t xml:space="preserve">PANTAI CERMIN</t>
  </si>
  <si>
    <t xml:space="preserve">Lolo</t>
  </si>
  <si>
    <t xml:space="preserve">X KOTO DIATAS</t>
  </si>
  <si>
    <t xml:space="preserve">X KOTO SINGKARAK</t>
  </si>
  <si>
    <t xml:space="preserve">Ringkasan Saran per Petugas (dari sheet Belum Plotting)</t>
  </si>
  <si>
    <t xml:space="preserve">Beban sekarang = jumlah Sub SLS yang sudah dipegang di alokasi; ditambah = jumlah saran baru.</t>
  </si>
  <si>
    <t xml:space="preserve">Petugas</t>
  </si>
  <si>
    <t xml:space="preserve">Ditambah (saran)</t>
  </si>
  <si>
    <t xml:space="preserve">Beban akhir</t>
  </si>
  <si>
    <t xml:space="preserve">Sub SLS yang disarankan</t>
  </si>
  <si>
    <t xml:space="preserve"> Pasa 01;  Pasa 02;  Rimbo Data 03;  Kampuang Dalam Tangah 07</t>
  </si>
  <si>
    <t xml:space="preserve">(lihat direktori)</t>
  </si>
  <si>
    <t xml:space="preserve"> Pasa 06;  Rimbo Data 01;  Rimbo Data 05;  Kampuang Dalam Tangah 05</t>
  </si>
  <si>
    <t xml:space="preserve">Salayo Tanang Bukik Sileh</t>
  </si>
  <si>
    <t xml:space="preserve"> Kampuang Dalam Tangah 01;  Kampuang Dalam Tangah 02;  Kampuang Dalam Tangah 03;  Kampuang Dalam Tangah 04</t>
  </si>
  <si>
    <t xml:space="preserve"> Aia Tawa Selatan 01;  Aia Tawa Selatan 02;  Aia Tawa Selatan 03;  Aia Tawa Selatan 04</t>
  </si>
  <si>
    <t xml:space="preserve"> Pasa 04;  Rimbo Data 02;  Rimbo Data 04;  Kampuang Dalam Tangah 06</t>
  </si>
  <si>
    <t xml:space="preserve">Paninjauan</t>
  </si>
  <si>
    <t xml:space="preserve"> Karimbang 01;  Karimbang 02</t>
  </si>
  <si>
    <t xml:space="preserve">Katialo</t>
  </si>
  <si>
    <t xml:space="preserve"> Karimbang 03;  Jaruai 00</t>
  </si>
  <si>
    <t xml:space="preserve"> Batu Putih 00;  Pasa 03</t>
  </si>
  <si>
    <t xml:space="preserve"> Balai Gadang 02</t>
  </si>
  <si>
    <t xml:space="preserve"> Balai Gadang 01</t>
  </si>
  <si>
    <t xml:space="preserve">Kacang</t>
  </si>
  <si>
    <t xml:space="preserve"> Mudik 01</t>
  </si>
  <si>
    <t xml:space="preserve"> Kapondong 00</t>
  </si>
  <si>
    <t xml:space="preserve"> Balai Tangah 01</t>
  </si>
  <si>
    <t xml:space="preserve">Koto Anau</t>
  </si>
  <si>
    <t xml:space="preserve"> Balai Tangah 02</t>
  </si>
  <si>
    <t xml:space="preserve"> Pasa 05</t>
  </si>
  <si>
    <t xml:space="preserve"> Balai Tangah 03</t>
  </si>
  <si>
    <t xml:space="preserve"> Mudik 02</t>
  </si>
  <si>
    <t xml:space="preserve"> Kampung Tangah 00</t>
  </si>
  <si>
    <t xml:space="preserve">Total Sub SLS disarankan</t>
  </si>
  <si>
    <t xml:space="preserve">Screening Petugas terhadap Peserta Pelatihan SPDT NTP 2026 (4–6 Okt 2026)</t>
  </si>
  <si>
    <t xml:space="preserve">Sumber: Surat B-401/13030/VS.220/2026 (55 PPL/PML). Aturan: PPL NTP tidak boleh rangkap bencana (kecuali Lia Angraini); PML NTP boleh rangkap tetapi dihindari. Tindakan = saran.</t>
  </si>
  <si>
    <t xml:space="preserve">Kelompok</t>
  </si>
  <si>
    <t xml:space="preserve">Nama</t>
  </si>
  <si>
    <t xml:space="preserve">Peran di bencana</t>
  </si>
  <si>
    <t xml:space="preserve">Peran di NTP</t>
  </si>
  <si>
    <t xml:space="preserve">Sub SLS dipegang</t>
  </si>
  <si>
    <t xml:space="preserve">Saran tindakan</t>
  </si>
  <si>
    <t xml:space="preserve">A. PPL NTP — masih memegang alokasi bencana</t>
  </si>
  <si>
    <t xml:space="preserve">Zahria Fitri Andini</t>
  </si>
  <si>
    <t xml:space="preserve">Alihkan 5 Sub SLS ke PPL lain; tidak boleh rangkap.</t>
  </si>
  <si>
    <t xml:space="preserve">Aniza Nurzanah</t>
  </si>
  <si>
    <t xml:space="preserve">Alihkan 2 Sub SLS ke PPL lain.</t>
  </si>
  <si>
    <t xml:space="preserve">Mirvan Harvia</t>
  </si>
  <si>
    <t xml:space="preserve">Sherli Handayani</t>
  </si>
  <si>
    <t xml:space="preserve">menolak</t>
  </si>
  <si>
    <t xml:space="preserve">Sudah menolak dan tetap memegang 1 Sub SLS; alihkan.</t>
  </si>
  <si>
    <t xml:space="preserve">B. PPL NTP — berstatus PPL bencana, belum memegang alokasi</t>
  </si>
  <si>
    <t xml:space="preserve">Dana Nokeladio</t>
  </si>
  <si>
    <t xml:space="preserve">Keluarkan dari daftar PPL bencana.</t>
  </si>
  <si>
    <t xml:space="preserve">Elsi Febriani</t>
  </si>
  <si>
    <t xml:space="preserve">Norlizah</t>
  </si>
  <si>
    <t xml:space="preserve">Rona Afriyeni</t>
  </si>
  <si>
    <t xml:space="preserve">C. PPL NTP — berstatus PML bencana</t>
  </si>
  <si>
    <t xml:space="preserve">PPL NTP: tidak boleh rangkap, termasuk sebagai PML bencana; cari pengganti PML.</t>
  </si>
  <si>
    <t xml:space="preserve">PPL NTP: tidak boleh rangkap; cari pengganti PML.</t>
  </si>
  <si>
    <t xml:space="preserve">DIKECUALIKAN (arahan user): boleh rangkap bencana.</t>
  </si>
  <si>
    <t xml:space="preserve">D. PML NTP — PML bencana (boleh rangkap, sebaiknya dihindari)</t>
  </si>
  <si>
    <t xml:space="preserve">Boleh rangkap; gunakan hanya jika tidak ada pengganti.</t>
  </si>
  <si>
    <t xml:space="preserve">Boleh rangkap; hindari bila bisa.</t>
  </si>
  <si>
    <t xml:space="preserve">E. PPL NTP — kolam mitra (belum PPL bencana)</t>
  </si>
  <si>
    <t xml:space="preserve">Adrinadi</t>
  </si>
  <si>
    <t xml:space="preserve">mitra (belum PPL)</t>
  </si>
  <si>
    <t xml:space="preserve">Tidak boleh dijadikan PPL bencana.</t>
  </si>
  <si>
    <t xml:space="preserve">Aldi Gusnanda</t>
  </si>
  <si>
    <t xml:space="preserve">Annisa Fitri</t>
  </si>
  <si>
    <t xml:space="preserve">Sulik Aia</t>
  </si>
  <si>
    <t xml:space="preserve">Arifandi Shafitra</t>
  </si>
  <si>
    <t xml:space="preserve">Pasilihan</t>
  </si>
  <si>
    <t xml:space="preserve">Asty Novfelia</t>
  </si>
  <si>
    <t xml:space="preserve">Atika Millinia Putri</t>
  </si>
  <si>
    <t xml:space="preserve">Sariak Alahan Tigo</t>
  </si>
  <si>
    <t xml:space="preserve">Audira Mart Herda Putri</t>
  </si>
  <si>
    <t xml:space="preserve">Dilam</t>
  </si>
  <si>
    <t xml:space="preserve">Bukhtiar</t>
  </si>
  <si>
    <t xml:space="preserve">Sirukam</t>
  </si>
  <si>
    <t xml:space="preserve">Cindy Mutia Agustri</t>
  </si>
  <si>
    <t xml:space="preserve">Destifa Ilhamni</t>
  </si>
  <si>
    <t xml:space="preserve">Ega Andini</t>
  </si>
  <si>
    <t xml:space="preserve">Febra Azizah</t>
  </si>
  <si>
    <t xml:space="preserve">Fitri Arestia</t>
  </si>
  <si>
    <t xml:space="preserve">Hermansyah Putra</t>
  </si>
  <si>
    <t xml:space="preserve">Ira Novita Sari</t>
  </si>
  <si>
    <t xml:space="preserve">Bukik Kanduang</t>
  </si>
  <si>
    <t xml:space="preserve">Lidya Rahmawati Amsah</t>
  </si>
  <si>
    <t xml:space="preserve">Taruang-taruang</t>
  </si>
  <si>
    <t xml:space="preserve">Lira Indriani</t>
  </si>
  <si>
    <t xml:space="preserve">Salimpek</t>
  </si>
  <si>
    <t xml:space="preserve">Mia Anizar Yulia Fitri</t>
  </si>
  <si>
    <t xml:space="preserve">Miftahur Rahmah</t>
  </si>
  <si>
    <t xml:space="preserve">Muhammad Rizal</t>
  </si>
  <si>
    <t xml:space="preserve">Rabiatul Fauziah</t>
  </si>
  <si>
    <t xml:space="preserve">Surian</t>
  </si>
  <si>
    <t xml:space="preserve">Rahma Widya Sari</t>
  </si>
  <si>
    <t xml:space="preserve">Risma Dani</t>
  </si>
  <si>
    <t xml:space="preserve">Talang Babungo</t>
  </si>
  <si>
    <t xml:space="preserve">Siski Rahma Novita</t>
  </si>
  <si>
    <t xml:space="preserve">Sisri Suryani</t>
  </si>
  <si>
    <t xml:space="preserve">Muaro Paneh</t>
  </si>
  <si>
    <t xml:space="preserve">Vegita Dwi Yuniza</t>
  </si>
  <si>
    <t xml:space="preserve">Yola Mulia Putri</t>
  </si>
  <si>
    <t xml:space="preserve">F. PML NTP — kolam mitra</t>
  </si>
  <si>
    <t xml:space="preserve">Aprilla Insan Suci</t>
  </si>
  <si>
    <t xml:space="preserve">Boleh rangkap bila diangkat PPL bencana, tetapi dihindari (sudah tidak dipakai di saran).</t>
  </si>
  <si>
    <t xml:space="preserve">Metri Jaya Putra</t>
  </si>
  <si>
    <t xml:space="preserve">Noval Afrian Putra</t>
  </si>
  <si>
    <t xml:space="preserve">Putri Marvina Coswari</t>
  </si>
  <si>
    <t xml:space="preserve">Rahiyatul Ulfa</t>
  </si>
  <si>
    <t xml:space="preserve">Rahmi Febrina Sari</t>
  </si>
  <si>
    <t xml:space="preserve">Rahmy Annisa Adlis</t>
  </si>
  <si>
    <t xml:space="preserve">Solvia Maivita</t>
  </si>
  <si>
    <t xml:space="preserve">Sri Mulyati</t>
  </si>
  <si>
    <t xml:space="preserve">Yessi Adriani</t>
  </si>
  <si>
    <t xml:space="preserve">Yulia Geni Putri</t>
  </si>
  <si>
    <t xml:space="preserve">G. Peserta NTP yang belum cocok dengan roster petugas bencana</t>
  </si>
  <si>
    <t xml:space="preserve">Lingga Ayunda Pradipta</t>
  </si>
  <si>
    <t xml:space="preserve">Tidak ada di roster bencana; tidak ada tindakan.</t>
  </si>
  <si>
    <t xml:space="preserve">Hadisty Nelva</t>
  </si>
  <si>
    <t xml:space="preserve">Simpang Tanjuang Nan IV</t>
  </si>
  <si>
    <t xml:space="preserve">H. Berflag SPDT NTP di sistem tetapi tidak ada di PDF</t>
  </si>
  <si>
    <t xml:space="preserve">Aidil Ode Pitra</t>
  </si>
  <si>
    <t xml:space="preserve">(tidak ada)</t>
  </si>
  <si>
    <t xml:space="preserve">Flag NTP belum dihapus; mohon konfirmasi apakah masih berlaku.</t>
  </si>
  <si>
    <t xml:space="preserve">Annisa Musri</t>
  </si>
  <si>
    <t xml:space="preserve">Jawi-Jawi Guguak</t>
  </si>
  <si>
    <t xml:space="preserve">Halimah Tusa'diah</t>
  </si>
  <si>
    <t xml:space="preserve">Meigi Yeliza</t>
  </si>
  <si>
    <t xml:space="preserve">Shinta Julfitri</t>
  </si>
  <si>
    <t xml:space="preserve">Silki Ikrima</t>
  </si>
  <si>
    <t xml:space="preserve">Tanah Garam</t>
  </si>
  <si>
    <t xml:space="preserve">Perwakilan Petugas di 29 Nagari Alokasi Awal Pusat</t>
  </si>
  <si>
    <t xml:space="preserve">"Layak" = berdomisili di nagari, mengajukan diri, tidak menolak, tidak kena red flag/rekomendasi PML, dan bukan PPL NTP. Domisili dihitung dari nama nagari.</t>
  </si>
  <si>
    <t xml:space="preserve">ID Desa</t>
  </si>
  <si>
    <t xml:space="preserve">Anggota DTSEN 2026 V2</t>
  </si>
  <si>
    <t xml:space="preserve">KK wilkerstat</t>
  </si>
  <si>
    <t xml:space="preserve">KK SE</t>
  </si>
  <si>
    <t xml:space="preserve">KK terdampak (pusat)</t>
  </si>
  <si>
    <t xml:space="preserve">KK penerima bantuan (pusat)</t>
  </si>
  <si>
    <t xml:space="preserve">Sub SLS daftar awal</t>
  </si>
  <si>
    <t xml:space="preserve">Sub SLS wilayah kerja</t>
  </si>
  <si>
    <t xml:space="preserve">Petugas domisili</t>
  </si>
  <si>
    <t xml:space="preserve">Mengajukan diri</t>
  </si>
  <si>
    <t xml:space="preserve">Layak</t>
  </si>
  <si>
    <t xml:space="preserve">PPL bencana</t>
  </si>
  <si>
    <t xml:space="preserve">PPL NTP (tidak bisa)</t>
  </si>
  <si>
    <t xml:space="preserve">Status perwakilan</t>
  </si>
  <si>
    <t xml:space="preserve">1303090002</t>
  </si>
  <si>
    <t xml:space="preserve">1303080002</t>
  </si>
  <si>
    <t xml:space="preserve">1303100006</t>
  </si>
  <si>
    <t xml:space="preserve">IX Koto Sungai Lasi</t>
  </si>
  <si>
    <t xml:space="preserve">1303110001</t>
  </si>
  <si>
    <t xml:space="preserve">Satu petugas domisili adalah PPL NTP (Yelli Novita Sari).</t>
  </si>
  <si>
    <t xml:space="preserve">1303070004</t>
  </si>
  <si>
    <t xml:space="preserve">Lembang Jaya</t>
  </si>
  <si>
    <t xml:space="preserve">Ada dua nagari bernama sama (Lembang Jaya dan IX Koto Sungai Lasi); angka domisili bisa tercampur.</t>
  </si>
  <si>
    <t xml:space="preserve">1303090005</t>
  </si>
  <si>
    <t xml:space="preserve">Satu petugas domisili, belum mengajukan diri; Kampung Tangah disarankan ke Yogi Eka Putra (Panyakalan, 1,4 km).</t>
  </si>
  <si>
    <t xml:space="preserve">1303080001</t>
  </si>
  <si>
    <t xml:space="preserve">1303080008</t>
  </si>
  <si>
    <t xml:space="preserve">1303070001</t>
  </si>
  <si>
    <t xml:space="preserve">KK terdampak pusat 1, belum ada Sub SLS wilker (domisili tercatat 'Koto Anau').</t>
  </si>
  <si>
    <t xml:space="preserve">1303070006</t>
  </si>
  <si>
    <t xml:space="preserve">Ada dua nagari bernama sama (Lembang Jaya dan Tigo Lurah) — angka domisili bisa tercampur. KK terdampak pusat 1, belum ada Sub SLS wilker.</t>
  </si>
  <si>
    <t xml:space="preserve">1303120007</t>
  </si>
  <si>
    <t xml:space="preserve">Tidak ada yang layak (1 mengajukan diri adalah PPL NTP).</t>
  </si>
  <si>
    <t xml:space="preserve">1303071001</t>
  </si>
  <si>
    <t xml:space="preserve">1303050002</t>
  </si>
  <si>
    <t xml:space="preserve">3 dari 5 yang mengajukan diri adalah PPL NTP; 11 Sub SLS PDF dilayani mitra domisili (Arismen, Resi Linda Putri, Witri Nadia, Nindi Oktaviana).</t>
  </si>
  <si>
    <t xml:space="preserve">1303120009</t>
  </si>
  <si>
    <t xml:space="preserve">Tidak ada petugas berdomisili; 4 Sub SLS wilker diisi petugas dari nagari lain (Paninjauan, Katialo).</t>
  </si>
  <si>
    <t xml:space="preserve">1303110008</t>
  </si>
  <si>
    <t xml:space="preserve">1303071002</t>
  </si>
  <si>
    <t xml:space="preserve">Tidak ada yang layak dari 8 petugas domisili (1 mengajukan diri).</t>
  </si>
  <si>
    <t xml:space="preserve">1303050001</t>
  </si>
  <si>
    <t xml:space="preserve">Pusat 4 KK; 1 dari 55 Sub SLS masuk wilker (Batu Putih). Dua petugas domisili adalah PPL NTP.</t>
  </si>
  <si>
    <t xml:space="preserve">1303080007</t>
  </si>
  <si>
    <t xml:space="preserve">1303110006</t>
  </si>
  <si>
    <t xml:space="preserve">Tidak ada yang layak; Sub SLS Kapondong disarankan ke PPL Eka Ramadani (Selayo, 3,3 km).</t>
  </si>
  <si>
    <t xml:space="preserve">1303080004</t>
  </si>
  <si>
    <t xml:space="preserve">1303050004</t>
  </si>
  <si>
    <t xml:space="preserve">1303130002</t>
  </si>
  <si>
    <t xml:space="preserve">1303130006</t>
  </si>
  <si>
    <t xml:space="preserve">1303040002</t>
  </si>
  <si>
    <t xml:space="preserve">Pantai Cermin</t>
  </si>
  <si>
    <t xml:space="preserve">Pusat 97 KK terdampak tetapi baru 2 dari 19 Sub SLS masuk wilker; perwakilan hanya 1 (PPL NTP, tidak bisa).</t>
  </si>
  <si>
    <t xml:space="preserve">1303140002</t>
  </si>
  <si>
    <t xml:space="preserve">Junjung Sirih</t>
  </si>
  <si>
    <t xml:space="preserve">Pusat 133 KK; wilker 30 Sub SLS, hanya 2 petugas layak.</t>
  </si>
  <si>
    <t xml:space="preserve">1303140001</t>
  </si>
  <si>
    <t xml:space="preserve">1303130004</t>
  </si>
  <si>
    <t xml:space="preserve">Pusat 326 KK; wilker 23 Sub SLS, hanya 1 petugas layak.</t>
  </si>
  <si>
    <t xml:space="preserve">1303130005</t>
  </si>
  <si>
    <t xml:space="preserve">Hanya 2 petugas domisili, tidak ada yang layak; pusat 326 KK terdampak, 12 Sub SLS wilker. Dilayani dari Sumani/Singkarak/Muaro Pingai.</t>
  </si>
  <si>
    <t xml:space="preserve">1303110007</t>
  </si>
  <si>
    <t xml:space="preserve">Pusat 500 KK; wilker 27 Sub SLS tetapi hanya 2 petugas layak (4 PPL bencana, 1 PPL NTP).</t>
  </si>
  <si>
    <t xml:space="preserve">Jorong (SLS)</t>
  </si>
  <si>
    <t xml:space="preserve">Flag</t>
  </si>
  <si>
    <t xml:space="preserve">Daftar awal</t>
  </si>
  <si>
    <t xml:space="preserve">Wilayah kerja</t>
  </si>
  <si>
    <t xml:space="preserve">KK terdampak (estimasi admin)</t>
  </si>
  <si>
    <t xml:space="preserve">Mitra menandai terdampak</t>
  </si>
  <si>
    <t xml:space="preserve">Mitra ragu-ragu</t>
  </si>
  <si>
    <t xml:space="preserve">PPL ditugaskan</t>
  </si>
  <si>
    <t xml:space="preserve">KK terverifikasi (level jorong)</t>
  </si>
  <si>
    <t xml:space="preserve">Saran (usulan, bukan keputusan)</t>
  </si>
  <si>
    <t xml:space="preserve">ID SLS</t>
  </si>
  <si>
    <t xml:space="preserve">Status plotting</t>
  </si>
  <si>
    <t xml:space="preserve">Saran PPL (khusus yang belum plotting)</t>
  </si>
  <si>
    <t xml:space="preserve">1303040002000100</t>
  </si>
  <si>
    <t xml:space="preserve">Jorong Banto Mudiak</t>
  </si>
  <si>
    <t xml:space="preserve">Tidak</t>
  </si>
  <si>
    <t xml:space="preserve">Tidak ada indikasi tambahan</t>
  </si>
  <si>
    <t xml:space="preserve">13030400020001</t>
  </si>
  <si>
    <t xml:space="preserve">Sumber korwil</t>
  </si>
  <si>
    <t xml:space="preserve">Nagari sesuai kecenderungan korwil?</t>
  </si>
  <si>
    <t xml:space="preserve">1303040002000200</t>
  </si>
  <si>
    <t xml:space="preserve">Jorong Banto Hilia</t>
  </si>
  <si>
    <t xml:space="preserve">13030400020002</t>
  </si>
  <si>
    <t xml:space="preserve">1303040002000300</t>
  </si>
  <si>
    <t xml:space="preserve">Jorong Pintu Rimbo</t>
  </si>
  <si>
    <t xml:space="preserve">13030400020003</t>
  </si>
  <si>
    <t xml:space="preserve">1303040002000401</t>
  </si>
  <si>
    <t xml:space="preserve">Jorong Ulu Lolo</t>
  </si>
  <si>
    <t xml:space="preserve">13030400020004</t>
  </si>
  <si>
    <t xml:space="preserve">1303040002000402</t>
  </si>
  <si>
    <t xml:space="preserve">1303040002000501</t>
  </si>
  <si>
    <t xml:space="preserve">Jorong Pasa Lolo</t>
  </si>
  <si>
    <t xml:space="preserve">13030400020005</t>
  </si>
  <si>
    <t xml:space="preserve">1303040002000502</t>
  </si>
  <si>
    <t xml:space="preserve">1303040002000601</t>
  </si>
  <si>
    <t xml:space="preserve">Jorong Lubuak Batu Kuniang</t>
  </si>
  <si>
    <t xml:space="preserve">13030400020006</t>
  </si>
  <si>
    <t xml:space="preserve">1303040002000602</t>
  </si>
  <si>
    <t xml:space="preserve">1303040002000701</t>
  </si>
  <si>
    <t xml:space="preserve">Jorong Pisau Hilang</t>
  </si>
  <si>
    <t xml:space="preserve">13030400020007</t>
  </si>
  <si>
    <t xml:space="preserve">1303040002000702</t>
  </si>
  <si>
    <t xml:space="preserve">1303040002000800</t>
  </si>
  <si>
    <t xml:space="preserve">Jorong Ulu Pisau Hilang</t>
  </si>
  <si>
    <t xml:space="preserve">13030400020008</t>
  </si>
  <si>
    <t xml:space="preserve">1303040002000900</t>
  </si>
  <si>
    <t xml:space="preserve">Jorong Muaro Pisau Hilang</t>
  </si>
  <si>
    <t xml:space="preserve">Elvika oktasari</t>
  </si>
  <si>
    <t xml:space="preserve">13030400020009</t>
  </si>
  <si>
    <t xml:space="preserve">PML dari PPL yang memegang</t>
  </si>
  <si>
    <t xml:space="preserve">1303040002001001</t>
  </si>
  <si>
    <t xml:space="preserve">Jorong Aia Daliak</t>
  </si>
  <si>
    <t xml:space="preserve">13030400020010</t>
  </si>
  <si>
    <t xml:space="preserve">1303040002001002</t>
  </si>
  <si>
    <t xml:space="preserve">1303040002001100</t>
  </si>
  <si>
    <t xml:space="preserve">Jorong Aia Janiah</t>
  </si>
  <si>
    <t xml:space="preserve">13030400020011</t>
  </si>
  <si>
    <t xml:space="preserve">1303040002001200</t>
  </si>
  <si>
    <t xml:space="preserve">Jorong Sungai Indaruang</t>
  </si>
  <si>
    <t xml:space="preserve">13030400020012</t>
  </si>
  <si>
    <t xml:space="preserve">1303040002001300</t>
  </si>
  <si>
    <t xml:space="preserve">Jorong Muaro Sungai Indaruang</t>
  </si>
  <si>
    <t xml:space="preserve">13030400020013</t>
  </si>
  <si>
    <t xml:space="preserve">1303040002001400</t>
  </si>
  <si>
    <t xml:space="preserve">Jorong Ulu Sungai Indaruang</t>
  </si>
  <si>
    <t xml:space="preserve">13030400020014</t>
  </si>
  <si>
    <t xml:space="preserve">1303050001000101</t>
  </si>
  <si>
    <t xml:space="preserve">Jorong Alahan Panjang</t>
  </si>
  <si>
    <t xml:space="preserve">13030500010001</t>
  </si>
  <si>
    <t xml:space="preserve">1303050001000102</t>
  </si>
  <si>
    <t xml:space="preserve">1303050001000103</t>
  </si>
  <si>
    <t xml:space="preserve">1303050001000104</t>
  </si>
  <si>
    <t xml:space="preserve">1303050001000105</t>
  </si>
  <si>
    <t xml:space="preserve">1303050001000106</t>
  </si>
  <si>
    <t xml:space="preserve">1303050001000107</t>
  </si>
  <si>
    <t xml:space="preserve">1303050001000108</t>
  </si>
  <si>
    <t xml:space="preserve">08</t>
  </si>
  <si>
    <t xml:space="preserve">1303050001000109</t>
  </si>
  <si>
    <t xml:space="preserve">09</t>
  </si>
  <si>
    <t xml:space="preserve">1303050001000110</t>
  </si>
  <si>
    <t xml:space="preserve">10</t>
  </si>
  <si>
    <t xml:space="preserve">1303050001000111</t>
  </si>
  <si>
    <t xml:space="preserve">11</t>
  </si>
  <si>
    <t xml:space="preserve">1303050001000112</t>
  </si>
  <si>
    <t xml:space="preserve">12</t>
  </si>
  <si>
    <t xml:space="preserve">1303050001000113</t>
  </si>
  <si>
    <t xml:space="preserve">13</t>
  </si>
  <si>
    <t xml:space="preserve">1303050001000114</t>
  </si>
  <si>
    <t xml:space="preserve">14</t>
  </si>
  <si>
    <t xml:space="preserve">1303050001000115</t>
  </si>
  <si>
    <t xml:space="preserve">15</t>
  </si>
  <si>
    <t xml:space="preserve">1303050001000116</t>
  </si>
  <si>
    <t xml:space="preserve">16</t>
  </si>
  <si>
    <t xml:space="preserve">1303050001000117</t>
  </si>
  <si>
    <t xml:space="preserve">17</t>
  </si>
  <si>
    <t xml:space="preserve">1303050001000118</t>
  </si>
  <si>
    <t xml:space="preserve">18</t>
  </si>
  <si>
    <t xml:space="preserve">1303050001000201</t>
  </si>
  <si>
    <t xml:space="preserve">Jorong Taratak Galundi</t>
  </si>
  <si>
    <t xml:space="preserve">13030500010002</t>
  </si>
  <si>
    <t xml:space="preserve">1303050001000202</t>
  </si>
  <si>
    <t xml:space="preserve">1303050001000203</t>
  </si>
  <si>
    <t xml:space="preserve">1303050001000204</t>
  </si>
  <si>
    <t xml:space="preserve">1303050001000205</t>
  </si>
  <si>
    <t xml:space="preserve">1303050001000206</t>
  </si>
  <si>
    <t xml:space="preserve">1303050001000207</t>
  </si>
  <si>
    <t xml:space="preserve">Ditambahkan 4 Okt 2026 dari PDF verifikasi 4-6 Jan 2026; BELUM PLOTTING</t>
  </si>
  <si>
    <t xml:space="preserve">13030500010003</t>
  </si>
  <si>
    <t xml:space="preserve">Siti Oktavia (mitra baru, 5.3 km)</t>
  </si>
  <si>
    <t xml:space="preserve">Kecenderungan nagari (PPL saran belum punya PML)</t>
  </si>
  <si>
    <t xml:space="preserve">1303050001000401</t>
  </si>
  <si>
    <t xml:space="preserve">Jorong Galagah</t>
  </si>
  <si>
    <t xml:space="preserve">13030500010004</t>
  </si>
  <si>
    <t xml:space="preserve">1303050001000402</t>
  </si>
  <si>
    <t xml:space="preserve">1303050001000403</t>
  </si>
  <si>
    <t xml:space="preserve">1303050001000404</t>
  </si>
  <si>
    <t xml:space="preserve">1303050001000405</t>
  </si>
  <si>
    <t xml:space="preserve">1303050001000406</t>
  </si>
  <si>
    <t xml:space="preserve">1303050001000407</t>
  </si>
  <si>
    <t xml:space="preserve">1303050001000408</t>
  </si>
  <si>
    <t xml:space="preserve">1303050001000501</t>
  </si>
  <si>
    <t xml:space="preserve">Jorong Taluak Dalam</t>
  </si>
  <si>
    <t xml:space="preserve">13030500010005</t>
  </si>
  <si>
    <t xml:space="preserve">1303050001000502</t>
  </si>
  <si>
    <t xml:space="preserve">1303050001000503</t>
  </si>
  <si>
    <t xml:space="preserve">1303050001000504</t>
  </si>
  <si>
    <t xml:space="preserve">1303050001000600</t>
  </si>
  <si>
    <t xml:space="preserve">Jorong Taratak Tangah</t>
  </si>
  <si>
    <t xml:space="preserve">13030500010006</t>
  </si>
  <si>
    <t xml:space="preserve">1303050001000701</t>
  </si>
  <si>
    <t xml:space="preserve">Jorong Panggalian Kayu</t>
  </si>
  <si>
    <t xml:space="preserve">13030500010007</t>
  </si>
  <si>
    <t xml:space="preserve">1303050001000702</t>
  </si>
  <si>
    <t xml:space="preserve">1303050001000703</t>
  </si>
  <si>
    <t xml:space="preserve">1303050001000704</t>
  </si>
  <si>
    <t xml:space="preserve">1303050001000705</t>
  </si>
  <si>
    <t xml:space="preserve">1303050001000706</t>
  </si>
  <si>
    <t xml:space="preserve">1303050001000801</t>
  </si>
  <si>
    <t xml:space="preserve">Jorong Batang Hari</t>
  </si>
  <si>
    <t xml:space="preserve">13030500010008</t>
  </si>
  <si>
    <t xml:space="preserve">1303050001000802</t>
  </si>
  <si>
    <t xml:space="preserve">1303050001000803</t>
  </si>
  <si>
    <t xml:space="preserve">1303050001000901</t>
  </si>
  <si>
    <t xml:space="preserve">Jorong Usak</t>
  </si>
  <si>
    <t xml:space="preserve">13030500010009</t>
  </si>
  <si>
    <t xml:space="preserve">1303050001000902</t>
  </si>
  <si>
    <t xml:space="preserve">1303050001000903</t>
  </si>
  <si>
    <t xml:space="preserve">1303050001001001</t>
  </si>
  <si>
    <t xml:space="preserve">Jorong Padang Laweh</t>
  </si>
  <si>
    <t xml:space="preserve">13030500010010</t>
  </si>
  <si>
    <t xml:space="preserve">1303050001001002</t>
  </si>
  <si>
    <t xml:space="preserve">1303050001001003</t>
  </si>
  <si>
    <t xml:space="preserve">1303050001600100</t>
  </si>
  <si>
    <t xml:space="preserve">Danau Diatas Kec. Lembah Gumanti</t>
  </si>
  <si>
    <t xml:space="preserve">13030500016001</t>
  </si>
  <si>
    <t xml:space="preserve">13030500020001</t>
  </si>
  <si>
    <t xml:space="preserve">Arismen (mitra baru, 0.0 km)</t>
  </si>
  <si>
    <t xml:space="preserve">Arismen (mitra baru, 0.1 km)</t>
  </si>
  <si>
    <t xml:space="preserve">Siti Oktavia (mitra baru, 2.8 km)</t>
  </si>
  <si>
    <t xml:space="preserve">Witri Nadia Devita Sari (mitra baru, 1.2 km)</t>
  </si>
  <si>
    <t xml:space="preserve">Nindi Oktaviana (mitra baru, 1.6 km)</t>
  </si>
  <si>
    <t xml:space="preserve">Resi Linda Putri (mitra baru, 0.9 km)</t>
  </si>
  <si>
    <t xml:space="preserve">1303050002000201</t>
  </si>
  <si>
    <t xml:space="preserve">Jorong Koto</t>
  </si>
  <si>
    <t xml:space="preserve">13030500020002</t>
  </si>
  <si>
    <t xml:space="preserve">1303050002000202</t>
  </si>
  <si>
    <t xml:space="preserve">1303050002000203</t>
  </si>
  <si>
    <t xml:space="preserve">1303050002000204</t>
  </si>
  <si>
    <t xml:space="preserve">1303050002000301</t>
  </si>
  <si>
    <t xml:space="preserve">Jorong Parak Tabu</t>
  </si>
  <si>
    <t xml:space="preserve">13030500020003</t>
  </si>
  <si>
    <t xml:space="preserve">1303050002000302</t>
  </si>
  <si>
    <t xml:space="preserve">1303050002000303</t>
  </si>
  <si>
    <t xml:space="preserve">1303050002000401</t>
  </si>
  <si>
    <t xml:space="preserve">Jorong Sapan  Munggu 3</t>
  </si>
  <si>
    <t xml:space="preserve">13030500020004</t>
  </si>
  <si>
    <t xml:space="preserve">1303050002000402</t>
  </si>
  <si>
    <t xml:space="preserve">1303050002000501</t>
  </si>
  <si>
    <t xml:space="preserve">Jorong Lipek Pageh</t>
  </si>
  <si>
    <t xml:space="preserve">13030500020005</t>
  </si>
  <si>
    <t xml:space="preserve">1303050002000502</t>
  </si>
  <si>
    <t xml:space="preserve">1303050002000503</t>
  </si>
  <si>
    <t xml:space="preserve">1303050002000600</t>
  </si>
  <si>
    <t xml:space="preserve">13030500020006</t>
  </si>
  <si>
    <t xml:space="preserve">1303050002000701</t>
  </si>
  <si>
    <t xml:space="preserve">Jorong Pakan Sabtu</t>
  </si>
  <si>
    <t xml:space="preserve">13030500020007</t>
  </si>
  <si>
    <t xml:space="preserve">1303050002000702</t>
  </si>
  <si>
    <t xml:space="preserve">1303050002000801</t>
  </si>
  <si>
    <t xml:space="preserve">Jorong Taratak Pauh</t>
  </si>
  <si>
    <t xml:space="preserve">13030500020008</t>
  </si>
  <si>
    <t xml:space="preserve">1303050002000802</t>
  </si>
  <si>
    <t xml:space="preserve">1303050002000803</t>
  </si>
  <si>
    <t xml:space="preserve">1303050002000804</t>
  </si>
  <si>
    <t xml:space="preserve">1303050002000805</t>
  </si>
  <si>
    <t xml:space="preserve">1303050002000806</t>
  </si>
  <si>
    <t xml:space="preserve">1303050002000807</t>
  </si>
  <si>
    <t xml:space="preserve">1303050002000808</t>
  </si>
  <si>
    <t xml:space="preserve">1303050002000901</t>
  </si>
  <si>
    <t xml:space="preserve">13030500020009</t>
  </si>
  <si>
    <t xml:space="preserve">1303050002000902</t>
  </si>
  <si>
    <t xml:space="preserve">1303050002000903</t>
  </si>
  <si>
    <t xml:space="preserve">1303050002001000</t>
  </si>
  <si>
    <t xml:space="preserve">Jorong Limau Parigi</t>
  </si>
  <si>
    <t xml:space="preserve">13030500020010</t>
  </si>
  <si>
    <t xml:space="preserve">1303050002001101</t>
  </si>
  <si>
    <t xml:space="preserve">Jorong Aia Sanam</t>
  </si>
  <si>
    <t xml:space="preserve">13030500020011</t>
  </si>
  <si>
    <t xml:space="preserve">1303050002001102</t>
  </si>
  <si>
    <t xml:space="preserve">1303050002001103</t>
  </si>
  <si>
    <t xml:space="preserve">1303050002001104</t>
  </si>
  <si>
    <t xml:space="preserve">1303050002001105</t>
  </si>
  <si>
    <t xml:space="preserve">1303050002001106</t>
  </si>
  <si>
    <t xml:space="preserve">1303050002001201</t>
  </si>
  <si>
    <t xml:space="preserve">Jorong Limau Puruik</t>
  </si>
  <si>
    <t xml:space="preserve">13030500020012</t>
  </si>
  <si>
    <t xml:space="preserve">1303050002001202</t>
  </si>
  <si>
    <t xml:space="preserve">1303050002001203</t>
  </si>
  <si>
    <t xml:space="preserve">1303050002001204</t>
  </si>
  <si>
    <t xml:space="preserve">1303050002001205</t>
  </si>
  <si>
    <t xml:space="preserve">1303050002001301</t>
  </si>
  <si>
    <t xml:space="preserve">Jorong Lekok Batu Gadang</t>
  </si>
  <si>
    <t xml:space="preserve">13030500020013</t>
  </si>
  <si>
    <t xml:space="preserve">1303050002001302</t>
  </si>
  <si>
    <t xml:space="preserve">1303050002001303</t>
  </si>
  <si>
    <t xml:space="preserve">1303050002001304</t>
  </si>
  <si>
    <t xml:space="preserve">1303050002001305</t>
  </si>
  <si>
    <t xml:space="preserve">Jorong Rimbo  Data</t>
  </si>
  <si>
    <t xml:space="preserve">13030500020014</t>
  </si>
  <si>
    <t xml:space="preserve">Resi Linda Putri (mitra baru, 1.9 km)</t>
  </si>
  <si>
    <t xml:space="preserve">Witri Nadia Devita Sari (mitra baru, 3.9 km)</t>
  </si>
  <si>
    <t xml:space="preserve">Arismen (mitra baru, 3.3 km)</t>
  </si>
  <si>
    <t xml:space="preserve">Witri Nadia Devita Sari (mitra baru, 4.4 km)</t>
  </si>
  <si>
    <t xml:space="preserve">Resi Linda Putri (mitra baru, 2.2 km)</t>
  </si>
  <si>
    <t xml:space="preserve">1303050002001500</t>
  </si>
  <si>
    <t xml:space="preserve">Jorong Sariak Bayang</t>
  </si>
  <si>
    <t xml:space="preserve">13030500020015</t>
  </si>
  <si>
    <t xml:space="preserve">1303050004000101</t>
  </si>
  <si>
    <t xml:space="preserve">Gusna Wirda</t>
  </si>
  <si>
    <t xml:space="preserve">13030500040001</t>
  </si>
  <si>
    <t xml:space="preserve">1303050004000102</t>
  </si>
  <si>
    <t xml:space="preserve">1303050004000103</t>
  </si>
  <si>
    <t xml:space="preserve">1303050004000104</t>
  </si>
  <si>
    <t xml:space="preserve">1303050004000105</t>
  </si>
  <si>
    <t xml:space="preserve">1303050004000106</t>
  </si>
  <si>
    <t xml:space="preserve">Pertimbangkan ditambah: 24 KK terverifikasi di jorong ini</t>
  </si>
  <si>
    <t xml:space="preserve">1303050004000107</t>
  </si>
  <si>
    <t xml:space="preserve">1303050004000201</t>
  </si>
  <si>
    <t xml:space="preserve">Jorong Data</t>
  </si>
  <si>
    <t xml:space="preserve">Wahyuni Oktavia</t>
  </si>
  <si>
    <t xml:space="preserve">13030500040002</t>
  </si>
  <si>
    <t xml:space="preserve">1303050004000202</t>
  </si>
  <si>
    <t xml:space="preserve">1303050004000203</t>
  </si>
  <si>
    <t xml:space="preserve">1303050004000301</t>
  </si>
  <si>
    <t xml:space="preserve">Jorong Aie Sonsang</t>
  </si>
  <si>
    <t xml:space="preserve">Cek: 3 KK terverifikasi di jorong ini</t>
  </si>
  <si>
    <t xml:space="preserve">13030500040003</t>
  </si>
  <si>
    <t xml:space="preserve">1303050004000302</t>
  </si>
  <si>
    <t xml:space="preserve">1303050004000303</t>
  </si>
  <si>
    <t xml:space="preserve">1303050004000304</t>
  </si>
  <si>
    <t xml:space="preserve">1303050004000401</t>
  </si>
  <si>
    <t xml:space="preserve">Jorong Aie Abu</t>
  </si>
  <si>
    <t xml:space="preserve">13030500040004</t>
  </si>
  <si>
    <t xml:space="preserve">1303050004000402</t>
  </si>
  <si>
    <t xml:space="preserve">1303050004000501</t>
  </si>
  <si>
    <t xml:space="preserve">Jorong Cubadak</t>
  </si>
  <si>
    <t xml:space="preserve">13030500040005</t>
  </si>
  <si>
    <t xml:space="preserve">1303050004000502</t>
  </si>
  <si>
    <t xml:space="preserve">1303050004000503</t>
  </si>
  <si>
    <t xml:space="preserve">1303050004000601</t>
  </si>
  <si>
    <t xml:space="preserve">Jorong Kayu Aro</t>
  </si>
  <si>
    <t xml:space="preserve">13030500040006</t>
  </si>
  <si>
    <t xml:space="preserve">1303050004000602</t>
  </si>
  <si>
    <t xml:space="preserve">Cek: 1 mitra ragu-ragu</t>
  </si>
  <si>
    <t xml:space="preserve">1303050004000701</t>
  </si>
  <si>
    <t xml:space="preserve">Jorong Koto Baru</t>
  </si>
  <si>
    <t xml:space="preserve">13030500040007</t>
  </si>
  <si>
    <t xml:space="preserve">1303050004000702</t>
  </si>
  <si>
    <t xml:space="preserve">1303050004000703</t>
  </si>
  <si>
    <t xml:space="preserve">1303050004000704</t>
  </si>
  <si>
    <t xml:space="preserve">1303050004000705</t>
  </si>
  <si>
    <t xml:space="preserve">1303070001000100</t>
  </si>
  <si>
    <t xml:space="preserve">Jorong Kurai</t>
  </si>
  <si>
    <t xml:space="preserve">13030700010001</t>
  </si>
  <si>
    <t xml:space="preserve">1303070001000200</t>
  </si>
  <si>
    <t xml:space="preserve">Jorong Lembang</t>
  </si>
  <si>
    <t xml:space="preserve">13030700010002</t>
  </si>
  <si>
    <t xml:space="preserve">1303070001000301</t>
  </si>
  <si>
    <t xml:space="preserve">Jorong Balai Tinggi</t>
  </si>
  <si>
    <t xml:space="preserve">13030700010003</t>
  </si>
  <si>
    <t xml:space="preserve">1303070001000302</t>
  </si>
  <si>
    <t xml:space="preserve">1303070001000401</t>
  </si>
  <si>
    <t xml:space="preserve">Jorong Pasar</t>
  </si>
  <si>
    <t xml:space="preserve">13030700010004</t>
  </si>
  <si>
    <t xml:space="preserve">1303070001000402</t>
  </si>
  <si>
    <t xml:space="preserve">1303070001000501</t>
  </si>
  <si>
    <t xml:space="preserve">Jorong Timbulun</t>
  </si>
  <si>
    <t xml:space="preserve">13030700010005</t>
  </si>
  <si>
    <t xml:space="preserve">1303070001000502</t>
  </si>
  <si>
    <t xml:space="preserve">1303070001000601</t>
  </si>
  <si>
    <t xml:space="preserve">Jorong Tanah Sirah</t>
  </si>
  <si>
    <t xml:space="preserve">13030700010006</t>
  </si>
  <si>
    <t xml:space="preserve">1303070001000602</t>
  </si>
  <si>
    <t xml:space="preserve">1303070001000701</t>
  </si>
  <si>
    <t xml:space="preserve">Jorong Pakan Kamih</t>
  </si>
  <si>
    <t xml:space="preserve">13030700010007</t>
  </si>
  <si>
    <t xml:space="preserve">1303070001000702</t>
  </si>
  <si>
    <t xml:space="preserve">1303070001000703</t>
  </si>
  <si>
    <t xml:space="preserve">1303070001000800</t>
  </si>
  <si>
    <t xml:space="preserve">Jorong Kayu Kalek</t>
  </si>
  <si>
    <t xml:space="preserve">13030700010008</t>
  </si>
  <si>
    <t xml:space="preserve">1303070001000900</t>
  </si>
  <si>
    <t xml:space="preserve">Jorong Kandang Jambu</t>
  </si>
  <si>
    <t xml:space="preserve">13030700010009</t>
  </si>
  <si>
    <t xml:space="preserve">1303070001001001</t>
  </si>
  <si>
    <t xml:space="preserve">Jorong Panta</t>
  </si>
  <si>
    <t xml:space="preserve">13030700010010</t>
  </si>
  <si>
    <t xml:space="preserve">1303070001001002</t>
  </si>
  <si>
    <t xml:space="preserve">1303070001001101</t>
  </si>
  <si>
    <t xml:space="preserve">Jorong Aia Angek</t>
  </si>
  <si>
    <t xml:space="preserve">13030700010011</t>
  </si>
  <si>
    <t xml:space="preserve">1303070001001102</t>
  </si>
  <si>
    <t xml:space="preserve">1303070001001201</t>
  </si>
  <si>
    <t xml:space="preserve">Jorong Tabek Lacu</t>
  </si>
  <si>
    <t xml:space="preserve">13030700010012</t>
  </si>
  <si>
    <t xml:space="preserve">1303070001001202</t>
  </si>
  <si>
    <t xml:space="preserve">1303070004000100</t>
  </si>
  <si>
    <t xml:space="preserve">Jorong Taluek</t>
  </si>
  <si>
    <t xml:space="preserve">13030700040001</t>
  </si>
  <si>
    <t xml:space="preserve">1303070004000201</t>
  </si>
  <si>
    <t xml:space="preserve">Jorong Tigo Balai</t>
  </si>
  <si>
    <t xml:space="preserve">13030700040002</t>
  </si>
  <si>
    <t xml:space="preserve">1303070004000202</t>
  </si>
  <si>
    <t xml:space="preserve">1303070004000301</t>
  </si>
  <si>
    <t xml:space="preserve">Jorong Kapalo Koto</t>
  </si>
  <si>
    <t xml:space="preserve">13030700040003</t>
  </si>
  <si>
    <t xml:space="preserve">1303070004000302</t>
  </si>
  <si>
    <t xml:space="preserve">1303070004000400</t>
  </si>
  <si>
    <t xml:space="preserve">Jorong Kubang Rabah</t>
  </si>
  <si>
    <t xml:space="preserve">13030700040004</t>
  </si>
  <si>
    <t xml:space="preserve">1303070004000501</t>
  </si>
  <si>
    <t xml:space="preserve">Jorong Rawang Abu</t>
  </si>
  <si>
    <t xml:space="preserve">13030700040005</t>
  </si>
  <si>
    <t xml:space="preserve">1303070004000502</t>
  </si>
  <si>
    <t xml:space="preserve">1303070004000601</t>
  </si>
  <si>
    <t xml:space="preserve">Jorong Mandailiang</t>
  </si>
  <si>
    <t xml:space="preserve">13030700040006</t>
  </si>
  <si>
    <t xml:space="preserve">1303070004000602</t>
  </si>
  <si>
    <t xml:space="preserve">1303070004000603</t>
  </si>
  <si>
    <t xml:space="preserve">1303070004000701</t>
  </si>
  <si>
    <t xml:space="preserve">Jorong Taratak Baru</t>
  </si>
  <si>
    <t xml:space="preserve">13030700040007</t>
  </si>
  <si>
    <t xml:space="preserve">1303070004000702</t>
  </si>
  <si>
    <t xml:space="preserve">1303070004000703</t>
  </si>
  <si>
    <t xml:space="preserve">1303070006000100</t>
  </si>
  <si>
    <t xml:space="preserve">Jorong Bawah Gunuang</t>
  </si>
  <si>
    <t xml:space="preserve">13030700060001</t>
  </si>
  <si>
    <t xml:space="preserve">1303070006000201</t>
  </si>
  <si>
    <t xml:space="preserve">Jorong Gurah</t>
  </si>
  <si>
    <t xml:space="preserve">13030700060002</t>
  </si>
  <si>
    <t xml:space="preserve">1303070006000202</t>
  </si>
  <si>
    <t xml:space="preserve">1303070006000301</t>
  </si>
  <si>
    <t xml:space="preserve">Jorong Simpang Ampek</t>
  </si>
  <si>
    <t xml:space="preserve">13030700060003</t>
  </si>
  <si>
    <t xml:space="preserve">1303070006000302</t>
  </si>
  <si>
    <t xml:space="preserve">1303070006000401</t>
  </si>
  <si>
    <t xml:space="preserve">Jorong Atas Mesjid</t>
  </si>
  <si>
    <t xml:space="preserve">13030700060004</t>
  </si>
  <si>
    <t xml:space="preserve">1303070006000402</t>
  </si>
  <si>
    <t xml:space="preserve">1303070006000403</t>
  </si>
  <si>
    <t xml:space="preserve">1303070006000500</t>
  </si>
  <si>
    <t xml:space="preserve">Jorong Sapan Tanah</t>
  </si>
  <si>
    <t xml:space="preserve">13030700060005</t>
  </si>
  <si>
    <t xml:space="preserve">1303070006000601</t>
  </si>
  <si>
    <t xml:space="preserve">13030700060006</t>
  </si>
  <si>
    <t xml:space="preserve">1303070006000602</t>
  </si>
  <si>
    <t xml:space="preserve">1303070006000700</t>
  </si>
  <si>
    <t xml:space="preserve">Jorong Balai Barueh</t>
  </si>
  <si>
    <t xml:space="preserve">13030700060007</t>
  </si>
  <si>
    <t xml:space="preserve">1303070006000800</t>
  </si>
  <si>
    <t xml:space="preserve">Jorong Korong Lambah</t>
  </si>
  <si>
    <t xml:space="preserve">13030700060008</t>
  </si>
  <si>
    <t xml:space="preserve">1303071001000101</t>
  </si>
  <si>
    <t xml:space="preserve">Jorong Kampuang Dalam Timur</t>
  </si>
  <si>
    <t xml:space="preserve">13030710010001</t>
  </si>
  <si>
    <t xml:space="preserve">1303071001000102</t>
  </si>
  <si>
    <t xml:space="preserve">1303071001000103</t>
  </si>
  <si>
    <t xml:space="preserve">1303071001000104</t>
  </si>
  <si>
    <t xml:space="preserve">13030710010002</t>
  </si>
  <si>
    <t xml:space="preserve">Sukma Yuliandra Putri (mitra baru, 2.5 km)</t>
  </si>
  <si>
    <t xml:space="preserve">Sukma Yuliandra Putri (mitra baru, 2.8 km)</t>
  </si>
  <si>
    <t xml:space="preserve">Resi Linda Putri (mitra baru, 5.5 km)</t>
  </si>
  <si>
    <t xml:space="preserve">Witri Nadia Devita Sari (mitra baru, 6.2 km)</t>
  </si>
  <si>
    <t xml:space="preserve">Arismen (mitra baru, 7.2 km)</t>
  </si>
  <si>
    <t xml:space="preserve">1303071001000301</t>
  </si>
  <si>
    <t xml:space="preserve">Jorong Kampuang Dalam Barat</t>
  </si>
  <si>
    <t xml:space="preserve">13030710010003</t>
  </si>
  <si>
    <t xml:space="preserve">1303071001000302</t>
  </si>
  <si>
    <t xml:space="preserve">1303071001000303</t>
  </si>
  <si>
    <t xml:space="preserve">1303071001000304</t>
  </si>
  <si>
    <t xml:space="preserve">1303071001000401</t>
  </si>
  <si>
    <t xml:space="preserve">Jorong Kampuang Batu Utara</t>
  </si>
  <si>
    <t xml:space="preserve">13030710010004</t>
  </si>
  <si>
    <t xml:space="preserve">1303071001000402</t>
  </si>
  <si>
    <t xml:space="preserve">1303071001000403</t>
  </si>
  <si>
    <t xml:space="preserve">1303071001000404</t>
  </si>
  <si>
    <t xml:space="preserve">1303071001000501</t>
  </si>
  <si>
    <t xml:space="preserve">Jorong Kampuang Batu Tangah</t>
  </si>
  <si>
    <t xml:space="preserve">13030710010005</t>
  </si>
  <si>
    <t xml:space="preserve">1303071001000502</t>
  </si>
  <si>
    <t xml:space="preserve">1303071001000503</t>
  </si>
  <si>
    <t xml:space="preserve">1303071001000601</t>
  </si>
  <si>
    <t xml:space="preserve">Jorong Kampuang Batu Selatan</t>
  </si>
  <si>
    <t xml:space="preserve">13030710010006</t>
  </si>
  <si>
    <t xml:space="preserve">1303071001000602</t>
  </si>
  <si>
    <t xml:space="preserve">13030710010007</t>
  </si>
  <si>
    <t xml:space="preserve">Weza Deftalia (PPL, 0.8 km)</t>
  </si>
  <si>
    <t xml:space="preserve">Weza Deftalia (PPL, 1.7 km)</t>
  </si>
  <si>
    <t xml:space="preserve">Weza Deftalia (PPL, 1.4 km)</t>
  </si>
  <si>
    <t xml:space="preserve">1303071001000801</t>
  </si>
  <si>
    <t xml:space="preserve">Jorong Aia Tawa Utara</t>
  </si>
  <si>
    <t xml:space="preserve">13030710010008</t>
  </si>
  <si>
    <t xml:space="preserve">1303071001000802</t>
  </si>
  <si>
    <t xml:space="preserve">1303071001000803</t>
  </si>
  <si>
    <t xml:space="preserve">1303071001000804</t>
  </si>
  <si>
    <t xml:space="preserve">1303071001000900</t>
  </si>
  <si>
    <t xml:space="preserve">Jorong Aia Rarak Selatan</t>
  </si>
  <si>
    <t xml:space="preserve">13030710010009</t>
  </si>
  <si>
    <t xml:space="preserve">1303071001001001</t>
  </si>
  <si>
    <t xml:space="preserve">Jorong Aia Rarak Utara</t>
  </si>
  <si>
    <t xml:space="preserve">13030710010010</t>
  </si>
  <si>
    <t xml:space="preserve">1303071001001002</t>
  </si>
  <si>
    <t xml:space="preserve">1303071001001003</t>
  </si>
  <si>
    <t xml:space="preserve">1303071001600100</t>
  </si>
  <si>
    <t xml:space="preserve">13030710016001</t>
  </si>
  <si>
    <t xml:space="preserve">1303071002000101</t>
  </si>
  <si>
    <t xml:space="preserve">Jorong Kapalo Danau Bawah</t>
  </si>
  <si>
    <t xml:space="preserve">FEBRIA RAMANITA</t>
  </si>
  <si>
    <t xml:space="preserve">13030710020001</t>
  </si>
  <si>
    <t xml:space="preserve">1303071002000102</t>
  </si>
  <si>
    <t xml:space="preserve">1303071002000103</t>
  </si>
  <si>
    <t xml:space="preserve">1303071002000201</t>
  </si>
  <si>
    <t xml:space="preserve">Jorong Kapalo Danau Ateh</t>
  </si>
  <si>
    <t xml:space="preserve">13030710020002</t>
  </si>
  <si>
    <t xml:space="preserve">1303071002000202</t>
  </si>
  <si>
    <t xml:space="preserve">Cek: 1 KK terverifikasi di jorong ini</t>
  </si>
  <si>
    <t xml:space="preserve">1303071002000203</t>
  </si>
  <si>
    <t xml:space="preserve">1303071002000301</t>
  </si>
  <si>
    <t xml:space="preserve">13030710020003</t>
  </si>
  <si>
    <t xml:space="preserve">1303071002000302</t>
  </si>
  <si>
    <t xml:space="preserve">1303071002000303</t>
  </si>
  <si>
    <t xml:space="preserve">1303071002000304</t>
  </si>
  <si>
    <t xml:space="preserve">1303071002000305</t>
  </si>
  <si>
    <t xml:space="preserve">1303071002000306</t>
  </si>
  <si>
    <t xml:space="preserve">1303071002000307</t>
  </si>
  <si>
    <t xml:space="preserve">1303071002000308</t>
  </si>
  <si>
    <t xml:space="preserve">1303071002000401</t>
  </si>
  <si>
    <t xml:space="preserve">Jorong Lurah Ingu</t>
  </si>
  <si>
    <t xml:space="preserve">13030710020004</t>
  </si>
  <si>
    <t xml:space="preserve">1303071002000402</t>
  </si>
  <si>
    <t xml:space="preserve">1303071002000403</t>
  </si>
  <si>
    <t xml:space="preserve">1303071002000501</t>
  </si>
  <si>
    <t xml:space="preserve">Jorong Aka Gadang</t>
  </si>
  <si>
    <t xml:space="preserve">13030710020005</t>
  </si>
  <si>
    <t xml:space="preserve">1303071002000502</t>
  </si>
  <si>
    <t xml:space="preserve">1303071002000503</t>
  </si>
  <si>
    <t xml:space="preserve">1303071002000601</t>
  </si>
  <si>
    <t xml:space="preserve">Jorong Gurun Data</t>
  </si>
  <si>
    <t xml:space="preserve">13030710020006</t>
  </si>
  <si>
    <t xml:space="preserve">1303071002000602</t>
  </si>
  <si>
    <t xml:space="preserve">1303071002000700</t>
  </si>
  <si>
    <t xml:space="preserve">Jorong Taluak Kinari</t>
  </si>
  <si>
    <t xml:space="preserve">13030710020007</t>
  </si>
  <si>
    <t xml:space="preserve">1303071002000801</t>
  </si>
  <si>
    <t xml:space="preserve">Jorong Taluak Anjalai</t>
  </si>
  <si>
    <t xml:space="preserve">Cek: 2 KK terverifikasi di jorong ini</t>
  </si>
  <si>
    <t xml:space="preserve">13030710020008</t>
  </si>
  <si>
    <t xml:space="preserve">1303071002000802</t>
  </si>
  <si>
    <t xml:space="preserve">1303071002000901</t>
  </si>
  <si>
    <t xml:space="preserve">Jorong Rawang Gadang</t>
  </si>
  <si>
    <t xml:space="preserve">13030710020009</t>
  </si>
  <si>
    <t xml:space="preserve">1303071002000902</t>
  </si>
  <si>
    <t xml:space="preserve">1303071002000903</t>
  </si>
  <si>
    <t xml:space="preserve">1303071002600100</t>
  </si>
  <si>
    <t xml:space="preserve">Danau Diatas</t>
  </si>
  <si>
    <t xml:space="preserve">Cek: mitra menandai terdampak</t>
  </si>
  <si>
    <t xml:space="preserve">13030710026001</t>
  </si>
  <si>
    <t xml:space="preserve">1303080001000101</t>
  </si>
  <si>
    <t xml:space="preserve">Jorong Sungai Rotan</t>
  </si>
  <si>
    <t xml:space="preserve">13030800010001</t>
  </si>
  <si>
    <t xml:space="preserve">1303080001000102</t>
  </si>
  <si>
    <t xml:space="preserve">1303080001000103</t>
  </si>
  <si>
    <t xml:space="preserve">1303080001000104</t>
  </si>
  <si>
    <t xml:space="preserve">1303080001000105</t>
  </si>
  <si>
    <t xml:space="preserve">1303080001000106</t>
  </si>
  <si>
    <t xml:space="preserve">NAILA SABATINI</t>
  </si>
  <si>
    <t xml:space="preserve">1303080001000107</t>
  </si>
  <si>
    <t xml:space="preserve">1303080001000201</t>
  </si>
  <si>
    <t xml:space="preserve">Jorong Pasar Baru</t>
  </si>
  <si>
    <t xml:space="preserve">13030800010002</t>
  </si>
  <si>
    <t xml:space="preserve">1303080001000202</t>
  </si>
  <si>
    <t xml:space="preserve">1303080001000203</t>
  </si>
  <si>
    <t xml:space="preserve">1303080001000204</t>
  </si>
  <si>
    <t xml:space="preserve">1303080001000205</t>
  </si>
  <si>
    <t xml:space="preserve">1303080001000206</t>
  </si>
  <si>
    <t xml:space="preserve">1303080001000207</t>
  </si>
  <si>
    <t xml:space="preserve">1303080001000208</t>
  </si>
  <si>
    <t xml:space="preserve">1303080001000301</t>
  </si>
  <si>
    <t xml:space="preserve">Jorong Pasar Usang</t>
  </si>
  <si>
    <t xml:space="preserve">13030800010003</t>
  </si>
  <si>
    <t xml:space="preserve">1303080001000302</t>
  </si>
  <si>
    <t xml:space="preserve">1303080001000303</t>
  </si>
  <si>
    <t xml:space="preserve">1303080001000304</t>
  </si>
  <si>
    <t xml:space="preserve">1303080001000401</t>
  </si>
  <si>
    <t xml:space="preserve">Jorong Panyalai</t>
  </si>
  <si>
    <t xml:space="preserve">13030800010004</t>
  </si>
  <si>
    <t xml:space="preserve">1303080001000402</t>
  </si>
  <si>
    <t xml:space="preserve">1303080001000403</t>
  </si>
  <si>
    <t xml:space="preserve">1303080001000404</t>
  </si>
  <si>
    <t xml:space="preserve">1303080001000405</t>
  </si>
  <si>
    <t xml:space="preserve">1303080001000406</t>
  </si>
  <si>
    <t xml:space="preserve">1303080001000407</t>
  </si>
  <si>
    <t xml:space="preserve">13030800010005</t>
  </si>
  <si>
    <t xml:space="preserve">Fuji Erizka (PPL, 2.7 km)</t>
  </si>
  <si>
    <t xml:space="preserve">PML dari PPL yang disarankan</t>
  </si>
  <si>
    <t xml:space="preserve">Idora Atia (PPL, 2.4 km)</t>
  </si>
  <si>
    <t xml:space="preserve">Nopi Nofila (PPL, 4.1 km)</t>
  </si>
  <si>
    <t xml:space="preserve">1303080001000601</t>
  </si>
  <si>
    <t xml:space="preserve">Jorong Balai Pandan</t>
  </si>
  <si>
    <t xml:space="preserve">13030800010006</t>
  </si>
  <si>
    <t xml:space="preserve">1303080001000602</t>
  </si>
  <si>
    <t xml:space="preserve">1303080001000603</t>
  </si>
  <si>
    <t xml:space="preserve">1303080001000604</t>
  </si>
  <si>
    <t xml:space="preserve">1303080001000605</t>
  </si>
  <si>
    <t xml:space="preserve">1303080001000606</t>
  </si>
  <si>
    <t xml:space="preserve">1303080001000607</t>
  </si>
  <si>
    <t xml:space="preserve">1303080001000608</t>
  </si>
  <si>
    <t xml:space="preserve">1303080001000701</t>
  </si>
  <si>
    <t xml:space="preserve">Jorong Aia Angek Sonsang</t>
  </si>
  <si>
    <t xml:space="preserve">13030800010007</t>
  </si>
  <si>
    <t xml:space="preserve">1303080001000702</t>
  </si>
  <si>
    <t xml:space="preserve">1303080001000703</t>
  </si>
  <si>
    <t xml:space="preserve">1303080001000801</t>
  </si>
  <si>
    <t xml:space="preserve">Jorong Sawah Taluak</t>
  </si>
  <si>
    <t xml:space="preserve">13030800010008</t>
  </si>
  <si>
    <t xml:space="preserve">1303080001000802</t>
  </si>
  <si>
    <t xml:space="preserve">Defitra Yeni</t>
  </si>
  <si>
    <t xml:space="preserve">1303080001000803</t>
  </si>
  <si>
    <t xml:space="preserve">1303080001000804</t>
  </si>
  <si>
    <t xml:space="preserve">Dhini oktaviani</t>
  </si>
  <si>
    <t xml:space="preserve">1303080001000901</t>
  </si>
  <si>
    <t xml:space="preserve">Jorong Tangah Padang</t>
  </si>
  <si>
    <t xml:space="preserve">Clara Amelya Hendres</t>
  </si>
  <si>
    <t xml:space="preserve">13030800010009</t>
  </si>
  <si>
    <t xml:space="preserve">1303080001000902</t>
  </si>
  <si>
    <t xml:space="preserve">1303080001000903</t>
  </si>
  <si>
    <t xml:space="preserve">1303080001000904</t>
  </si>
  <si>
    <t xml:space="preserve">1303080002000101</t>
  </si>
  <si>
    <t xml:space="preserve">Jorong Aro</t>
  </si>
  <si>
    <t xml:space="preserve">13030800020001</t>
  </si>
  <si>
    <t xml:space="preserve">1303080002000102</t>
  </si>
  <si>
    <t xml:space="preserve">1303080002000103</t>
  </si>
  <si>
    <t xml:space="preserve">1303080002000104</t>
  </si>
  <si>
    <t xml:space="preserve">1303080002000105</t>
  </si>
  <si>
    <t xml:space="preserve">1303080002000106</t>
  </si>
  <si>
    <t xml:space="preserve">1303080002000107</t>
  </si>
  <si>
    <t xml:space="preserve">1303080002000108</t>
  </si>
  <si>
    <t xml:space="preserve">1303080002000109</t>
  </si>
  <si>
    <t xml:space="preserve">1303080002000110</t>
  </si>
  <si>
    <t xml:space="preserve">1303080002000201</t>
  </si>
  <si>
    <t xml:space="preserve">Jorong Koto Gaek</t>
  </si>
  <si>
    <t xml:space="preserve">13030800020002</t>
  </si>
  <si>
    <t xml:space="preserve">1303080002000202</t>
  </si>
  <si>
    <t xml:space="preserve">1303080002000301</t>
  </si>
  <si>
    <t xml:space="preserve">Jorong Tabek Pala</t>
  </si>
  <si>
    <t xml:space="preserve">13030800020003</t>
  </si>
  <si>
    <t xml:space="preserve">1303080002000302</t>
  </si>
  <si>
    <t xml:space="preserve">1303080002000303</t>
  </si>
  <si>
    <t xml:space="preserve">1303080002000400</t>
  </si>
  <si>
    <t xml:space="preserve">Jorong Anau Kadok</t>
  </si>
  <si>
    <t xml:space="preserve">13030800020004</t>
  </si>
  <si>
    <t xml:space="preserve">1303080002000501</t>
  </si>
  <si>
    <t xml:space="preserve">Jorong Koto Gadang</t>
  </si>
  <si>
    <t xml:space="preserve">Yola septya syamsi</t>
  </si>
  <si>
    <t xml:space="preserve">13030800020005</t>
  </si>
  <si>
    <t xml:space="preserve">1303080002000502</t>
  </si>
  <si>
    <t xml:space="preserve">1303080002000503</t>
  </si>
  <si>
    <t xml:space="preserve">Ayang Syafriani</t>
  </si>
  <si>
    <t xml:space="preserve">1303080002000504</t>
  </si>
  <si>
    <t xml:space="preserve">1303080002000601</t>
  </si>
  <si>
    <t xml:space="preserve">Jorong Panarian</t>
  </si>
  <si>
    <t xml:space="preserve">13030800020006</t>
  </si>
  <si>
    <t xml:space="preserve">1303080002000602</t>
  </si>
  <si>
    <t xml:space="preserve">1303080002000603</t>
  </si>
  <si>
    <t xml:space="preserve">1303080004000101</t>
  </si>
  <si>
    <t xml:space="preserve">13030800040001</t>
  </si>
  <si>
    <t xml:space="preserve">1303080004000102</t>
  </si>
  <si>
    <t xml:space="preserve">1303080004000103</t>
  </si>
  <si>
    <t xml:space="preserve">1303080004000104</t>
  </si>
  <si>
    <t xml:space="preserve">1303080004000105</t>
  </si>
  <si>
    <t xml:space="preserve">1303080004000106</t>
  </si>
  <si>
    <t xml:space="preserve">1303080004000107</t>
  </si>
  <si>
    <t xml:space="preserve">1303080004000201</t>
  </si>
  <si>
    <t xml:space="preserve">Jorong Simpang</t>
  </si>
  <si>
    <t xml:space="preserve">13030800040002</t>
  </si>
  <si>
    <t xml:space="preserve">1303080004000202</t>
  </si>
  <si>
    <t xml:space="preserve">1303080004000203</t>
  </si>
  <si>
    <t xml:space="preserve">1303080004000301</t>
  </si>
  <si>
    <t xml:space="preserve">Jorong Balai Dama</t>
  </si>
  <si>
    <t xml:space="preserve">13030800040003</t>
  </si>
  <si>
    <t xml:space="preserve">1303080004000302</t>
  </si>
  <si>
    <t xml:space="preserve">1303080004000401</t>
  </si>
  <si>
    <t xml:space="preserve">13030800040004</t>
  </si>
  <si>
    <t xml:space="preserve">1303080004000402</t>
  </si>
  <si>
    <t xml:space="preserve">1303080004000403</t>
  </si>
  <si>
    <t xml:space="preserve">1303080004000500</t>
  </si>
  <si>
    <t xml:space="preserve">Jorong Tabek Panjang</t>
  </si>
  <si>
    <t xml:space="preserve">13030800040005</t>
  </si>
  <si>
    <t xml:space="preserve">1303080004000601</t>
  </si>
  <si>
    <t xml:space="preserve">Jorong Talago</t>
  </si>
  <si>
    <t xml:space="preserve">13030800040006</t>
  </si>
  <si>
    <t xml:space="preserve">1303080004000602</t>
  </si>
  <si>
    <t xml:space="preserve">Mardiati</t>
  </si>
  <si>
    <t xml:space="preserve">1303080004000701</t>
  </si>
  <si>
    <t xml:space="preserve">Jorong Bukik Gompong</t>
  </si>
  <si>
    <t xml:space="preserve">Cek: 19 KK terverifikasi di jorong ini</t>
  </si>
  <si>
    <t xml:space="preserve">13030800040007</t>
  </si>
  <si>
    <t xml:space="preserve">1303080004000702</t>
  </si>
  <si>
    <t xml:space="preserve">Valina alsisri</t>
  </si>
  <si>
    <t xml:space="preserve">1303080004000703</t>
  </si>
  <si>
    <t xml:space="preserve">1303080005000201</t>
  </si>
  <si>
    <t xml:space="preserve">Koto Gaek Guguk</t>
  </si>
  <si>
    <t xml:space="preserve">Jorong Sukarami</t>
  </si>
  <si>
    <t xml:space="preserve">Mustika Sari</t>
  </si>
  <si>
    <t xml:space="preserve">Di luar daftar awal; dikerjakan karena masuk wilayah kerja (cek alasan tambahan)</t>
  </si>
  <si>
    <t xml:space="preserve">13030800050002</t>
  </si>
  <si>
    <t xml:space="preserve">1303080005</t>
  </si>
  <si>
    <t xml:space="preserve">1303080005000202</t>
  </si>
  <si>
    <t xml:space="preserve">1303080005000203</t>
  </si>
  <si>
    <t xml:space="preserve">1303080005000204</t>
  </si>
  <si>
    <t xml:space="preserve">1303080005000205</t>
  </si>
  <si>
    <t xml:space="preserve">1303080007000101</t>
  </si>
  <si>
    <t xml:space="preserve">13030800070001</t>
  </si>
  <si>
    <t xml:space="preserve">1303080007000102</t>
  </si>
  <si>
    <t xml:space="preserve">1303080007000103</t>
  </si>
  <si>
    <t xml:space="preserve">1303080007000104</t>
  </si>
  <si>
    <t xml:space="preserve">Diana Endang Pratiwi</t>
  </si>
  <si>
    <t xml:space="preserve">1303080007000105</t>
  </si>
  <si>
    <t xml:space="preserve">1303080007000106</t>
  </si>
  <si>
    <t xml:space="preserve">1303080007000107</t>
  </si>
  <si>
    <t xml:space="preserve">1303080007000108</t>
  </si>
  <si>
    <t xml:space="preserve">putri nasriati</t>
  </si>
  <si>
    <t xml:space="preserve">1303080007000109</t>
  </si>
  <si>
    <t xml:space="preserve">NANDA WESTIA ADE NINGSIH</t>
  </si>
  <si>
    <t xml:space="preserve">1303080007000110</t>
  </si>
  <si>
    <t xml:space="preserve">1303080007000111</t>
  </si>
  <si>
    <t xml:space="preserve">Yulia ningsih</t>
  </si>
  <si>
    <t xml:space="preserve">1303080007000201</t>
  </si>
  <si>
    <t xml:space="preserve">Jorong Lubuk Selasih</t>
  </si>
  <si>
    <t xml:space="preserve">Sonya aldes fatma</t>
  </si>
  <si>
    <t xml:space="preserve">13030800070002</t>
  </si>
  <si>
    <t xml:space="preserve">1303080007000202</t>
  </si>
  <si>
    <t xml:space="preserve">1303080007000203</t>
  </si>
  <si>
    <t xml:space="preserve">Cek: 6 KK terverifikasi di jorong ini; 1 mitra ragu-ragu</t>
  </si>
  <si>
    <t xml:space="preserve">1303080007000204</t>
  </si>
  <si>
    <t xml:space="preserve">1303080007000205</t>
  </si>
  <si>
    <t xml:space="preserve">1303080007000206</t>
  </si>
  <si>
    <t xml:space="preserve">1303080007000301</t>
  </si>
  <si>
    <t xml:space="preserve">Jorong Kayu Jao</t>
  </si>
  <si>
    <t xml:space="preserve">13030800070003</t>
  </si>
  <si>
    <t xml:space="preserve">1303080007000302</t>
  </si>
  <si>
    <t xml:space="preserve">1303080007000303</t>
  </si>
  <si>
    <t xml:space="preserve">1303080007000304</t>
  </si>
  <si>
    <t xml:space="preserve">1303080007000305</t>
  </si>
  <si>
    <t xml:space="preserve">1303080007000306</t>
  </si>
  <si>
    <t xml:space="preserve">1303080007000307</t>
  </si>
  <si>
    <t xml:space="preserve">1303080007000308</t>
  </si>
  <si>
    <t xml:space="preserve">1303080007000309</t>
  </si>
  <si>
    <t xml:space="preserve">1303080008000101</t>
  </si>
  <si>
    <t xml:space="preserve">Jorong Koto Ateh</t>
  </si>
  <si>
    <t xml:space="preserve">13030800080001</t>
  </si>
  <si>
    <t xml:space="preserve">1303080008000102</t>
  </si>
  <si>
    <t xml:space="preserve">1303080008000200</t>
  </si>
  <si>
    <t xml:space="preserve">Jorong Sangkar Puyuh</t>
  </si>
  <si>
    <t xml:space="preserve">13030800080002</t>
  </si>
  <si>
    <t xml:space="preserve">1303080008000300</t>
  </si>
  <si>
    <t xml:space="preserve">Jorong Lambah</t>
  </si>
  <si>
    <t xml:space="preserve">13030800080003</t>
  </si>
  <si>
    <t xml:space="preserve">1303080008000401</t>
  </si>
  <si>
    <t xml:space="preserve">Jorong Koto Baruah</t>
  </si>
  <si>
    <t xml:space="preserve">13030800080004</t>
  </si>
  <si>
    <t xml:space="preserve">1303080008000402</t>
  </si>
  <si>
    <t xml:space="preserve">1303080008000500</t>
  </si>
  <si>
    <t xml:space="preserve">Jorong Madang</t>
  </si>
  <si>
    <t xml:space="preserve">13030800080005</t>
  </si>
  <si>
    <t xml:space="preserve">1303090002000101</t>
  </si>
  <si>
    <t xml:space="preserve">Jorong Pamujan</t>
  </si>
  <si>
    <t xml:space="preserve">13030900020001</t>
  </si>
  <si>
    <t xml:space="preserve">1303090002000102</t>
  </si>
  <si>
    <t xml:space="preserve">1303090002000103</t>
  </si>
  <si>
    <t xml:space="preserve">1303090002000201</t>
  </si>
  <si>
    <t xml:space="preserve">Jorong Tapi Aia</t>
  </si>
  <si>
    <t xml:space="preserve">13030900020002</t>
  </si>
  <si>
    <t xml:space="preserve">1303090002000202</t>
  </si>
  <si>
    <t xml:space="preserve">1303090002000203</t>
  </si>
  <si>
    <t xml:space="preserve">1303090002000301</t>
  </si>
  <si>
    <t xml:space="preserve">Jorong Galanggang Tinggi</t>
  </si>
  <si>
    <t xml:space="preserve">13030900020003</t>
  </si>
  <si>
    <t xml:space="preserve">1303090002000302</t>
  </si>
  <si>
    <t xml:space="preserve">1303090002000303</t>
  </si>
  <si>
    <t xml:space="preserve">1303090002000401</t>
  </si>
  <si>
    <t xml:space="preserve">Jorong Bungo Harum</t>
  </si>
  <si>
    <t xml:space="preserve">13030900020004</t>
  </si>
  <si>
    <t xml:space="preserve">1303090002000402</t>
  </si>
  <si>
    <t xml:space="preserve">1303090002000403</t>
  </si>
  <si>
    <t xml:space="preserve">13030900050001</t>
  </si>
  <si>
    <t xml:space="preserve">Yogi Eka Putra (PPL, 1.4 km)</t>
  </si>
  <si>
    <t xml:space="preserve">1303090005000201</t>
  </si>
  <si>
    <t xml:space="preserve">Jorong Sawah Kandih</t>
  </si>
  <si>
    <t xml:space="preserve">13030900050002</t>
  </si>
  <si>
    <t xml:space="preserve">1303090005000202</t>
  </si>
  <si>
    <t xml:space="preserve">1303090005000301</t>
  </si>
  <si>
    <t xml:space="preserve">Jorong Parik</t>
  </si>
  <si>
    <t xml:space="preserve">13030900050003</t>
  </si>
  <si>
    <t xml:space="preserve">1303090005000302</t>
  </si>
  <si>
    <t xml:space="preserve">1303100006000100</t>
  </si>
  <si>
    <t xml:space="preserve">Ix Koto Sungai Lasi</t>
  </si>
  <si>
    <t xml:space="preserve">Jorong Sikumbang</t>
  </si>
  <si>
    <t xml:space="preserve">13031000060001</t>
  </si>
  <si>
    <t xml:space="preserve">1303100006000200</t>
  </si>
  <si>
    <t xml:space="preserve">13031000060002</t>
  </si>
  <si>
    <t xml:space="preserve">1303100006000300</t>
  </si>
  <si>
    <t xml:space="preserve">Jorong Batu Kudo</t>
  </si>
  <si>
    <t xml:space="preserve">13031000060003</t>
  </si>
  <si>
    <t xml:space="preserve">1303110001000100</t>
  </si>
  <si>
    <t xml:space="preserve">Jorong Bansa</t>
  </si>
  <si>
    <t xml:space="preserve">13031100010001</t>
  </si>
  <si>
    <t xml:space="preserve">1303110001000201</t>
  </si>
  <si>
    <t xml:space="preserve">Jorong Gando</t>
  </si>
  <si>
    <t xml:space="preserve">13031100010002</t>
  </si>
  <si>
    <t xml:space="preserve">1303110001000202</t>
  </si>
  <si>
    <t xml:space="preserve">1303110001000203</t>
  </si>
  <si>
    <t xml:space="preserve">1303110001000301</t>
  </si>
  <si>
    <t xml:space="preserve">Jorong Galanggang</t>
  </si>
  <si>
    <t xml:space="preserve">13031100010003</t>
  </si>
  <si>
    <t xml:space="preserve">1303110001000302</t>
  </si>
  <si>
    <t xml:space="preserve">1303110005000101</t>
  </si>
  <si>
    <t xml:space="preserve">Jorong Baringin</t>
  </si>
  <si>
    <t xml:space="preserve">Biki Wabihamdika</t>
  </si>
  <si>
    <t xml:space="preserve">13031100050001</t>
  </si>
  <si>
    <t xml:space="preserve">1303110005</t>
  </si>
  <si>
    <t xml:space="preserve">1303110005000102</t>
  </si>
  <si>
    <t xml:space="preserve">1303110005000103</t>
  </si>
  <si>
    <t xml:space="preserve">1303110005000201</t>
  </si>
  <si>
    <t xml:space="preserve">Jorong Markiyo</t>
  </si>
  <si>
    <t xml:space="preserve">13031100050002</t>
  </si>
  <si>
    <t xml:space="preserve">1303110005000202</t>
  </si>
  <si>
    <t xml:space="preserve">1303110005000203</t>
  </si>
  <si>
    <t xml:space="preserve">1303110005000301</t>
  </si>
  <si>
    <t xml:space="preserve">13031100050003</t>
  </si>
  <si>
    <t xml:space="preserve">1303110005000302</t>
  </si>
  <si>
    <t xml:space="preserve">1303110005000303</t>
  </si>
  <si>
    <t xml:space="preserve">1303110005000401</t>
  </si>
  <si>
    <t xml:space="preserve">Jorong Pinang Sinawa</t>
  </si>
  <si>
    <t xml:space="preserve">Zheta Renisa Azani</t>
  </si>
  <si>
    <t xml:space="preserve">13031100050004</t>
  </si>
  <si>
    <t xml:space="preserve">1303110005000402</t>
  </si>
  <si>
    <t xml:space="preserve">1303110005000501</t>
  </si>
  <si>
    <t xml:space="preserve">Jorong Kampung Baru</t>
  </si>
  <si>
    <t xml:space="preserve">13031100050005</t>
  </si>
  <si>
    <t xml:space="preserve">1303110005000502</t>
  </si>
  <si>
    <t xml:space="preserve">1303110005000503</t>
  </si>
  <si>
    <t xml:space="preserve">1303110006000101</t>
  </si>
  <si>
    <t xml:space="preserve">Jorong Dalam Nagari</t>
  </si>
  <si>
    <t xml:space="preserve">13031100060001</t>
  </si>
  <si>
    <t xml:space="preserve">1303110006000102</t>
  </si>
  <si>
    <t xml:space="preserve">1303110006000103</t>
  </si>
  <si>
    <t xml:space="preserve">13031100060002</t>
  </si>
  <si>
    <t xml:space="preserve">Eka Ramadani (PPL, 3.3 km)</t>
  </si>
  <si>
    <t xml:space="preserve">1303110006000300</t>
  </si>
  <si>
    <t xml:space="preserve">Jorong Koto Tingga</t>
  </si>
  <si>
    <t xml:space="preserve">13031100060003</t>
  </si>
  <si>
    <t xml:space="preserve">1303110006000400</t>
  </si>
  <si>
    <t xml:space="preserve">Jorong Muaro Busuak</t>
  </si>
  <si>
    <t xml:space="preserve">Clara Amelya Hendres; Luki Sirup Ramadan; Zheta Renisa Azani</t>
  </si>
  <si>
    <t xml:space="preserve">13031100060004</t>
  </si>
  <si>
    <t xml:space="preserve">1303110006000501</t>
  </si>
  <si>
    <t xml:space="preserve">13031100060005</t>
  </si>
  <si>
    <t xml:space="preserve">1303110006000502</t>
  </si>
  <si>
    <t xml:space="preserve">Fuji erizka</t>
  </si>
  <si>
    <t xml:space="preserve">1303110007000101</t>
  </si>
  <si>
    <t xml:space="preserve">Jorong Galanggang Tangah</t>
  </si>
  <si>
    <t xml:space="preserve">Yogi eka Putra</t>
  </si>
  <si>
    <t xml:space="preserve">13031100070001</t>
  </si>
  <si>
    <t xml:space="preserve">1303110007000102</t>
  </si>
  <si>
    <t xml:space="preserve">1303110007000103</t>
  </si>
  <si>
    <t xml:space="preserve">Sri wahyuni</t>
  </si>
  <si>
    <t xml:space="preserve">1303110007000104</t>
  </si>
  <si>
    <t xml:space="preserve">Yenni Rizka Putri</t>
  </si>
  <si>
    <t xml:space="preserve">1303110007000105</t>
  </si>
  <si>
    <t xml:space="preserve">1303110007000106</t>
  </si>
  <si>
    <t xml:space="preserve">NILAM SITARESMI CAHYONO</t>
  </si>
  <si>
    <t xml:space="preserve">1303110007000107</t>
  </si>
  <si>
    <t xml:space="preserve">Ranu Artysanda</t>
  </si>
  <si>
    <t xml:space="preserve">1303110007000108</t>
  </si>
  <si>
    <t xml:space="preserve">Farah Sahara</t>
  </si>
  <si>
    <t xml:space="preserve">1303110007000109</t>
  </si>
  <si>
    <t xml:space="preserve">Yora Komala Sari</t>
  </si>
  <si>
    <t xml:space="preserve">1303110007000110</t>
  </si>
  <si>
    <t xml:space="preserve">1303110007000201</t>
  </si>
  <si>
    <t xml:space="preserve">Jorong Lurah Nan Tigo</t>
  </si>
  <si>
    <t xml:space="preserve">13031100070002</t>
  </si>
  <si>
    <t xml:space="preserve">1303110007000202</t>
  </si>
  <si>
    <t xml:space="preserve">1303110007000203</t>
  </si>
  <si>
    <t xml:space="preserve">1303110007000204</t>
  </si>
  <si>
    <t xml:space="preserve">ANIKE PUTRI</t>
  </si>
  <si>
    <t xml:space="preserve">1303110007000205</t>
  </si>
  <si>
    <t xml:space="preserve">1303110007000206</t>
  </si>
  <si>
    <t xml:space="preserve">1303110007000207</t>
  </si>
  <si>
    <t xml:space="preserve">Cek: 5 KK terverifikasi di jorong ini; 1 mitra ragu-ragu</t>
  </si>
  <si>
    <t xml:space="preserve">1303110007000208</t>
  </si>
  <si>
    <t xml:space="preserve">1303110007000209</t>
  </si>
  <si>
    <t xml:space="preserve">1303110007000301</t>
  </si>
  <si>
    <t xml:space="preserve">Jorong Sawah Sudut</t>
  </si>
  <si>
    <t xml:space="preserve">Wirastri Widuri</t>
  </si>
  <si>
    <t xml:space="preserve">13031100070003</t>
  </si>
  <si>
    <t xml:space="preserve">1303110007000302</t>
  </si>
  <si>
    <t xml:space="preserve">Asmedi Surya</t>
  </si>
  <si>
    <t xml:space="preserve">1303110007000303</t>
  </si>
  <si>
    <t xml:space="preserve">PUSPITA PUTRI</t>
  </si>
  <si>
    <t xml:space="preserve">1303110007000304</t>
  </si>
  <si>
    <t xml:space="preserve">Elvira Okzayenti; Nelva Roza Oktakia</t>
  </si>
  <si>
    <t xml:space="preserve">1303110007000305</t>
  </si>
  <si>
    <t xml:space="preserve">Mirvan Harvia; NAILA SABATINI</t>
  </si>
  <si>
    <t xml:space="preserve">1303110007000306</t>
  </si>
  <si>
    <t xml:space="preserve">IDORA ATIA</t>
  </si>
  <si>
    <t xml:space="preserve">1303110007000307</t>
  </si>
  <si>
    <t xml:space="preserve">Ayang Syafriani; MIRA ROZALINDA</t>
  </si>
  <si>
    <t xml:space="preserve">1303110007000308</t>
  </si>
  <si>
    <t xml:space="preserve">Eka ramadani; Yora Komala Sari</t>
  </si>
  <si>
    <t xml:space="preserve">1303110007000401</t>
  </si>
  <si>
    <t xml:space="preserve">Jorong Batu Palano</t>
  </si>
  <si>
    <t xml:space="preserve">Nelva Roza Oktakia</t>
  </si>
  <si>
    <t xml:space="preserve">13031100070004</t>
  </si>
  <si>
    <t xml:space="preserve">1303110007000402</t>
  </si>
  <si>
    <t xml:space="preserve">Eka ramadani</t>
  </si>
  <si>
    <t xml:space="preserve">1303110007000403</t>
  </si>
  <si>
    <t xml:space="preserve">Pertimbangkan ditambah: 74 KK terverifikasi di jorong ini</t>
  </si>
  <si>
    <t xml:space="preserve">1303110007000404</t>
  </si>
  <si>
    <t xml:space="preserve">1303110007000405</t>
  </si>
  <si>
    <t xml:space="preserve">1303110007000406</t>
  </si>
  <si>
    <t xml:space="preserve">1303110007000407</t>
  </si>
  <si>
    <t xml:space="preserve">1303110007000408</t>
  </si>
  <si>
    <t xml:space="preserve">1303110007000409</t>
  </si>
  <si>
    <t xml:space="preserve">1303110008000101</t>
  </si>
  <si>
    <t xml:space="preserve">Anggun Rahma Fajar</t>
  </si>
  <si>
    <t xml:space="preserve">13031100080001</t>
  </si>
  <si>
    <t xml:space="preserve">1303110008000102</t>
  </si>
  <si>
    <t xml:space="preserve">Nadia wati</t>
  </si>
  <si>
    <t xml:space="preserve">1303110008000103</t>
  </si>
  <si>
    <t xml:space="preserve">Elvira Okzayenti</t>
  </si>
  <si>
    <t xml:space="preserve">1303110008000104</t>
  </si>
  <si>
    <t xml:space="preserve">muhamad iqbal</t>
  </si>
  <si>
    <t xml:space="preserve">1303110008000105</t>
  </si>
  <si>
    <t xml:space="preserve">1303110008000106</t>
  </si>
  <si>
    <t xml:space="preserve">1303110008000201</t>
  </si>
  <si>
    <t xml:space="preserve">Jorong Lubuak Aguang</t>
  </si>
  <si>
    <t xml:space="preserve">13031100080002</t>
  </si>
  <si>
    <t xml:space="preserve">1303110008000202</t>
  </si>
  <si>
    <t xml:space="preserve">1303110008000203</t>
  </si>
  <si>
    <t xml:space="preserve">1303110008000301</t>
  </si>
  <si>
    <t xml:space="preserve">Jorong Bawah Duku</t>
  </si>
  <si>
    <t xml:space="preserve">13031100080003</t>
  </si>
  <si>
    <t xml:space="preserve">1303110008000302</t>
  </si>
  <si>
    <t xml:space="preserve">1303110008000303</t>
  </si>
  <si>
    <t xml:space="preserve">1303110008000304</t>
  </si>
  <si>
    <t xml:space="preserve">1303110008000305</t>
  </si>
  <si>
    <t xml:space="preserve">1303110008000306</t>
  </si>
  <si>
    <t xml:space="preserve">1303110008000401</t>
  </si>
  <si>
    <t xml:space="preserve">Jorong Subarang</t>
  </si>
  <si>
    <t xml:space="preserve">13031100080004</t>
  </si>
  <si>
    <t xml:space="preserve">1303110008000402</t>
  </si>
  <si>
    <t xml:space="preserve">1303110008000403</t>
  </si>
  <si>
    <t xml:space="preserve">1303110008000404</t>
  </si>
  <si>
    <t xml:space="preserve">1303110008000405</t>
  </si>
  <si>
    <t xml:space="preserve">1303110008000406</t>
  </si>
  <si>
    <t xml:space="preserve">1303110008000407</t>
  </si>
  <si>
    <t xml:space="preserve">1303110008000408</t>
  </si>
  <si>
    <t xml:space="preserve">1303110008000409</t>
  </si>
  <si>
    <t xml:space="preserve">1303110008000410</t>
  </si>
  <si>
    <t xml:space="preserve">1303110008000411</t>
  </si>
  <si>
    <t xml:space="preserve">1303110008000412</t>
  </si>
  <si>
    <t xml:space="preserve">1303110008000413</t>
  </si>
  <si>
    <t xml:space="preserve">1303110008000414</t>
  </si>
  <si>
    <t xml:space="preserve">1303110008000415</t>
  </si>
  <si>
    <t xml:space="preserve">1303110008000416</t>
  </si>
  <si>
    <t xml:space="preserve">1303110008000417</t>
  </si>
  <si>
    <t xml:space="preserve">1303110008000418</t>
  </si>
  <si>
    <t xml:space="preserve">1303110008000419</t>
  </si>
  <si>
    <t xml:space="preserve">19</t>
  </si>
  <si>
    <t xml:space="preserve">1303110008000420</t>
  </si>
  <si>
    <t xml:space="preserve">20</t>
  </si>
  <si>
    <t xml:space="preserve">1303110008000501</t>
  </si>
  <si>
    <t xml:space="preserve">Jorong Kajai</t>
  </si>
  <si>
    <t xml:space="preserve">13031100080005</t>
  </si>
  <si>
    <t xml:space="preserve">1303110008000502</t>
  </si>
  <si>
    <t xml:space="preserve">1303110008000503</t>
  </si>
  <si>
    <t xml:space="preserve">1303110008000504</t>
  </si>
  <si>
    <t xml:space="preserve">1303110008000505</t>
  </si>
  <si>
    <t xml:space="preserve">1303110008000506</t>
  </si>
  <si>
    <t xml:space="preserve">1303110008000507</t>
  </si>
  <si>
    <t xml:space="preserve">1303110008000508</t>
  </si>
  <si>
    <t xml:space="preserve">1303110008000601</t>
  </si>
  <si>
    <t xml:space="preserve">Jorong Simpang Sawah Baliak</t>
  </si>
  <si>
    <t xml:space="preserve">13031100080006</t>
  </si>
  <si>
    <t xml:space="preserve">1303110008000602</t>
  </si>
  <si>
    <t xml:space="preserve">1303110008000603</t>
  </si>
  <si>
    <t xml:space="preserve">1303110008000604</t>
  </si>
  <si>
    <t xml:space="preserve">1303110008000605</t>
  </si>
  <si>
    <t xml:space="preserve">1303110008000606</t>
  </si>
  <si>
    <t xml:space="preserve">1303110008000607</t>
  </si>
  <si>
    <t xml:space="preserve">1303110008000608</t>
  </si>
  <si>
    <t xml:space="preserve">1303110008000609</t>
  </si>
  <si>
    <t xml:space="preserve">1303110008000610</t>
  </si>
  <si>
    <t xml:space="preserve">1303110008000611</t>
  </si>
  <si>
    <t xml:space="preserve">1303110008000701</t>
  </si>
  <si>
    <t xml:space="preserve">Jorong Bukik Kili</t>
  </si>
  <si>
    <t xml:space="preserve">13031100080007</t>
  </si>
  <si>
    <t xml:space="preserve">1303110008000702</t>
  </si>
  <si>
    <t xml:space="preserve">1303110008000703</t>
  </si>
  <si>
    <t xml:space="preserve">1303110008000704</t>
  </si>
  <si>
    <t xml:space="preserve">1303110008000705</t>
  </si>
  <si>
    <t xml:space="preserve">1303110008000706</t>
  </si>
  <si>
    <t xml:space="preserve">1303120007000100</t>
  </si>
  <si>
    <t xml:space="preserve">Jorong Datar</t>
  </si>
  <si>
    <t xml:space="preserve">13031200070001</t>
  </si>
  <si>
    <t xml:space="preserve">1303120007000200</t>
  </si>
  <si>
    <t xml:space="preserve">Jorong Sopan Balai</t>
  </si>
  <si>
    <t xml:space="preserve">13031200070002</t>
  </si>
  <si>
    <t xml:space="preserve">13031200070003</t>
  </si>
  <si>
    <t xml:space="preserve">Dara Muhaima Febriana (PPL, 5.2 km)</t>
  </si>
  <si>
    <t xml:space="preserve">Nurul Vani Fatia (PPL, 4.5 km)</t>
  </si>
  <si>
    <t xml:space="preserve">1303120007000400</t>
  </si>
  <si>
    <t xml:space="preserve">Jorong Sawah Kasik</t>
  </si>
  <si>
    <t xml:space="preserve">13031200070004</t>
  </si>
  <si>
    <t xml:space="preserve">1303120007000500</t>
  </si>
  <si>
    <t xml:space="preserve">Jorong Penjalangan</t>
  </si>
  <si>
    <t xml:space="preserve">13031200070005</t>
  </si>
  <si>
    <t xml:space="preserve">13031200090001</t>
  </si>
  <si>
    <t xml:space="preserve">Fenny Anda Listi (PPL, 4.7 km)</t>
  </si>
  <si>
    <t xml:space="preserve">Fenny Anda Listi (PPL, 5.3 km)</t>
  </si>
  <si>
    <t xml:space="preserve">Mira Apridayanti (PPL, 4.7 km)</t>
  </si>
  <si>
    <t xml:space="preserve">1303120009000200</t>
  </si>
  <si>
    <t xml:space="preserve">Jorong Sibumbun</t>
  </si>
  <si>
    <t xml:space="preserve">13031200090002</t>
  </si>
  <si>
    <t xml:space="preserve">1303120009000300</t>
  </si>
  <si>
    <t xml:space="preserve">Jorong Pabusuik</t>
  </si>
  <si>
    <t xml:space="preserve">13031200090003</t>
  </si>
  <si>
    <t xml:space="preserve">1303120009000400</t>
  </si>
  <si>
    <t xml:space="preserve">Jorong Pisang Kalek</t>
  </si>
  <si>
    <t xml:space="preserve">13031200090004</t>
  </si>
  <si>
    <t xml:space="preserve">1303120009000500</t>
  </si>
  <si>
    <t xml:space="preserve">Jorong Tinggi</t>
  </si>
  <si>
    <t xml:space="preserve">13031200090005</t>
  </si>
  <si>
    <t xml:space="preserve">1303120009000600</t>
  </si>
  <si>
    <t xml:space="preserve">13031200090006</t>
  </si>
  <si>
    <t xml:space="preserve">1303120009000700</t>
  </si>
  <si>
    <t xml:space="preserve">Jorong Pakarohan</t>
  </si>
  <si>
    <t xml:space="preserve">13031200090007</t>
  </si>
  <si>
    <t xml:space="preserve">13031200090008</t>
  </si>
  <si>
    <t xml:space="preserve">Mira Apridayanti (PPL, 2.0 km)</t>
  </si>
  <si>
    <t xml:space="preserve">1303130001000101</t>
  </si>
  <si>
    <t xml:space="preserve">Jorong Tembok</t>
  </si>
  <si>
    <t xml:space="preserve">Rivo Nofri Armon</t>
  </si>
  <si>
    <t xml:space="preserve">13031300010001</t>
  </si>
  <si>
    <t xml:space="preserve">1303130001</t>
  </si>
  <si>
    <t xml:space="preserve">1303130001000102</t>
  </si>
  <si>
    <t xml:space="preserve">1303130001000601</t>
  </si>
  <si>
    <t xml:space="preserve">Jorong Biteh</t>
  </si>
  <si>
    <t xml:space="preserve">M. Hafizh Dinu Aulia</t>
  </si>
  <si>
    <t xml:space="preserve">13031300010006</t>
  </si>
  <si>
    <t xml:space="preserve">1303130001000602</t>
  </si>
  <si>
    <t xml:space="preserve">Dara muhaima febriana</t>
  </si>
  <si>
    <t xml:space="preserve">1303130002000101</t>
  </si>
  <si>
    <t xml:space="preserve">Jorong Pasir</t>
  </si>
  <si>
    <t xml:space="preserve">Ira Wahyuni</t>
  </si>
  <si>
    <t xml:space="preserve">13031300020001</t>
  </si>
  <si>
    <t xml:space="preserve">1303130002000102</t>
  </si>
  <si>
    <t xml:space="preserve">1303130002000103</t>
  </si>
  <si>
    <t xml:space="preserve">1303130002000200</t>
  </si>
  <si>
    <t xml:space="preserve">Jorong Tangah</t>
  </si>
  <si>
    <t xml:space="preserve">13031300020002</t>
  </si>
  <si>
    <t xml:space="preserve">1303130002000300</t>
  </si>
  <si>
    <t xml:space="preserve">Jorong Batu Api</t>
  </si>
  <si>
    <t xml:space="preserve">13031300020003</t>
  </si>
  <si>
    <t xml:space="preserve">1303130004000101</t>
  </si>
  <si>
    <t xml:space="preserve">Jorong Kapuh</t>
  </si>
  <si>
    <t xml:space="preserve">Nur Aisyah</t>
  </si>
  <si>
    <t xml:space="preserve">13031300040001</t>
  </si>
  <si>
    <t xml:space="preserve">1303130004000102</t>
  </si>
  <si>
    <t xml:space="preserve">Fikri Mardiyani</t>
  </si>
  <si>
    <t xml:space="preserve">1303130004000103</t>
  </si>
  <si>
    <t xml:space="preserve">1303130004000200</t>
  </si>
  <si>
    <t xml:space="preserve">Jorong Simpang Aa</t>
  </si>
  <si>
    <t xml:space="preserve">13031300040002</t>
  </si>
  <si>
    <t xml:space="preserve">1303130004000300</t>
  </si>
  <si>
    <t xml:space="preserve">Jorong Bandaliko</t>
  </si>
  <si>
    <t xml:space="preserve">13031300040003</t>
  </si>
  <si>
    <t xml:space="preserve">1303130004000400</t>
  </si>
  <si>
    <t xml:space="preserve">Jorong Sumagek</t>
  </si>
  <si>
    <t xml:space="preserve">Bayu pratama</t>
  </si>
  <si>
    <t xml:space="preserve">13031300040004</t>
  </si>
  <si>
    <t xml:space="preserve">1303130004000501</t>
  </si>
  <si>
    <t xml:space="preserve">Jorong Pbs</t>
  </si>
  <si>
    <t xml:space="preserve">HANIFAH</t>
  </si>
  <si>
    <t xml:space="preserve">13031300040005</t>
  </si>
  <si>
    <t xml:space="preserve">1303130004000502</t>
  </si>
  <si>
    <t xml:space="preserve">Imilsi asgra varka</t>
  </si>
  <si>
    <t xml:space="preserve">1303130004000600</t>
  </si>
  <si>
    <t xml:space="preserve">Jorong Kajang</t>
  </si>
  <si>
    <t xml:space="preserve">13031300040006</t>
  </si>
  <si>
    <t xml:space="preserve">1303130004000701</t>
  </si>
  <si>
    <t xml:space="preserve">13031300040007</t>
  </si>
  <si>
    <t xml:space="preserve">1303130004000702</t>
  </si>
  <si>
    <t xml:space="preserve">Salsa Billa Duwita Putri</t>
  </si>
  <si>
    <t xml:space="preserve">1303130004000703</t>
  </si>
  <si>
    <t xml:space="preserve">1303130004000801</t>
  </si>
  <si>
    <t xml:space="preserve">13031300040008</t>
  </si>
  <si>
    <t xml:space="preserve">1303130004000802</t>
  </si>
  <si>
    <t xml:space="preserve">1303130004000803</t>
  </si>
  <si>
    <t xml:space="preserve">1303130004000804</t>
  </si>
  <si>
    <t xml:space="preserve">1303130004000900</t>
  </si>
  <si>
    <t xml:space="preserve">Jorong Pinyangek</t>
  </si>
  <si>
    <t xml:space="preserve">Agri renta falusia</t>
  </si>
  <si>
    <t xml:space="preserve">13031300040009</t>
  </si>
  <si>
    <t xml:space="preserve">1303130004001001</t>
  </si>
  <si>
    <t xml:space="preserve">Jorong Guci</t>
  </si>
  <si>
    <t xml:space="preserve">Sri Hati Putri</t>
  </si>
  <si>
    <t xml:space="preserve">13031300040010</t>
  </si>
  <si>
    <t xml:space="preserve">1303130004001002</t>
  </si>
  <si>
    <t xml:space="preserve">1303130004001101</t>
  </si>
  <si>
    <t xml:space="preserve">Mira apridayanti</t>
  </si>
  <si>
    <t xml:space="preserve">13031300040011</t>
  </si>
  <si>
    <t xml:space="preserve">1303130004001102</t>
  </si>
  <si>
    <t xml:space="preserve">1303130004001201</t>
  </si>
  <si>
    <t xml:space="preserve">Jorong Ranah</t>
  </si>
  <si>
    <t xml:space="preserve">13031300040012</t>
  </si>
  <si>
    <t xml:space="preserve">1303130004001202</t>
  </si>
  <si>
    <t xml:space="preserve">1303130005000101</t>
  </si>
  <si>
    <t xml:space="preserve">Jorong Kapalo Labuh</t>
  </si>
  <si>
    <t xml:space="preserve">Cek: 9 KK terverifikasi di jorong ini</t>
  </si>
  <si>
    <t xml:space="preserve">13031300050001</t>
  </si>
  <si>
    <t xml:space="preserve">1303130005000102</t>
  </si>
  <si>
    <t xml:space="preserve">1303130005000103</t>
  </si>
  <si>
    <t xml:space="preserve">1303130005000104</t>
  </si>
  <si>
    <t xml:space="preserve">Reni Fatriani</t>
  </si>
  <si>
    <t xml:space="preserve">13031300050002</t>
  </si>
  <si>
    <t xml:space="preserve">Bayu Pratama (PPL, 3.3 km)</t>
  </si>
  <si>
    <t xml:space="preserve">Agri Renta Falusia (PPL, 4.0 km)</t>
  </si>
  <si>
    <t xml:space="preserve">1303130005000301</t>
  </si>
  <si>
    <t xml:space="preserve">Jorong Balai Panjang</t>
  </si>
  <si>
    <t xml:space="preserve">Velmarniati</t>
  </si>
  <si>
    <t xml:space="preserve">13031300050003</t>
  </si>
  <si>
    <t xml:space="preserve">1303130005000302</t>
  </si>
  <si>
    <t xml:space="preserve">Indah Permata Sari</t>
  </si>
  <si>
    <t xml:space="preserve">1303130005000303</t>
  </si>
  <si>
    <t xml:space="preserve">ABDUL LATIF</t>
  </si>
  <si>
    <t xml:space="preserve">1303130005000401</t>
  </si>
  <si>
    <t xml:space="preserve">Jorong Balai Lalang</t>
  </si>
  <si>
    <t xml:space="preserve">Nurpatri</t>
  </si>
  <si>
    <t xml:space="preserve">13031300050004</t>
  </si>
  <si>
    <t xml:space="preserve">1303130005000402</t>
  </si>
  <si>
    <t xml:space="preserve">Hafni Syamfitria</t>
  </si>
  <si>
    <t xml:space="preserve">1303130005000501</t>
  </si>
  <si>
    <t xml:space="preserve">Jorong Balai Batingkah</t>
  </si>
  <si>
    <t xml:space="preserve">Alhammah Alam 'Gina</t>
  </si>
  <si>
    <t xml:space="preserve">13031300050005</t>
  </si>
  <si>
    <t xml:space="preserve">1303130005000502</t>
  </si>
  <si>
    <t xml:space="preserve">1303130005000503</t>
  </si>
  <si>
    <t xml:space="preserve">1303130005000600</t>
  </si>
  <si>
    <t xml:space="preserve">13031300050006</t>
  </si>
  <si>
    <t xml:space="preserve">1303130006000101</t>
  </si>
  <si>
    <t xml:space="preserve">Jorong Ujung Ladang</t>
  </si>
  <si>
    <t xml:space="preserve">13031300060001</t>
  </si>
  <si>
    <t xml:space="preserve">1303130006000102</t>
  </si>
  <si>
    <t xml:space="preserve">Cek: 2 mitra ragu-ragu</t>
  </si>
  <si>
    <t xml:space="preserve">1303130006000103</t>
  </si>
  <si>
    <t xml:space="preserve">1303130006000201</t>
  </si>
  <si>
    <t xml:space="preserve">Jorong Padang Belimbing</t>
  </si>
  <si>
    <t xml:space="preserve">Pertimbangkan ditambah: 64 KK terverifikasi di jorong ini; 1 mitra ragu-ragu</t>
  </si>
  <si>
    <t xml:space="preserve">13031300060002</t>
  </si>
  <si>
    <t xml:space="preserve">1303130006000202</t>
  </si>
  <si>
    <t xml:space="preserve">1303130006000203</t>
  </si>
  <si>
    <t xml:space="preserve">1303130006000204</t>
  </si>
  <si>
    <t xml:space="preserve">1303130006000205</t>
  </si>
  <si>
    <t xml:space="preserve">1303130006000206</t>
  </si>
  <si>
    <t xml:space="preserve">1303130006000207</t>
  </si>
  <si>
    <t xml:space="preserve">Jahar Nas</t>
  </si>
  <si>
    <t xml:space="preserve">1303130006000301</t>
  </si>
  <si>
    <t xml:space="preserve">Jorong Limo Ninik</t>
  </si>
  <si>
    <t xml:space="preserve">13031300060003</t>
  </si>
  <si>
    <t xml:space="preserve">1303130006000302</t>
  </si>
  <si>
    <t xml:space="preserve">1303130006000303</t>
  </si>
  <si>
    <t xml:space="preserve">1303130006000401</t>
  </si>
  <si>
    <t xml:space="preserve">Jorong Kasik</t>
  </si>
  <si>
    <t xml:space="preserve">ROBI ALVIAN</t>
  </si>
  <si>
    <t xml:space="preserve">13031300060004</t>
  </si>
  <si>
    <t xml:space="preserve">1303130006000402</t>
  </si>
  <si>
    <t xml:space="preserve">1303130006000403</t>
  </si>
  <si>
    <t xml:space="preserve">1303130006000404</t>
  </si>
  <si>
    <t xml:space="preserve">1303140001000100</t>
  </si>
  <si>
    <t xml:space="preserve">FENNY ANDA LISTI</t>
  </si>
  <si>
    <t xml:space="preserve">13031400010001</t>
  </si>
  <si>
    <t xml:space="preserve">1303140001000201</t>
  </si>
  <si>
    <t xml:space="preserve">Jorong Guci Iv</t>
  </si>
  <si>
    <t xml:space="preserve">13031400010002</t>
  </si>
  <si>
    <t xml:space="preserve">1303140001000202</t>
  </si>
  <si>
    <t xml:space="preserve">Nurul vani fatia</t>
  </si>
  <si>
    <t xml:space="preserve">1303140001000300</t>
  </si>
  <si>
    <t xml:space="preserve">Jorong Guci Ii</t>
  </si>
  <si>
    <t xml:space="preserve">Dara muhaima febriana; NOVA ALIZA; ONDRI YANDI</t>
  </si>
  <si>
    <t xml:space="preserve">13031400010003</t>
  </si>
  <si>
    <t xml:space="preserve">1303140001000400</t>
  </si>
  <si>
    <t xml:space="preserve">Aniza Nurzanah; Puji Putri</t>
  </si>
  <si>
    <t xml:space="preserve">13031400010004</t>
  </si>
  <si>
    <t xml:space="preserve">1303140001000500</t>
  </si>
  <si>
    <t xml:space="preserve">Jorong Tanjung</t>
  </si>
  <si>
    <t xml:space="preserve">13031400010005</t>
  </si>
  <si>
    <t xml:space="preserve">1303140002000101</t>
  </si>
  <si>
    <t xml:space="preserve">Rini Nofsiska Sari</t>
  </si>
  <si>
    <t xml:space="preserve">13031400020001</t>
  </si>
  <si>
    <t xml:space="preserve">1303140002000102</t>
  </si>
  <si>
    <t xml:space="preserve">1303140002000103</t>
  </si>
  <si>
    <t xml:space="preserve">Berni desriyanti</t>
  </si>
  <si>
    <t xml:space="preserve">1303140002000104</t>
  </si>
  <si>
    <t xml:space="preserve">nopi nofila</t>
  </si>
  <si>
    <t xml:space="preserve">1303140002000105</t>
  </si>
  <si>
    <t xml:space="preserve">Indri septiadi</t>
  </si>
  <si>
    <t xml:space="preserve">1303140002000106</t>
  </si>
  <si>
    <t xml:space="preserve">1303140002000107</t>
  </si>
  <si>
    <t xml:space="preserve">Novi Endria Jhoni</t>
  </si>
  <si>
    <t xml:space="preserve">1303140002000201</t>
  </si>
  <si>
    <t xml:space="preserve">Jorong Ganting Padang Palak</t>
  </si>
  <si>
    <t xml:space="preserve">MINDA SUSANTI</t>
  </si>
  <si>
    <t xml:space="preserve">13031400020002</t>
  </si>
  <si>
    <t xml:space="preserve">1303140002000202</t>
  </si>
  <si>
    <t xml:space="preserve">1303140002000203</t>
  </si>
  <si>
    <t xml:space="preserve">1303140002000301</t>
  </si>
  <si>
    <t xml:space="preserve">13031400020003</t>
  </si>
  <si>
    <t xml:space="preserve">1303140002000302</t>
  </si>
  <si>
    <t xml:space="preserve">1303140002000303</t>
  </si>
  <si>
    <t xml:space="preserve">1303140002000304</t>
  </si>
  <si>
    <t xml:space="preserve">1303140002000305</t>
  </si>
  <si>
    <t xml:space="preserve">1303140002000306</t>
  </si>
  <si>
    <t xml:space="preserve">1303140002000401</t>
  </si>
  <si>
    <t xml:space="preserve">Jorong Koto Baru Tambak</t>
  </si>
  <si>
    <t xml:space="preserve">13031400020004</t>
  </si>
  <si>
    <t xml:space="preserve">1303140002000402</t>
  </si>
  <si>
    <t xml:space="preserve">1303140002000403</t>
  </si>
  <si>
    <t xml:space="preserve">1303140002000404</t>
  </si>
  <si>
    <t xml:space="preserve">1303140002000501</t>
  </si>
  <si>
    <t xml:space="preserve">Jorong Parumahan</t>
  </si>
  <si>
    <t xml:space="preserve">13031400020005</t>
  </si>
  <si>
    <t xml:space="preserve">1303140002000502</t>
  </si>
  <si>
    <t xml:space="preserve">1303140002000503</t>
  </si>
  <si>
    <t xml:space="preserve">1303140002000504</t>
  </si>
  <si>
    <t xml:space="preserve">1303140002000505</t>
  </si>
  <si>
    <t xml:space="preserve">1303140002000601</t>
  </si>
  <si>
    <t xml:space="preserve">Febri Handayani</t>
  </si>
  <si>
    <t xml:space="preserve">13031400020006</t>
  </si>
  <si>
    <t xml:space="preserve">1303140002000602</t>
  </si>
  <si>
    <t xml:space="preserve">1303140002000603</t>
  </si>
  <si>
    <t xml:space="preserve">1303140002000604</t>
  </si>
  <si>
    <t xml:space="preserve">1303140002000605</t>
  </si>
  <si>
    <t xml:space="preserve">Rusak berat</t>
  </si>
  <si>
    <t xml:space="preserve">Rusak sedang</t>
  </si>
  <si>
    <t xml:space="preserve">Rusak ringan</t>
  </si>
  <si>
    <t xml:space="preserve">Terdampak (TRD)</t>
  </si>
  <si>
    <t xml:space="preserve">Hanyut</t>
  </si>
  <si>
    <t xml:space="preserve">Total KK terverifikasi</t>
  </si>
  <si>
    <t xml:space="preserve">Sub SLS masuk wilayah kerja</t>
  </si>
  <si>
    <t xml:space="preserve">Sub SLS tambahan</t>
  </si>
  <si>
    <t xml:space="preserve">Sub SLS tidak ikut</t>
  </si>
  <si>
    <t xml:space="preserve">Status jorong</t>
  </si>
  <si>
    <t xml:space="preserve">Sumber: verifikasi lapangan resmi 4–6 Januari 2026 (granularitas jorong, bukan Sub SLS). Rusak berat/sedang/ringan = kerusakan rumah; TRD = terdampak lainnya.</t>
  </si>
  <si>
    <t xml:space="preserve">Total Sub SLS</t>
  </si>
  <si>
    <t xml:space="preserve">Masuk wilayah kerja</t>
  </si>
  <si>
    <t xml:space="preserve">Tambahan</t>
  </si>
  <si>
    <t xml:space="preserve">Tidak ikut</t>
  </si>
  <si>
    <t xml:space="preserve">KK terverifikasi (jumlah jorong)</t>
  </si>
  <si>
    <t xml:space="preserve">Status nagari</t>
  </si>
  <si>
    <t xml:space="preserve">Catatan laporan mitra / verifikasi</t>
  </si>
  <si>
    <t xml:space="preserve">1303040001</t>
  </si>
  <si>
    <t xml:space="preserve">Laporan mitra: 1 laporan "tidak ada" terdampak (Alahan Panjang). Verifikasi: 4 KK di Jorong Batu Putih.</t>
  </si>
  <si>
    <t xml:space="preserve">Laporan mitra: 2 laporan (1 "ada", 1 "tidak ada"), belum ada identifikasi per jorong. Verifikasi: 2 KK (Rimbo Data, Pasa).</t>
  </si>
  <si>
    <t xml:space="preserve">1303050003</t>
  </si>
  <si>
    <t xml:space="preserve">Salimpat</t>
  </si>
  <si>
    <t xml:space="preserve">1303051001</t>
  </si>
  <si>
    <t xml:space="preserve">Hiliran Gumanti</t>
  </si>
  <si>
    <t xml:space="preserve">Sungai Abu</t>
  </si>
  <si>
    <t xml:space="preserve">1303051002</t>
  </si>
  <si>
    <t xml:space="preserve">1303051003</t>
  </si>
  <si>
    <t xml:space="preserve">1303060001</t>
  </si>
  <si>
    <t xml:space="preserve">Payung Sekaki</t>
  </si>
  <si>
    <t xml:space="preserve">Laporan mitra: 1 laporan "ada jorong terdampak", tetapi nagari bukan dari daftar awal.</t>
  </si>
  <si>
    <t xml:space="preserve">1303060002</t>
  </si>
  <si>
    <t xml:space="preserve">Supayang</t>
  </si>
  <si>
    <t xml:space="preserve">1303060003</t>
  </si>
  <si>
    <t xml:space="preserve">Aie Luo</t>
  </si>
  <si>
    <t xml:space="preserve">Laporan mitra: 1 laporan "ada jorong terdampak".</t>
  </si>
  <si>
    <t xml:space="preserve">1303061001</t>
  </si>
  <si>
    <t xml:space="preserve">Tigo Lurah</t>
  </si>
  <si>
    <t xml:space="preserve">Rangkiang Luluih</t>
  </si>
  <si>
    <t xml:space="preserve">1303061002</t>
  </si>
  <si>
    <t xml:space="preserve">Laporan mitra: 3 laporan "ada jorong terdampak", tetapi nagari bukan dari daftar awal.</t>
  </si>
  <si>
    <t xml:space="preserve">1303061003</t>
  </si>
  <si>
    <t xml:space="preserve">Simanau</t>
  </si>
  <si>
    <t xml:space="preserve">1303061004</t>
  </si>
  <si>
    <t xml:space="preserve">Tanjung Balik Sumiso</t>
  </si>
  <si>
    <t xml:space="preserve">1303061005</t>
  </si>
  <si>
    <t xml:space="preserve">Garabak Data</t>
  </si>
  <si>
    <t xml:space="preserve">1303070002</t>
  </si>
  <si>
    <t xml:space="preserve">Batu Banyak</t>
  </si>
  <si>
    <t xml:space="preserve">1303070003</t>
  </si>
  <si>
    <t xml:space="preserve">Limau Lunggo</t>
  </si>
  <si>
    <t xml:space="preserve">1303070005</t>
  </si>
  <si>
    <t xml:space="preserve">Laporan mitra: 3 laporan "ada jorong terdampak", belum ada identifikasi per jorong. Verifikasi: 2 KK.</t>
  </si>
  <si>
    <t xml:space="preserve">1303080003</t>
  </si>
  <si>
    <t xml:space="preserve">Sungai Janiah</t>
  </si>
  <si>
    <t xml:space="preserve">1303080006</t>
  </si>
  <si>
    <t xml:space="preserve">Jawi-Jawi</t>
  </si>
  <si>
    <t xml:space="preserve">1303090001</t>
  </si>
  <si>
    <t xml:space="preserve">1303090003</t>
  </si>
  <si>
    <t xml:space="preserve">Parambahan</t>
  </si>
  <si>
    <t xml:space="preserve">1303090004</t>
  </si>
  <si>
    <t xml:space="preserve">Laporan mitra: 2 laporan (1 "ada", 1 "tidak ada"). Verifikasi: 1 KK.</t>
  </si>
  <si>
    <t xml:space="preserve">1303100001</t>
  </si>
  <si>
    <t xml:space="preserve">Pianggu</t>
  </si>
  <si>
    <t xml:space="preserve">1303100002</t>
  </si>
  <si>
    <t xml:space="preserve">Taruang-Taruang</t>
  </si>
  <si>
    <t xml:space="preserve">1303100003</t>
  </si>
  <si>
    <t xml:space="preserve">Siaro-Aro</t>
  </si>
  <si>
    <t xml:space="preserve">1303100004</t>
  </si>
  <si>
    <t xml:space="preserve">Indudur</t>
  </si>
  <si>
    <t xml:space="preserve">1303100005</t>
  </si>
  <si>
    <t xml:space="preserve">Guguak Sarai</t>
  </si>
  <si>
    <t xml:space="preserve">1303100007</t>
  </si>
  <si>
    <t xml:space="preserve">Bukit Bais</t>
  </si>
  <si>
    <t xml:space="preserve">1303100008</t>
  </si>
  <si>
    <t xml:space="preserve">1303100009</t>
  </si>
  <si>
    <t xml:space="preserve">Sungai Jambur</t>
  </si>
  <si>
    <t xml:space="preserve">1303110002</t>
  </si>
  <si>
    <t xml:space="preserve">1303110003</t>
  </si>
  <si>
    <t xml:space="preserve">Saok Laweh</t>
  </si>
  <si>
    <t xml:space="preserve">1303110004</t>
  </si>
  <si>
    <t xml:space="preserve">Tanjung Bingkung</t>
  </si>
  <si>
    <t xml:space="preserve">1303120001</t>
  </si>
  <si>
    <t xml:space="preserve">1303120002</t>
  </si>
  <si>
    <t xml:space="preserve">Tanjung Balik</t>
  </si>
  <si>
    <t xml:space="preserve">1303120003</t>
  </si>
  <si>
    <t xml:space="preserve">1303120004</t>
  </si>
  <si>
    <t xml:space="preserve">Labuh Panjang</t>
  </si>
  <si>
    <t xml:space="preserve">1303120005</t>
  </si>
  <si>
    <t xml:space="preserve">Sulit Air</t>
  </si>
  <si>
    <t xml:space="preserve">1303120006</t>
  </si>
  <si>
    <t xml:space="preserve">Laporan mitra: 1 laporan "ada", belum ada identifikasi per jorong. Verifikasi: 1 KK.</t>
  </si>
  <si>
    <t xml:space="preserve">1303120008</t>
  </si>
  <si>
    <t xml:space="preserve">Kuncir</t>
  </si>
  <si>
    <t xml:space="preserve">Laporan mitra: 2 laporan "ada", belum ada identifikasi per jorong. Verifikasi: 2 KK.</t>
  </si>
  <si>
    <t xml:space="preserve">1303130003</t>
  </si>
  <si>
    <t xml:space="preserve">1303130007</t>
  </si>
  <si>
    <t xml:space="preserve">Tanjung Alai</t>
  </si>
  <si>
    <t xml:space="preserve">1303130008</t>
  </si>
  <si>
    <t xml:space="preserve">TOTAL</t>
  </si>
  <si>
    <t xml:space="preserve">Daftar Korwil — kiriman user (137 baris, 5 kosong)</t>
  </si>
  <si>
    <t xml:space="preserve">Daftar awal 137 baris kiriman user (tanpa kunci wilayah). Sudah digantikan oleh sheet "Kecenderungan Korwil" (daftar per nagari); disimpan hanya sebagai arsip.</t>
  </si>
  <si>
    <t xml:space="preserve">No baris</t>
  </si>
  <si>
    <t xml:space="preserve">Korwil (sesuai kiriman)</t>
  </si>
  <si>
    <t xml:space="preserve">Jumlah baris</t>
  </si>
  <si>
    <t xml:space="preserve">Uci Yumanda Rizki, SST.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</si>
</sst>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#,##0"/>
    <numFmt numFmtId="167" formatCode="0.00"/>
    <numFmt numFmtId="168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E2A47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E2A47"/>
        <bgColor rgb="FF003366"/>
      </patternFill>
    </fill>
    <fill>
      <patternFill patternType="solid">
        <fgColor rgb="FFDCEADF"/>
        <bgColor rgb="FFDDEFE3"/>
      </patternFill>
    </fill>
    <fill>
      <patternFill patternType="solid">
        <fgColor rgb="FFF3E4C2"/>
        <bgColor rgb="FFF1DAD3"/>
      </patternFill>
    </fill>
    <fill>
      <patternFill patternType="solid">
        <fgColor rgb="FFF1DAD3"/>
        <bgColor rgb="FFF8D7D3"/>
      </patternFill>
    </fill>
    <fill>
      <patternFill patternType="solid">
        <fgColor rgb="FFFFF4D6"/>
        <bgColor rgb="FFEEEEEE"/>
      </patternFill>
    </fill>
    <fill>
      <patternFill patternType="solid">
        <fgColor rgb="FFE4ECF7"/>
        <bgColor rgb="FFEEEEEE"/>
      </patternFill>
    </fill>
    <fill>
      <patternFill patternType="solid">
        <fgColor rgb="FFDDEFE3"/>
        <bgColor rgb="FFDCEADF"/>
      </patternFill>
    </fill>
    <fill>
      <patternFill patternType="solid">
        <fgColor rgb="FFF8D7D3"/>
        <bgColor rgb="FFF1D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 style="thin">
        <color rgb="FFDEDBD3"/>
      </left>
      <right style="thin">
        <color rgb="FFDEDBD3"/>
      </right>
      <top style="thin">
        <color rgb="FFDEDBD3"/>
      </top>
      <bottom style="thin">
        <color rgb="FFDEDB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E2A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F8D7D3"/>
          <bgColor rgb="FF000000"/>
        </patternFill>
      </fill>
    </dxf>
    <dxf>
      <fill>
        <patternFill patternType="solid">
          <fgColor rgb="FFDDEFE3"/>
          <bgColor rgb="FF000000"/>
        </patternFill>
      </fill>
    </dxf>
    <dxf>
      <fill>
        <patternFill patternType="solid">
          <fgColor rgb="FFE4ECF7"/>
          <bgColor rgb="FF000000"/>
        </patternFill>
      </fill>
    </dxf>
    <dxf>
      <fill>
        <patternFill>
          <bgColor rgb="FFF8D7D3"/>
        </patternFill>
      </fill>
    </dxf>
    <dxf>
      <fill>
        <patternFill>
          <bgColor rgb="FFFFF4D6"/>
        </patternFill>
      </fill>
    </dxf>
    <dxf>
      <fill>
        <patternFill>
          <bgColor rgb="FFDDEFE3"/>
        </patternFill>
      </fill>
    </dxf>
    <dxf>
      <fill>
        <patternFill patternType="solid">
          <fgColor rgb="FFDCEADF"/>
          <bgColor rgb="FF000000"/>
        </patternFill>
      </fill>
    </dxf>
    <dxf>
      <fill>
        <patternFill patternType="solid">
          <fgColor rgb="FFF1DAD3"/>
          <bgColor rgb="FF000000"/>
        </patternFill>
      </fill>
    </dxf>
    <dxf>
      <fill>
        <patternFill patternType="solid">
          <fgColor rgb="FFF3E4C2"/>
          <bgColor rgb="FF000000"/>
        </patternFill>
      </fill>
    </dxf>
    <dxf>
      <fill>
        <patternFill>
          <bgColor rgb="FFF1DAD3"/>
        </patternFill>
      </fill>
    </dxf>
    <dxf>
      <fill>
        <patternFill>
          <bgColor rgb="FFF3E4C2"/>
        </patternFill>
      </fill>
    </dxf>
    <dxf>
      <fill>
        <patternFill>
          <bgColor rgb="FFDCEADF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EDBD3"/>
      <rgbColor rgb="FF808080"/>
      <rgbColor rgb="FF9999FF"/>
      <rgbColor rgb="FF993366"/>
      <rgbColor rgb="FFFFF4D6"/>
      <rgbColor rgb="FFE4EC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DF"/>
      <rgbColor rgb="FFDDEFE3"/>
      <rgbColor rgb="FFF3E4C2"/>
      <rgbColor rgb="FFEEEEEE"/>
      <rgbColor rgb="FFF1DAD3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3" min="3" style="1" width="7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</row>
    <row r="5" customFormat="false" ht="15" hidden="false" customHeight="true" outlineLevel="0" collapsed="false">
      <c r="A5" s="5" t="s">
        <v>5</v>
      </c>
      <c r="B5" s="6" t="n">
        <f aca="false">B6+B7+B8+B9</f>
        <v>1084</v>
      </c>
      <c r="C5" s="7" t="s">
        <v>6</v>
      </c>
    </row>
    <row r="6" customFormat="false" ht="15" hidden="false" customHeight="true" outlineLevel="0" collapsed="false">
      <c r="A6" s="8" t="s">
        <v>7</v>
      </c>
      <c r="B6" s="6" t="n">
        <f aca="false">COUNTIF('Detail Sub SLS'!$F:$F,"MASUK WILAYAH KERJA")</f>
        <v>205</v>
      </c>
      <c r="C6" s="7" t="s">
        <v>8</v>
      </c>
    </row>
    <row r="7" customFormat="false" ht="15" hidden="false" customHeight="true" outlineLevel="0" collapsed="false">
      <c r="A7" s="9" t="s">
        <v>9</v>
      </c>
      <c r="B7" s="6" t="n">
        <f aca="false">COUNTIF('Detail Sub SLS'!$F:$F,"TAMBAHAN")</f>
        <v>23</v>
      </c>
      <c r="C7" s="7" t="s">
        <v>10</v>
      </c>
    </row>
    <row r="8" customFormat="false" ht="15" hidden="false" customHeight="true" outlineLevel="0" collapsed="false">
      <c r="A8" s="10" t="s">
        <v>11</v>
      </c>
      <c r="B8" s="6" t="n">
        <f aca="false">COUNTIF('Detail Sub SLS'!$F:$F,"TIDAK IKUT")</f>
        <v>431</v>
      </c>
      <c r="C8" s="7" t="s">
        <v>12</v>
      </c>
    </row>
    <row r="9" customFormat="false" ht="23.25" hidden="false" customHeight="true" outlineLevel="0" collapsed="false">
      <c r="A9" s="11" t="s">
        <v>13</v>
      </c>
      <c r="B9" s="5" t="n">
        <v>425</v>
      </c>
      <c r="C9" s="7" t="s">
        <v>14</v>
      </c>
    </row>
    <row r="11" customFormat="false" ht="15" hidden="false" customHeight="true" outlineLevel="0" collapsed="false">
      <c r="A11" s="11" t="s">
        <v>15</v>
      </c>
    </row>
    <row r="12" customFormat="false" ht="15" hidden="false" customHeight="true" outlineLevel="0" collapsed="false">
      <c r="A12" s="5" t="s">
        <v>16</v>
      </c>
      <c r="B12" s="5" t="n">
        <f aca="false">B6+B8</f>
        <v>636</v>
      </c>
      <c r="C12" s="5" t="s">
        <v>17</v>
      </c>
    </row>
    <row r="13" customFormat="false" ht="15" hidden="false" customHeight="true" outlineLevel="0" collapsed="false">
      <c r="A13" s="5" t="s">
        <v>18</v>
      </c>
      <c r="B13" s="5" t="n">
        <f aca="false">B6+B7</f>
        <v>228</v>
      </c>
      <c r="C13" s="5" t="s">
        <v>19</v>
      </c>
    </row>
    <row r="14" customFormat="false" ht="15" hidden="false" customHeight="true" outlineLevel="0" collapsed="false">
      <c r="A14" s="5" t="s">
        <v>20</v>
      </c>
      <c r="B14" s="5" t="n">
        <f aca="false">COUNTIF('Detail Sub SLS'!$R:$R,"BELUM PLOTTING")</f>
        <v>36</v>
      </c>
      <c r="C14" s="5" t="s">
        <v>21</v>
      </c>
    </row>
    <row r="15" customFormat="false" ht="15" hidden="false" customHeight="true" outlineLevel="0" collapsed="false"/>
    <row r="16" customFormat="false" ht="31.5" hidden="false" customHeight="true" outlineLevel="0" collapsed="false">
      <c r="A16" s="12" t="s">
        <v>22</v>
      </c>
      <c r="B16" s="12"/>
      <c r="C16" s="12"/>
    </row>
    <row r="17" customFormat="false" ht="31.5" hidden="false" customHeight="true" outlineLevel="0" collapsed="false">
      <c r="A17" s="13" t="s">
        <v>23</v>
      </c>
      <c r="B17" s="13"/>
      <c r="C17" s="13"/>
    </row>
    <row r="18" customFormat="false" ht="31.5" hidden="false" customHeight="true" outlineLevel="0" collapsed="false">
      <c r="A18" s="13" t="s">
        <v>24</v>
      </c>
      <c r="B18" s="13"/>
      <c r="C18" s="13"/>
    </row>
    <row r="19" customFormat="false" ht="31.5" hidden="false" customHeight="true" outlineLevel="0" collapsed="false">
      <c r="A19" s="13" t="s">
        <v>25</v>
      </c>
      <c r="B19" s="13"/>
      <c r="C19" s="13"/>
    </row>
    <row r="20" customFormat="false" ht="31.5" hidden="false" customHeight="true" outlineLevel="0" collapsed="false">
      <c r="A20" s="13" t="s">
        <v>26</v>
      </c>
      <c r="B20" s="13"/>
      <c r="C20" s="13"/>
    </row>
    <row r="21" customFormat="false" ht="45.75" hidden="false" customHeight="true" outlineLevel="0" collapsed="false">
      <c r="A21" s="14" t="s">
        <v>27</v>
      </c>
    </row>
    <row r="22" customFormat="false" ht="15" hidden="false" customHeight="true" outlineLevel="0" collapsed="false">
      <c r="A22" s="14" t="s">
        <v>28</v>
      </c>
    </row>
    <row r="23" customFormat="false" ht="15" hidden="false" customHeight="true" outlineLevel="0" collapsed="false">
      <c r="A23" s="14" t="s">
        <v>29</v>
      </c>
    </row>
    <row r="24" customFormat="false" ht="15" hidden="false" customHeight="true" outlineLevel="0" collapsed="false">
      <c r="A24" s="3" t="s">
        <v>30</v>
      </c>
    </row>
    <row r="25" customFormat="false" ht="15" hidden="false" customHeight="true" outlineLevel="0" collapsed="false">
      <c r="A25" s="3" t="s">
        <v>31</v>
      </c>
    </row>
  </sheetData>
  <mergeCells count="5">
    <mergeCell ref="A16:C16"/>
    <mergeCell ref="A17:C17"/>
    <mergeCell ref="A18:C18"/>
    <mergeCell ref="A19:C19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7"/>
    <col collapsed="false" customWidth="true" hidden="false" outlineLevel="0" max="7" min="7" style="1" width="18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24"/>
    <col collapsed="false" customWidth="true" hidden="false" outlineLevel="0" max="12" min="12" style="1" width="22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6" min="16" style="1" width="9"/>
    <col collapsed="false" customWidth="true" hidden="false" outlineLevel="0" max="17" min="17" style="1" width="14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20"/>
    <col collapsed="false" customWidth="true" hidden="false" outlineLevel="0" max="21" min="21" style="1" width="10"/>
    <col collapsed="false" customWidth="true" hidden="false" outlineLevel="0" max="24" min="22" style="1" width="36"/>
    <col collapsed="false" customWidth="true" hidden="false" outlineLevel="0" max="25" min="25" style="1" width="52"/>
  </cols>
  <sheetData>
    <row r="1" customFormat="false" ht="15.75" hidden="false" customHeight="true" outlineLevel="0" collapsed="false">
      <c r="A1" s="15" t="s">
        <v>32</v>
      </c>
    </row>
    <row r="2" customFormat="false" ht="15" hidden="false" customHeight="true" outlineLevel="0" collapsed="false">
      <c r="A2" s="16" t="s">
        <v>33</v>
      </c>
    </row>
    <row r="4" customFormat="false" ht="42" hidden="false" customHeight="true" outlineLevel="0" collapsed="false">
      <c r="A4" s="17" t="s">
        <v>34</v>
      </c>
      <c r="B4" s="17" t="s">
        <v>35</v>
      </c>
      <c r="C4" s="17" t="s">
        <v>36</v>
      </c>
      <c r="D4" s="17" t="s">
        <v>37</v>
      </c>
      <c r="E4" s="17" t="s">
        <v>38</v>
      </c>
      <c r="F4" s="17" t="s">
        <v>3</v>
      </c>
      <c r="G4" s="17" t="s">
        <v>39</v>
      </c>
      <c r="H4" s="17" t="s">
        <v>40</v>
      </c>
      <c r="I4" s="17" t="s">
        <v>41</v>
      </c>
      <c r="J4" s="17" t="s">
        <v>42</v>
      </c>
      <c r="K4" s="17" t="s">
        <v>43</v>
      </c>
      <c r="L4" s="17" t="s">
        <v>44</v>
      </c>
      <c r="M4" s="17" t="s">
        <v>45</v>
      </c>
      <c r="N4" s="17" t="s">
        <v>46</v>
      </c>
      <c r="O4" s="17" t="s">
        <v>47</v>
      </c>
      <c r="P4" s="17" t="s">
        <v>48</v>
      </c>
      <c r="Q4" s="17" t="s">
        <v>49</v>
      </c>
      <c r="R4" s="17" t="s">
        <v>50</v>
      </c>
      <c r="S4" s="17" t="s">
        <v>51</v>
      </c>
      <c r="T4" s="17" t="s">
        <v>52</v>
      </c>
      <c r="U4" s="17" t="s">
        <v>53</v>
      </c>
      <c r="V4" s="17" t="s">
        <v>54</v>
      </c>
      <c r="W4" s="17" t="s">
        <v>55</v>
      </c>
      <c r="X4" s="17" t="s">
        <v>56</v>
      </c>
      <c r="Y4" s="17" t="s">
        <v>57</v>
      </c>
    </row>
    <row r="5" customFormat="false" ht="54" hidden="false" customHeight="true" outlineLevel="0" collapsed="false">
      <c r="A5" s="18" t="n">
        <v>1</v>
      </c>
      <c r="B5" s="19" t="s">
        <v>58</v>
      </c>
      <c r="C5" s="20" t="s">
        <v>59</v>
      </c>
      <c r="D5" s="20" t="s">
        <v>60</v>
      </c>
      <c r="E5" s="20" t="s">
        <v>61</v>
      </c>
      <c r="F5" s="18" t="s">
        <v>62</v>
      </c>
      <c r="G5" s="20" t="s">
        <v>63</v>
      </c>
      <c r="H5" s="21" t="n">
        <v>64</v>
      </c>
      <c r="I5" s="22" t="n">
        <v>4</v>
      </c>
      <c r="J5" s="18" t="n">
        <v>4</v>
      </c>
      <c r="K5" s="18" t="s">
        <v>64</v>
      </c>
      <c r="L5" s="20" t="s">
        <v>65</v>
      </c>
      <c r="M5" s="23" t="s">
        <v>66</v>
      </c>
      <c r="N5" s="24" t="s">
        <v>67</v>
      </c>
      <c r="O5" s="25" t="n">
        <v>5.3</v>
      </c>
      <c r="P5" s="18" t="n">
        <v>0</v>
      </c>
      <c r="Q5" s="18" t="n">
        <f aca="false">P5+COUNTIF($M$5:$M$40,M5)</f>
        <v>2</v>
      </c>
      <c r="R5" s="20" t="s">
        <v>68</v>
      </c>
      <c r="S5" s="19" t="s">
        <v>69</v>
      </c>
      <c r="T5" s="20" t="s">
        <v>70</v>
      </c>
      <c r="U5" s="18" t="s">
        <v>71</v>
      </c>
      <c r="V5" s="20" t="s">
        <v>72</v>
      </c>
      <c r="W5" s="20" t="s">
        <v>73</v>
      </c>
      <c r="X5" s="20" t="s">
        <v>74</v>
      </c>
      <c r="Y5" s="20" t="s">
        <v>75</v>
      </c>
    </row>
    <row r="6" customFormat="false" ht="54" hidden="false" customHeight="true" outlineLevel="0" collapsed="false">
      <c r="A6" s="18" t="n">
        <v>2</v>
      </c>
      <c r="B6" s="19" t="s">
        <v>76</v>
      </c>
      <c r="C6" s="20" t="s">
        <v>59</v>
      </c>
      <c r="D6" s="20" t="s">
        <v>77</v>
      </c>
      <c r="E6" s="20" t="s">
        <v>78</v>
      </c>
      <c r="F6" s="18" t="s">
        <v>79</v>
      </c>
      <c r="G6" s="20" t="s">
        <v>80</v>
      </c>
      <c r="H6" s="21" t="n">
        <v>122</v>
      </c>
      <c r="I6" s="22" t="n">
        <v>0.17</v>
      </c>
      <c r="J6" s="18" t="n">
        <v>1</v>
      </c>
      <c r="K6" s="18" t="s">
        <v>81</v>
      </c>
      <c r="L6" s="20" t="s">
        <v>65</v>
      </c>
      <c r="M6" s="23" t="s">
        <v>82</v>
      </c>
      <c r="N6" s="24" t="s">
        <v>67</v>
      </c>
      <c r="O6" s="25" t="n">
        <v>0</v>
      </c>
      <c r="P6" s="18" t="n">
        <v>0</v>
      </c>
      <c r="Q6" s="18" t="n">
        <f aca="false">P6+COUNTIF($M$5:$M$40,M6)</f>
        <v>4</v>
      </c>
      <c r="R6" s="20" t="s">
        <v>68</v>
      </c>
      <c r="S6" s="19" t="s">
        <v>69</v>
      </c>
      <c r="T6" s="19" t="s">
        <v>83</v>
      </c>
      <c r="U6" s="18" t="s">
        <v>71</v>
      </c>
      <c r="V6" s="20" t="s">
        <v>84</v>
      </c>
      <c r="W6" s="20" t="s">
        <v>85</v>
      </c>
      <c r="X6" s="20" t="s">
        <v>86</v>
      </c>
      <c r="Y6" s="20" t="s">
        <v>87</v>
      </c>
    </row>
    <row r="7" customFormat="false" ht="54" hidden="false" customHeight="true" outlineLevel="0" collapsed="false">
      <c r="A7" s="18" t="n">
        <v>3</v>
      </c>
      <c r="B7" s="19" t="s">
        <v>76</v>
      </c>
      <c r="C7" s="20" t="s">
        <v>59</v>
      </c>
      <c r="D7" s="20" t="s">
        <v>77</v>
      </c>
      <c r="E7" s="20" t="s">
        <v>78</v>
      </c>
      <c r="F7" s="18" t="s">
        <v>88</v>
      </c>
      <c r="G7" s="20" t="s">
        <v>89</v>
      </c>
      <c r="H7" s="21" t="n">
        <v>155</v>
      </c>
      <c r="I7" s="22" t="n">
        <v>0.17</v>
      </c>
      <c r="J7" s="18" t="n">
        <v>1</v>
      </c>
      <c r="K7" s="18" t="s">
        <v>81</v>
      </c>
      <c r="L7" s="20" t="s">
        <v>65</v>
      </c>
      <c r="M7" s="23" t="s">
        <v>82</v>
      </c>
      <c r="N7" s="24" t="s">
        <v>67</v>
      </c>
      <c r="O7" s="25" t="n">
        <v>0.1</v>
      </c>
      <c r="P7" s="18" t="n">
        <v>0</v>
      </c>
      <c r="Q7" s="18" t="n">
        <f aca="false">P7+COUNTIF($M$5:$M$40,M7)</f>
        <v>4</v>
      </c>
      <c r="R7" s="20" t="s">
        <v>68</v>
      </c>
      <c r="S7" s="19" t="s">
        <v>69</v>
      </c>
      <c r="T7" s="19" t="s">
        <v>83</v>
      </c>
      <c r="U7" s="18" t="s">
        <v>71</v>
      </c>
      <c r="V7" s="20" t="s">
        <v>90</v>
      </c>
      <c r="W7" s="20" t="s">
        <v>85</v>
      </c>
      <c r="X7" s="20" t="s">
        <v>91</v>
      </c>
      <c r="Y7" s="20" t="s">
        <v>87</v>
      </c>
    </row>
    <row r="8" customFormat="false" ht="54" hidden="false" customHeight="true" outlineLevel="0" collapsed="false">
      <c r="A8" s="18" t="n">
        <v>4</v>
      </c>
      <c r="B8" s="19" t="s">
        <v>76</v>
      </c>
      <c r="C8" s="20" t="s">
        <v>59</v>
      </c>
      <c r="D8" s="20" t="s">
        <v>77</v>
      </c>
      <c r="E8" s="20" t="s">
        <v>78</v>
      </c>
      <c r="F8" s="18" t="s">
        <v>92</v>
      </c>
      <c r="G8" s="20" t="s">
        <v>93</v>
      </c>
      <c r="H8" s="21" t="n">
        <v>162</v>
      </c>
      <c r="I8" s="22" t="n">
        <v>0.17</v>
      </c>
      <c r="J8" s="18" t="n">
        <v>1</v>
      </c>
      <c r="K8" s="18" t="s">
        <v>81</v>
      </c>
      <c r="L8" s="20" t="s">
        <v>65</v>
      </c>
      <c r="M8" s="23" t="s">
        <v>66</v>
      </c>
      <c r="N8" s="24" t="s">
        <v>67</v>
      </c>
      <c r="O8" s="25" t="n">
        <v>2.8</v>
      </c>
      <c r="P8" s="18" t="n">
        <v>0</v>
      </c>
      <c r="Q8" s="18" t="n">
        <f aca="false">P8+COUNTIF($M$5:$M$40,M8)</f>
        <v>2</v>
      </c>
      <c r="R8" s="20" t="s">
        <v>68</v>
      </c>
      <c r="S8" s="19" t="s">
        <v>69</v>
      </c>
      <c r="T8" s="20" t="s">
        <v>70</v>
      </c>
      <c r="U8" s="18" t="s">
        <v>71</v>
      </c>
      <c r="V8" s="20" t="s">
        <v>94</v>
      </c>
      <c r="W8" s="20" t="s">
        <v>95</v>
      </c>
      <c r="X8" s="20" t="s">
        <v>96</v>
      </c>
      <c r="Y8" s="20" t="s">
        <v>75</v>
      </c>
    </row>
    <row r="9" customFormat="false" ht="54" hidden="false" customHeight="true" outlineLevel="0" collapsed="false">
      <c r="A9" s="18" t="n">
        <v>5</v>
      </c>
      <c r="B9" s="19" t="s">
        <v>76</v>
      </c>
      <c r="C9" s="20" t="s">
        <v>59</v>
      </c>
      <c r="D9" s="20" t="s">
        <v>77</v>
      </c>
      <c r="E9" s="20" t="s">
        <v>78</v>
      </c>
      <c r="F9" s="18" t="s">
        <v>97</v>
      </c>
      <c r="G9" s="20" t="s">
        <v>98</v>
      </c>
      <c r="H9" s="21" t="n">
        <v>187</v>
      </c>
      <c r="I9" s="22" t="n">
        <v>0.17</v>
      </c>
      <c r="J9" s="18" t="n">
        <v>1</v>
      </c>
      <c r="K9" s="18" t="s">
        <v>81</v>
      </c>
      <c r="L9" s="20" t="s">
        <v>65</v>
      </c>
      <c r="M9" s="23" t="s">
        <v>99</v>
      </c>
      <c r="N9" s="24" t="s">
        <v>67</v>
      </c>
      <c r="O9" s="25" t="n">
        <v>1.2</v>
      </c>
      <c r="P9" s="18" t="n">
        <v>0</v>
      </c>
      <c r="Q9" s="18" t="n">
        <f aca="false">P9+COUNTIF($M$5:$M$40,M9)</f>
        <v>4</v>
      </c>
      <c r="R9" s="20" t="s">
        <v>68</v>
      </c>
      <c r="S9" s="19" t="s">
        <v>69</v>
      </c>
      <c r="T9" s="20" t="s">
        <v>70</v>
      </c>
      <c r="U9" s="18" t="s">
        <v>71</v>
      </c>
      <c r="V9" s="20" t="s">
        <v>100</v>
      </c>
      <c r="W9" s="20" t="s">
        <v>101</v>
      </c>
      <c r="X9" s="20" t="s">
        <v>102</v>
      </c>
      <c r="Y9" s="20" t="s">
        <v>75</v>
      </c>
    </row>
    <row r="10" customFormat="false" ht="54" hidden="false" customHeight="true" outlineLevel="0" collapsed="false">
      <c r="A10" s="18" t="n">
        <v>6</v>
      </c>
      <c r="B10" s="19" t="s">
        <v>76</v>
      </c>
      <c r="C10" s="20" t="s">
        <v>59</v>
      </c>
      <c r="D10" s="20" t="s">
        <v>77</v>
      </c>
      <c r="E10" s="20" t="s">
        <v>78</v>
      </c>
      <c r="F10" s="18" t="s">
        <v>103</v>
      </c>
      <c r="G10" s="20" t="s">
        <v>104</v>
      </c>
      <c r="H10" s="21" t="n">
        <v>208</v>
      </c>
      <c r="I10" s="22" t="n">
        <v>0.17</v>
      </c>
      <c r="J10" s="18" t="n">
        <v>1</v>
      </c>
      <c r="K10" s="18" t="s">
        <v>81</v>
      </c>
      <c r="L10" s="19" t="s">
        <v>105</v>
      </c>
      <c r="M10" s="23" t="s">
        <v>106</v>
      </c>
      <c r="N10" s="24" t="s">
        <v>67</v>
      </c>
      <c r="O10" s="25" t="n">
        <v>1.6</v>
      </c>
      <c r="P10" s="18" t="n">
        <v>0</v>
      </c>
      <c r="Q10" s="18" t="n">
        <f aca="false">P10+COUNTIF($M$5:$M$40,M10)</f>
        <v>1</v>
      </c>
      <c r="R10" s="20" t="s">
        <v>68</v>
      </c>
      <c r="S10" s="19" t="s">
        <v>69</v>
      </c>
      <c r="T10" s="20" t="s">
        <v>70</v>
      </c>
      <c r="U10" s="18" t="s">
        <v>71</v>
      </c>
      <c r="V10" s="20" t="s">
        <v>107</v>
      </c>
      <c r="W10" s="20" t="s">
        <v>108</v>
      </c>
      <c r="X10" s="20" t="s">
        <v>109</v>
      </c>
      <c r="Y10" s="20" t="s">
        <v>110</v>
      </c>
    </row>
    <row r="11" customFormat="false" ht="54" hidden="false" customHeight="true" outlineLevel="0" collapsed="false">
      <c r="A11" s="18" t="n">
        <v>7</v>
      </c>
      <c r="B11" s="19" t="s">
        <v>76</v>
      </c>
      <c r="C11" s="20" t="s">
        <v>59</v>
      </c>
      <c r="D11" s="20" t="s">
        <v>77</v>
      </c>
      <c r="E11" s="20" t="s">
        <v>78</v>
      </c>
      <c r="F11" s="18" t="s">
        <v>111</v>
      </c>
      <c r="G11" s="20" t="s">
        <v>112</v>
      </c>
      <c r="H11" s="21" t="n">
        <v>151</v>
      </c>
      <c r="I11" s="22" t="n">
        <v>0.17</v>
      </c>
      <c r="J11" s="18" t="n">
        <v>1</v>
      </c>
      <c r="K11" s="18" t="s">
        <v>81</v>
      </c>
      <c r="L11" s="20" t="s">
        <v>113</v>
      </c>
      <c r="M11" s="23" t="s">
        <v>114</v>
      </c>
      <c r="N11" s="24" t="s">
        <v>67</v>
      </c>
      <c r="O11" s="25" t="n">
        <v>0.9</v>
      </c>
      <c r="P11" s="18" t="n">
        <v>0</v>
      </c>
      <c r="Q11" s="18" t="n">
        <f aca="false">P11+COUNTIF($M$5:$M$40,M11)</f>
        <v>4</v>
      </c>
      <c r="R11" s="20" t="s">
        <v>68</v>
      </c>
      <c r="S11" s="19" t="s">
        <v>69</v>
      </c>
      <c r="T11" s="19" t="s">
        <v>115</v>
      </c>
      <c r="U11" s="18" t="s">
        <v>71</v>
      </c>
      <c r="V11" s="20" t="s">
        <v>116</v>
      </c>
      <c r="W11" s="20" t="s">
        <v>96</v>
      </c>
      <c r="X11" s="20" t="s">
        <v>117</v>
      </c>
      <c r="Y11" s="20" t="s">
        <v>118</v>
      </c>
    </row>
    <row r="12" customFormat="false" ht="54" hidden="false" customHeight="true" outlineLevel="0" collapsed="false">
      <c r="A12" s="18" t="n">
        <v>8</v>
      </c>
      <c r="B12" s="19" t="s">
        <v>76</v>
      </c>
      <c r="C12" s="20" t="s">
        <v>59</v>
      </c>
      <c r="D12" s="20" t="s">
        <v>77</v>
      </c>
      <c r="E12" s="20" t="s">
        <v>119</v>
      </c>
      <c r="F12" s="18" t="s">
        <v>79</v>
      </c>
      <c r="G12" s="20" t="s">
        <v>120</v>
      </c>
      <c r="H12" s="21" t="n">
        <v>149</v>
      </c>
      <c r="I12" s="22" t="n">
        <v>0.2</v>
      </c>
      <c r="J12" s="18" t="n">
        <v>1</v>
      </c>
      <c r="K12" s="18" t="s">
        <v>121</v>
      </c>
      <c r="L12" s="20" t="s">
        <v>65</v>
      </c>
      <c r="M12" s="23" t="s">
        <v>114</v>
      </c>
      <c r="N12" s="24" t="s">
        <v>67</v>
      </c>
      <c r="O12" s="25" t="n">
        <v>1.9</v>
      </c>
      <c r="P12" s="18" t="n">
        <v>0</v>
      </c>
      <c r="Q12" s="18" t="n">
        <f aca="false">P12+COUNTIF($M$5:$M$40,M12)</f>
        <v>4</v>
      </c>
      <c r="R12" s="20" t="s">
        <v>68</v>
      </c>
      <c r="S12" s="19" t="s">
        <v>69</v>
      </c>
      <c r="T12" s="19" t="s">
        <v>115</v>
      </c>
      <c r="U12" s="18" t="s">
        <v>71</v>
      </c>
      <c r="V12" s="20" t="s">
        <v>122</v>
      </c>
      <c r="W12" s="20" t="s">
        <v>123</v>
      </c>
      <c r="X12" s="20" t="s">
        <v>124</v>
      </c>
      <c r="Y12" s="20" t="s">
        <v>118</v>
      </c>
    </row>
    <row r="13" customFormat="false" ht="54" hidden="false" customHeight="true" outlineLevel="0" collapsed="false">
      <c r="A13" s="18" t="n">
        <v>9</v>
      </c>
      <c r="B13" s="19" t="s">
        <v>76</v>
      </c>
      <c r="C13" s="20" t="s">
        <v>59</v>
      </c>
      <c r="D13" s="20" t="s">
        <v>77</v>
      </c>
      <c r="E13" s="20" t="s">
        <v>119</v>
      </c>
      <c r="F13" s="18" t="s">
        <v>88</v>
      </c>
      <c r="G13" s="20" t="s">
        <v>125</v>
      </c>
      <c r="H13" s="21" t="n">
        <v>180</v>
      </c>
      <c r="I13" s="22" t="n">
        <v>0.2</v>
      </c>
      <c r="J13" s="18" t="n">
        <v>1</v>
      </c>
      <c r="K13" s="18" t="s">
        <v>121</v>
      </c>
      <c r="L13" s="20" t="s">
        <v>65</v>
      </c>
      <c r="M13" s="23" t="s">
        <v>99</v>
      </c>
      <c r="N13" s="24" t="s">
        <v>67</v>
      </c>
      <c r="O13" s="25" t="n">
        <v>3.9</v>
      </c>
      <c r="P13" s="18" t="n">
        <v>0</v>
      </c>
      <c r="Q13" s="18" t="n">
        <f aca="false">P13+COUNTIF($M$5:$M$40,M13)</f>
        <v>4</v>
      </c>
      <c r="R13" s="20" t="s">
        <v>68</v>
      </c>
      <c r="S13" s="19" t="s">
        <v>69</v>
      </c>
      <c r="T13" s="20" t="s">
        <v>70</v>
      </c>
      <c r="U13" s="18" t="s">
        <v>71</v>
      </c>
      <c r="V13" s="20" t="s">
        <v>126</v>
      </c>
      <c r="W13" s="20" t="s">
        <v>127</v>
      </c>
      <c r="X13" s="20" t="s">
        <v>128</v>
      </c>
      <c r="Y13" s="20" t="s">
        <v>75</v>
      </c>
    </row>
    <row r="14" customFormat="false" ht="54" hidden="false" customHeight="true" outlineLevel="0" collapsed="false">
      <c r="A14" s="18" t="n">
        <v>10</v>
      </c>
      <c r="B14" s="19" t="s">
        <v>76</v>
      </c>
      <c r="C14" s="20" t="s">
        <v>59</v>
      </c>
      <c r="D14" s="20" t="s">
        <v>77</v>
      </c>
      <c r="E14" s="20" t="s">
        <v>119</v>
      </c>
      <c r="F14" s="18" t="s">
        <v>92</v>
      </c>
      <c r="G14" s="20" t="s">
        <v>129</v>
      </c>
      <c r="H14" s="21" t="n">
        <v>172</v>
      </c>
      <c r="I14" s="22" t="n">
        <v>0.2</v>
      </c>
      <c r="J14" s="18" t="n">
        <v>1</v>
      </c>
      <c r="K14" s="18" t="s">
        <v>121</v>
      </c>
      <c r="L14" s="20" t="s">
        <v>65</v>
      </c>
      <c r="M14" s="23" t="s">
        <v>82</v>
      </c>
      <c r="N14" s="24" t="s">
        <v>67</v>
      </c>
      <c r="O14" s="25" t="n">
        <v>3.3</v>
      </c>
      <c r="P14" s="18" t="n">
        <v>0</v>
      </c>
      <c r="Q14" s="18" t="n">
        <f aca="false">P14+COUNTIF($M$5:$M$40,M14)</f>
        <v>4</v>
      </c>
      <c r="R14" s="20" t="s">
        <v>68</v>
      </c>
      <c r="S14" s="19" t="s">
        <v>69</v>
      </c>
      <c r="T14" s="19" t="s">
        <v>83</v>
      </c>
      <c r="U14" s="18" t="s">
        <v>71</v>
      </c>
      <c r="V14" s="20" t="s">
        <v>130</v>
      </c>
      <c r="W14" s="20" t="s">
        <v>131</v>
      </c>
      <c r="X14" s="20" t="s">
        <v>132</v>
      </c>
      <c r="Y14" s="20" t="s">
        <v>87</v>
      </c>
    </row>
    <row r="15" customFormat="false" ht="54" hidden="false" customHeight="true" outlineLevel="0" collapsed="false">
      <c r="A15" s="18" t="n">
        <v>11</v>
      </c>
      <c r="B15" s="19" t="s">
        <v>76</v>
      </c>
      <c r="C15" s="20" t="s">
        <v>59</v>
      </c>
      <c r="D15" s="20" t="s">
        <v>77</v>
      </c>
      <c r="E15" s="20" t="s">
        <v>119</v>
      </c>
      <c r="F15" s="18" t="s">
        <v>97</v>
      </c>
      <c r="G15" s="20" t="s">
        <v>133</v>
      </c>
      <c r="H15" s="21" t="n">
        <v>196</v>
      </c>
      <c r="I15" s="22" t="n">
        <v>0.2</v>
      </c>
      <c r="J15" s="18" t="n">
        <v>1</v>
      </c>
      <c r="K15" s="18" t="s">
        <v>121</v>
      </c>
      <c r="L15" s="20" t="s">
        <v>65</v>
      </c>
      <c r="M15" s="23" t="s">
        <v>99</v>
      </c>
      <c r="N15" s="24" t="s">
        <v>67</v>
      </c>
      <c r="O15" s="25" t="n">
        <v>4.4</v>
      </c>
      <c r="P15" s="18" t="n">
        <v>0</v>
      </c>
      <c r="Q15" s="18" t="n">
        <f aca="false">P15+COUNTIF($M$5:$M$40,M15)</f>
        <v>4</v>
      </c>
      <c r="R15" s="20" t="s">
        <v>68</v>
      </c>
      <c r="S15" s="19" t="s">
        <v>69</v>
      </c>
      <c r="T15" s="20" t="s">
        <v>70</v>
      </c>
      <c r="U15" s="18" t="s">
        <v>71</v>
      </c>
      <c r="V15" s="20" t="s">
        <v>134</v>
      </c>
      <c r="W15" s="20" t="s">
        <v>135</v>
      </c>
      <c r="X15" s="20" t="s">
        <v>136</v>
      </c>
      <c r="Y15" s="20" t="s">
        <v>75</v>
      </c>
    </row>
    <row r="16" customFormat="false" ht="54" hidden="false" customHeight="true" outlineLevel="0" collapsed="false">
      <c r="A16" s="18" t="n">
        <v>12</v>
      </c>
      <c r="B16" s="19" t="s">
        <v>76</v>
      </c>
      <c r="C16" s="20" t="s">
        <v>59</v>
      </c>
      <c r="D16" s="20" t="s">
        <v>77</v>
      </c>
      <c r="E16" s="20" t="s">
        <v>119</v>
      </c>
      <c r="F16" s="18" t="s">
        <v>103</v>
      </c>
      <c r="G16" s="20" t="s">
        <v>137</v>
      </c>
      <c r="H16" s="21" t="n">
        <v>145</v>
      </c>
      <c r="I16" s="22" t="n">
        <v>0.2</v>
      </c>
      <c r="J16" s="18" t="n">
        <v>1</v>
      </c>
      <c r="K16" s="18" t="s">
        <v>121</v>
      </c>
      <c r="L16" s="20" t="s">
        <v>65</v>
      </c>
      <c r="M16" s="23" t="s">
        <v>114</v>
      </c>
      <c r="N16" s="24" t="s">
        <v>67</v>
      </c>
      <c r="O16" s="25" t="n">
        <v>2.2</v>
      </c>
      <c r="P16" s="18" t="n">
        <v>0</v>
      </c>
      <c r="Q16" s="18" t="n">
        <f aca="false">P16+COUNTIF($M$5:$M$40,M16)</f>
        <v>4</v>
      </c>
      <c r="R16" s="20" t="s">
        <v>68</v>
      </c>
      <c r="S16" s="19" t="s">
        <v>69</v>
      </c>
      <c r="T16" s="19" t="s">
        <v>115</v>
      </c>
      <c r="U16" s="18" t="s">
        <v>71</v>
      </c>
      <c r="V16" s="20" t="s">
        <v>138</v>
      </c>
      <c r="W16" s="20" t="s">
        <v>139</v>
      </c>
      <c r="X16" s="20" t="s">
        <v>124</v>
      </c>
      <c r="Y16" s="20" t="s">
        <v>118</v>
      </c>
    </row>
    <row r="17" customFormat="false" ht="54" hidden="false" customHeight="true" outlineLevel="0" collapsed="false">
      <c r="A17" s="18" t="n">
        <v>13</v>
      </c>
      <c r="B17" s="19" t="s">
        <v>76</v>
      </c>
      <c r="C17" s="20" t="s">
        <v>140</v>
      </c>
      <c r="D17" s="20" t="s">
        <v>141</v>
      </c>
      <c r="E17" s="20" t="s">
        <v>142</v>
      </c>
      <c r="F17" s="18" t="s">
        <v>79</v>
      </c>
      <c r="G17" s="20" t="s">
        <v>143</v>
      </c>
      <c r="H17" s="21" t="n">
        <v>124</v>
      </c>
      <c r="I17" s="22" t="n">
        <v>0.14</v>
      </c>
      <c r="J17" s="18" t="n">
        <v>1</v>
      </c>
      <c r="K17" s="18" t="s">
        <v>121</v>
      </c>
      <c r="L17" s="20" t="s">
        <v>65</v>
      </c>
      <c r="M17" s="23" t="s">
        <v>144</v>
      </c>
      <c r="N17" s="24" t="s">
        <v>67</v>
      </c>
      <c r="O17" s="25" t="n">
        <v>2.5</v>
      </c>
      <c r="P17" s="18" t="n">
        <v>0</v>
      </c>
      <c r="Q17" s="18" t="n">
        <f aca="false">P17+COUNTIF($M$5:$M$40,M17)</f>
        <v>4</v>
      </c>
      <c r="R17" s="20" t="s">
        <v>68</v>
      </c>
      <c r="S17" s="19" t="s">
        <v>69</v>
      </c>
      <c r="T17" s="20" t="s">
        <v>70</v>
      </c>
      <c r="U17" s="18" t="s">
        <v>71</v>
      </c>
      <c r="V17" s="20" t="s">
        <v>145</v>
      </c>
      <c r="W17" s="20" t="s">
        <v>146</v>
      </c>
      <c r="X17" s="20" t="s">
        <v>147</v>
      </c>
      <c r="Y17" s="20" t="s">
        <v>75</v>
      </c>
    </row>
    <row r="18" customFormat="false" ht="54" hidden="false" customHeight="true" outlineLevel="0" collapsed="false">
      <c r="A18" s="18" t="n">
        <v>14</v>
      </c>
      <c r="B18" s="19" t="s">
        <v>76</v>
      </c>
      <c r="C18" s="20" t="s">
        <v>140</v>
      </c>
      <c r="D18" s="20" t="s">
        <v>141</v>
      </c>
      <c r="E18" s="20" t="s">
        <v>142</v>
      </c>
      <c r="F18" s="18" t="s">
        <v>88</v>
      </c>
      <c r="G18" s="20" t="s">
        <v>148</v>
      </c>
      <c r="H18" s="21" t="n">
        <v>146</v>
      </c>
      <c r="I18" s="22" t="n">
        <v>0.14</v>
      </c>
      <c r="J18" s="18" t="n">
        <v>1</v>
      </c>
      <c r="K18" s="18" t="s">
        <v>121</v>
      </c>
      <c r="L18" s="20" t="s">
        <v>65</v>
      </c>
      <c r="M18" s="23" t="s">
        <v>144</v>
      </c>
      <c r="N18" s="24" t="s">
        <v>67</v>
      </c>
      <c r="O18" s="25" t="n">
        <v>2.5</v>
      </c>
      <c r="P18" s="18" t="n">
        <v>0</v>
      </c>
      <c r="Q18" s="18" t="n">
        <f aca="false">P18+COUNTIF($M$5:$M$40,M18)</f>
        <v>4</v>
      </c>
      <c r="R18" s="20" t="s">
        <v>68</v>
      </c>
      <c r="S18" s="19" t="s">
        <v>69</v>
      </c>
      <c r="T18" s="20" t="s">
        <v>70</v>
      </c>
      <c r="U18" s="18" t="s">
        <v>71</v>
      </c>
      <c r="V18" s="20" t="s">
        <v>149</v>
      </c>
      <c r="W18" s="20" t="s">
        <v>146</v>
      </c>
      <c r="X18" s="20" t="s">
        <v>150</v>
      </c>
      <c r="Y18" s="20" t="s">
        <v>75</v>
      </c>
    </row>
    <row r="19" customFormat="false" ht="54" hidden="false" customHeight="true" outlineLevel="0" collapsed="false">
      <c r="A19" s="18" t="n">
        <v>15</v>
      </c>
      <c r="B19" s="19" t="s">
        <v>76</v>
      </c>
      <c r="C19" s="20" t="s">
        <v>140</v>
      </c>
      <c r="D19" s="20" t="s">
        <v>141</v>
      </c>
      <c r="E19" s="20" t="s">
        <v>142</v>
      </c>
      <c r="F19" s="18" t="s">
        <v>92</v>
      </c>
      <c r="G19" s="20" t="s">
        <v>151</v>
      </c>
      <c r="H19" s="21" t="n">
        <v>142</v>
      </c>
      <c r="I19" s="22" t="n">
        <v>0.14</v>
      </c>
      <c r="J19" s="18" t="n">
        <v>1</v>
      </c>
      <c r="K19" s="18" t="s">
        <v>121</v>
      </c>
      <c r="L19" s="20" t="s">
        <v>65</v>
      </c>
      <c r="M19" s="23" t="s">
        <v>144</v>
      </c>
      <c r="N19" s="24" t="s">
        <v>67</v>
      </c>
      <c r="O19" s="25" t="n">
        <v>2.8</v>
      </c>
      <c r="P19" s="18" t="n">
        <v>0</v>
      </c>
      <c r="Q19" s="18" t="n">
        <f aca="false">P19+COUNTIF($M$5:$M$40,M19)</f>
        <v>4</v>
      </c>
      <c r="R19" s="20" t="s">
        <v>68</v>
      </c>
      <c r="S19" s="19" t="s">
        <v>69</v>
      </c>
      <c r="T19" s="20" t="s">
        <v>70</v>
      </c>
      <c r="U19" s="18" t="s">
        <v>71</v>
      </c>
      <c r="V19" s="20" t="s">
        <v>152</v>
      </c>
      <c r="W19" s="20" t="s">
        <v>153</v>
      </c>
      <c r="X19" s="20" t="s">
        <v>154</v>
      </c>
      <c r="Y19" s="20" t="s">
        <v>75</v>
      </c>
    </row>
    <row r="20" customFormat="false" ht="54" hidden="false" customHeight="true" outlineLevel="0" collapsed="false">
      <c r="A20" s="18" t="n">
        <v>16</v>
      </c>
      <c r="B20" s="19" t="s">
        <v>76</v>
      </c>
      <c r="C20" s="20" t="s">
        <v>140</v>
      </c>
      <c r="D20" s="20" t="s">
        <v>141</v>
      </c>
      <c r="E20" s="20" t="s">
        <v>142</v>
      </c>
      <c r="F20" s="18" t="s">
        <v>97</v>
      </c>
      <c r="G20" s="20" t="s">
        <v>155</v>
      </c>
      <c r="H20" s="21" t="n">
        <v>172</v>
      </c>
      <c r="I20" s="22" t="n">
        <v>0.14</v>
      </c>
      <c r="J20" s="18" t="n">
        <v>1</v>
      </c>
      <c r="K20" s="18" t="s">
        <v>121</v>
      </c>
      <c r="L20" s="20" t="s">
        <v>65</v>
      </c>
      <c r="M20" s="23" t="s">
        <v>144</v>
      </c>
      <c r="N20" s="24" t="s">
        <v>67</v>
      </c>
      <c r="O20" s="25" t="n">
        <v>2.8</v>
      </c>
      <c r="P20" s="18" t="n">
        <v>0</v>
      </c>
      <c r="Q20" s="18" t="n">
        <f aca="false">P20+COUNTIF($M$5:$M$40,M20)</f>
        <v>4</v>
      </c>
      <c r="R20" s="20" t="s">
        <v>68</v>
      </c>
      <c r="S20" s="19" t="s">
        <v>69</v>
      </c>
      <c r="T20" s="20" t="s">
        <v>70</v>
      </c>
      <c r="U20" s="18" t="s">
        <v>71</v>
      </c>
      <c r="V20" s="20" t="s">
        <v>145</v>
      </c>
      <c r="W20" s="20" t="s">
        <v>156</v>
      </c>
      <c r="X20" s="20" t="s">
        <v>157</v>
      </c>
      <c r="Y20" s="20" t="s">
        <v>75</v>
      </c>
    </row>
    <row r="21" customFormat="false" ht="54" hidden="false" customHeight="true" outlineLevel="0" collapsed="false">
      <c r="A21" s="18" t="n">
        <v>17</v>
      </c>
      <c r="B21" s="19" t="s">
        <v>76</v>
      </c>
      <c r="C21" s="20" t="s">
        <v>140</v>
      </c>
      <c r="D21" s="20" t="s">
        <v>141</v>
      </c>
      <c r="E21" s="20" t="s">
        <v>142</v>
      </c>
      <c r="F21" s="18" t="s">
        <v>103</v>
      </c>
      <c r="G21" s="20" t="s">
        <v>158</v>
      </c>
      <c r="H21" s="21" t="n">
        <v>148</v>
      </c>
      <c r="I21" s="22" t="n">
        <v>0.14</v>
      </c>
      <c r="J21" s="18" t="n">
        <v>1</v>
      </c>
      <c r="K21" s="18" t="s">
        <v>121</v>
      </c>
      <c r="L21" s="20" t="s">
        <v>65</v>
      </c>
      <c r="M21" s="23" t="s">
        <v>114</v>
      </c>
      <c r="N21" s="24" t="s">
        <v>67</v>
      </c>
      <c r="O21" s="25" t="n">
        <v>5.5</v>
      </c>
      <c r="P21" s="18" t="n">
        <v>0</v>
      </c>
      <c r="Q21" s="18" t="n">
        <f aca="false">P21+COUNTIF($M$5:$M$40,M21)</f>
        <v>4</v>
      </c>
      <c r="R21" s="20" t="s">
        <v>68</v>
      </c>
      <c r="S21" s="19" t="s">
        <v>69</v>
      </c>
      <c r="T21" s="19" t="s">
        <v>115</v>
      </c>
      <c r="U21" s="18" t="s">
        <v>71</v>
      </c>
      <c r="V21" s="20" t="s">
        <v>159</v>
      </c>
      <c r="W21" s="20" t="s">
        <v>160</v>
      </c>
      <c r="X21" s="20" t="s">
        <v>161</v>
      </c>
      <c r="Y21" s="20" t="s">
        <v>118</v>
      </c>
    </row>
    <row r="22" customFormat="false" ht="54" hidden="false" customHeight="true" outlineLevel="0" collapsed="false">
      <c r="A22" s="18" t="n">
        <v>18</v>
      </c>
      <c r="B22" s="19" t="s">
        <v>76</v>
      </c>
      <c r="C22" s="20" t="s">
        <v>140</v>
      </c>
      <c r="D22" s="20" t="s">
        <v>141</v>
      </c>
      <c r="E22" s="20" t="s">
        <v>142</v>
      </c>
      <c r="F22" s="18" t="s">
        <v>111</v>
      </c>
      <c r="G22" s="20" t="s">
        <v>162</v>
      </c>
      <c r="H22" s="21" t="n">
        <v>127</v>
      </c>
      <c r="I22" s="22" t="n">
        <v>0.14</v>
      </c>
      <c r="J22" s="18" t="n">
        <v>1</v>
      </c>
      <c r="K22" s="18" t="s">
        <v>121</v>
      </c>
      <c r="L22" s="20" t="s">
        <v>65</v>
      </c>
      <c r="M22" s="23" t="s">
        <v>99</v>
      </c>
      <c r="N22" s="24" t="s">
        <v>67</v>
      </c>
      <c r="O22" s="25" t="n">
        <v>6.2</v>
      </c>
      <c r="P22" s="18" t="n">
        <v>0</v>
      </c>
      <c r="Q22" s="18" t="n">
        <f aca="false">P22+COUNTIF($M$5:$M$40,M22)</f>
        <v>4</v>
      </c>
      <c r="R22" s="20" t="s">
        <v>68</v>
      </c>
      <c r="S22" s="19" t="s">
        <v>69</v>
      </c>
      <c r="T22" s="20" t="s">
        <v>70</v>
      </c>
      <c r="U22" s="18" t="s">
        <v>71</v>
      </c>
      <c r="V22" s="20" t="s">
        <v>163</v>
      </c>
      <c r="W22" s="20" t="s">
        <v>164</v>
      </c>
      <c r="X22" s="20" t="s">
        <v>165</v>
      </c>
      <c r="Y22" s="20" t="s">
        <v>75</v>
      </c>
    </row>
    <row r="23" customFormat="false" ht="54" hidden="false" customHeight="true" outlineLevel="0" collapsed="false">
      <c r="A23" s="18" t="n">
        <v>19</v>
      </c>
      <c r="B23" s="19" t="s">
        <v>76</v>
      </c>
      <c r="C23" s="20" t="s">
        <v>140</v>
      </c>
      <c r="D23" s="20" t="s">
        <v>141</v>
      </c>
      <c r="E23" s="20" t="s">
        <v>142</v>
      </c>
      <c r="F23" s="18" t="s">
        <v>166</v>
      </c>
      <c r="G23" s="20" t="s">
        <v>167</v>
      </c>
      <c r="H23" s="21" t="n">
        <v>91</v>
      </c>
      <c r="I23" s="22" t="n">
        <v>0.14</v>
      </c>
      <c r="J23" s="18" t="n">
        <v>1</v>
      </c>
      <c r="K23" s="18" t="s">
        <v>121</v>
      </c>
      <c r="L23" s="19" t="s">
        <v>168</v>
      </c>
      <c r="M23" s="23" t="s">
        <v>82</v>
      </c>
      <c r="N23" s="24" t="s">
        <v>67</v>
      </c>
      <c r="O23" s="25" t="n">
        <v>7.2</v>
      </c>
      <c r="P23" s="18" t="n">
        <v>0</v>
      </c>
      <c r="Q23" s="18" t="n">
        <f aca="false">P23+COUNTIF($M$5:$M$40,M23)</f>
        <v>4</v>
      </c>
      <c r="R23" s="20" t="s">
        <v>68</v>
      </c>
      <c r="S23" s="19" t="s">
        <v>69</v>
      </c>
      <c r="T23" s="19" t="s">
        <v>83</v>
      </c>
      <c r="U23" s="18" t="s">
        <v>71</v>
      </c>
      <c r="V23" s="20" t="s">
        <v>169</v>
      </c>
      <c r="W23" s="20" t="s">
        <v>164</v>
      </c>
      <c r="X23" s="20" t="s">
        <v>170</v>
      </c>
      <c r="Y23" s="20" t="s">
        <v>171</v>
      </c>
    </row>
    <row r="24" customFormat="false" ht="54" hidden="false" customHeight="true" outlineLevel="0" collapsed="false">
      <c r="A24" s="18" t="n">
        <v>20</v>
      </c>
      <c r="B24" s="19" t="s">
        <v>76</v>
      </c>
      <c r="C24" s="20" t="s">
        <v>140</v>
      </c>
      <c r="D24" s="20" t="s">
        <v>141</v>
      </c>
      <c r="E24" s="20" t="s">
        <v>172</v>
      </c>
      <c r="F24" s="18" t="s">
        <v>79</v>
      </c>
      <c r="G24" s="20" t="s">
        <v>173</v>
      </c>
      <c r="H24" s="21" t="n">
        <v>167</v>
      </c>
      <c r="I24" s="22" t="n">
        <v>0.25</v>
      </c>
      <c r="J24" s="18" t="n">
        <v>1</v>
      </c>
      <c r="K24" s="18" t="s">
        <v>81</v>
      </c>
      <c r="L24" s="20" t="s">
        <v>65</v>
      </c>
      <c r="M24" s="23" t="s">
        <v>174</v>
      </c>
      <c r="N24" s="26" t="s">
        <v>175</v>
      </c>
      <c r="O24" s="25" t="n">
        <v>0.8</v>
      </c>
      <c r="P24" s="18" t="n">
        <v>0</v>
      </c>
      <c r="Q24" s="18" t="n">
        <f aca="false">P24+COUNTIF($M$5:$M$40,M24)</f>
        <v>4</v>
      </c>
      <c r="R24" s="20" t="s">
        <v>68</v>
      </c>
      <c r="S24" s="20" t="s">
        <v>176</v>
      </c>
      <c r="T24" s="20" t="s">
        <v>70</v>
      </c>
      <c r="U24" s="18" t="s">
        <v>71</v>
      </c>
      <c r="V24" s="20" t="s">
        <v>177</v>
      </c>
      <c r="W24" s="20" t="s">
        <v>178</v>
      </c>
      <c r="X24" s="20" t="s">
        <v>179</v>
      </c>
      <c r="Y24" s="20" t="s">
        <v>180</v>
      </c>
    </row>
    <row r="25" customFormat="false" ht="54" hidden="false" customHeight="true" outlineLevel="0" collapsed="false">
      <c r="A25" s="18" t="n">
        <v>21</v>
      </c>
      <c r="B25" s="19" t="s">
        <v>76</v>
      </c>
      <c r="C25" s="20" t="s">
        <v>140</v>
      </c>
      <c r="D25" s="20" t="s">
        <v>141</v>
      </c>
      <c r="E25" s="20" t="s">
        <v>172</v>
      </c>
      <c r="F25" s="18" t="s">
        <v>88</v>
      </c>
      <c r="G25" s="20" t="s">
        <v>181</v>
      </c>
      <c r="H25" s="21" t="n">
        <v>153</v>
      </c>
      <c r="I25" s="22" t="n">
        <v>0.25</v>
      </c>
      <c r="J25" s="18" t="n">
        <v>1</v>
      </c>
      <c r="K25" s="18" t="s">
        <v>81</v>
      </c>
      <c r="L25" s="20" t="s">
        <v>65</v>
      </c>
      <c r="M25" s="23" t="s">
        <v>174</v>
      </c>
      <c r="N25" s="26" t="s">
        <v>175</v>
      </c>
      <c r="O25" s="25" t="n">
        <v>1.7</v>
      </c>
      <c r="P25" s="18" t="n">
        <v>0</v>
      </c>
      <c r="Q25" s="18" t="n">
        <f aca="false">P25+COUNTIF($M$5:$M$40,M25)</f>
        <v>4</v>
      </c>
      <c r="R25" s="20" t="s">
        <v>68</v>
      </c>
      <c r="S25" s="20" t="s">
        <v>176</v>
      </c>
      <c r="T25" s="20" t="s">
        <v>70</v>
      </c>
      <c r="U25" s="18" t="s">
        <v>71</v>
      </c>
      <c r="V25" s="20" t="s">
        <v>182</v>
      </c>
      <c r="W25" s="20" t="s">
        <v>183</v>
      </c>
      <c r="X25" s="20" t="s">
        <v>184</v>
      </c>
      <c r="Y25" s="20" t="s">
        <v>180</v>
      </c>
    </row>
    <row r="26" customFormat="false" ht="54" hidden="false" customHeight="true" outlineLevel="0" collapsed="false">
      <c r="A26" s="18" t="n">
        <v>22</v>
      </c>
      <c r="B26" s="19" t="s">
        <v>76</v>
      </c>
      <c r="C26" s="20" t="s">
        <v>140</v>
      </c>
      <c r="D26" s="20" t="s">
        <v>141</v>
      </c>
      <c r="E26" s="20" t="s">
        <v>172</v>
      </c>
      <c r="F26" s="18" t="s">
        <v>92</v>
      </c>
      <c r="G26" s="20" t="s">
        <v>185</v>
      </c>
      <c r="H26" s="21" t="n">
        <v>118</v>
      </c>
      <c r="I26" s="22" t="n">
        <v>0.25</v>
      </c>
      <c r="J26" s="18" t="n">
        <v>1</v>
      </c>
      <c r="K26" s="18" t="s">
        <v>81</v>
      </c>
      <c r="L26" s="20" t="s">
        <v>65</v>
      </c>
      <c r="M26" s="23" t="s">
        <v>174</v>
      </c>
      <c r="N26" s="26" t="s">
        <v>175</v>
      </c>
      <c r="O26" s="25" t="n">
        <v>1.4</v>
      </c>
      <c r="P26" s="18" t="n">
        <v>0</v>
      </c>
      <c r="Q26" s="18" t="n">
        <f aca="false">P26+COUNTIF($M$5:$M$40,M26)</f>
        <v>4</v>
      </c>
      <c r="R26" s="20" t="s">
        <v>68</v>
      </c>
      <c r="S26" s="20" t="s">
        <v>176</v>
      </c>
      <c r="T26" s="20" t="s">
        <v>70</v>
      </c>
      <c r="U26" s="18" t="s">
        <v>71</v>
      </c>
      <c r="V26" s="20" t="s">
        <v>123</v>
      </c>
      <c r="W26" s="20" t="s">
        <v>186</v>
      </c>
      <c r="X26" s="20" t="s">
        <v>187</v>
      </c>
      <c r="Y26" s="20" t="s">
        <v>180</v>
      </c>
    </row>
    <row r="27" customFormat="false" ht="54" hidden="false" customHeight="true" outlineLevel="0" collapsed="false">
      <c r="A27" s="18" t="n">
        <v>23</v>
      </c>
      <c r="B27" s="19" t="s">
        <v>76</v>
      </c>
      <c r="C27" s="20" t="s">
        <v>140</v>
      </c>
      <c r="D27" s="20" t="s">
        <v>141</v>
      </c>
      <c r="E27" s="20" t="s">
        <v>172</v>
      </c>
      <c r="F27" s="18" t="s">
        <v>97</v>
      </c>
      <c r="G27" s="20" t="s">
        <v>188</v>
      </c>
      <c r="H27" s="21" t="n">
        <v>129</v>
      </c>
      <c r="I27" s="22" t="n">
        <v>0.25</v>
      </c>
      <c r="J27" s="18" t="n">
        <v>1</v>
      </c>
      <c r="K27" s="18" t="s">
        <v>81</v>
      </c>
      <c r="L27" s="20" t="s">
        <v>65</v>
      </c>
      <c r="M27" s="23" t="s">
        <v>174</v>
      </c>
      <c r="N27" s="26" t="s">
        <v>175</v>
      </c>
      <c r="O27" s="25" t="n">
        <v>0.8</v>
      </c>
      <c r="P27" s="18" t="n">
        <v>0</v>
      </c>
      <c r="Q27" s="18" t="n">
        <f aca="false">P27+COUNTIF($M$5:$M$40,M27)</f>
        <v>4</v>
      </c>
      <c r="R27" s="20" t="s">
        <v>68</v>
      </c>
      <c r="S27" s="20" t="s">
        <v>176</v>
      </c>
      <c r="T27" s="20" t="s">
        <v>70</v>
      </c>
      <c r="U27" s="18" t="s">
        <v>71</v>
      </c>
      <c r="V27" s="20" t="s">
        <v>189</v>
      </c>
      <c r="W27" s="20" t="s">
        <v>190</v>
      </c>
      <c r="X27" s="20" t="s">
        <v>191</v>
      </c>
      <c r="Y27" s="20" t="s">
        <v>180</v>
      </c>
    </row>
    <row r="28" customFormat="false" ht="54" hidden="false" customHeight="true" outlineLevel="0" collapsed="false">
      <c r="A28" s="18" t="n">
        <v>24</v>
      </c>
      <c r="B28" s="19" t="s">
        <v>192</v>
      </c>
      <c r="C28" s="20" t="s">
        <v>193</v>
      </c>
      <c r="D28" s="20" t="s">
        <v>194</v>
      </c>
      <c r="E28" s="20" t="s">
        <v>195</v>
      </c>
      <c r="F28" s="18" t="s">
        <v>79</v>
      </c>
      <c r="G28" s="20" t="s">
        <v>196</v>
      </c>
      <c r="H28" s="21" t="n">
        <v>126</v>
      </c>
      <c r="I28" s="22" t="n">
        <v>0.33</v>
      </c>
      <c r="J28" s="18" t="n">
        <v>1</v>
      </c>
      <c r="K28" s="18" t="s">
        <v>121</v>
      </c>
      <c r="L28" s="20" t="s">
        <v>65</v>
      </c>
      <c r="M28" s="23" t="s">
        <v>197</v>
      </c>
      <c r="N28" s="26" t="s">
        <v>175</v>
      </c>
      <c r="O28" s="25" t="n">
        <v>2.7</v>
      </c>
      <c r="P28" s="18" t="n">
        <v>2</v>
      </c>
      <c r="Q28" s="18" t="n">
        <f aca="false">P28+COUNTIF($M$5:$M$40,M28)</f>
        <v>3</v>
      </c>
      <c r="R28" s="20" t="s">
        <v>68</v>
      </c>
      <c r="S28" s="20" t="s">
        <v>176</v>
      </c>
      <c r="T28" s="20" t="s">
        <v>70</v>
      </c>
      <c r="U28" s="18" t="s">
        <v>71</v>
      </c>
      <c r="V28" s="20" t="s">
        <v>198</v>
      </c>
      <c r="W28" s="20" t="s">
        <v>199</v>
      </c>
      <c r="X28" s="20" t="s">
        <v>200</v>
      </c>
      <c r="Y28" s="20"/>
    </row>
    <row r="29" customFormat="false" ht="54" hidden="false" customHeight="true" outlineLevel="0" collapsed="false">
      <c r="A29" s="18" t="n">
        <v>25</v>
      </c>
      <c r="B29" s="19" t="s">
        <v>192</v>
      </c>
      <c r="C29" s="20" t="s">
        <v>193</v>
      </c>
      <c r="D29" s="20" t="s">
        <v>194</v>
      </c>
      <c r="E29" s="20" t="s">
        <v>195</v>
      </c>
      <c r="F29" s="18" t="s">
        <v>88</v>
      </c>
      <c r="G29" s="20" t="s">
        <v>201</v>
      </c>
      <c r="H29" s="21" t="n">
        <v>171</v>
      </c>
      <c r="I29" s="22" t="n">
        <v>0.33</v>
      </c>
      <c r="J29" s="18" t="n">
        <v>1</v>
      </c>
      <c r="K29" s="18" t="s">
        <v>121</v>
      </c>
      <c r="L29" s="20" t="s">
        <v>65</v>
      </c>
      <c r="M29" s="23" t="s">
        <v>202</v>
      </c>
      <c r="N29" s="26" t="s">
        <v>175</v>
      </c>
      <c r="O29" s="25" t="n">
        <v>2.4</v>
      </c>
      <c r="P29" s="18" t="n">
        <v>1</v>
      </c>
      <c r="Q29" s="18" t="n">
        <f aca="false">P29+COUNTIF($M$5:$M$40,M29)</f>
        <v>2</v>
      </c>
      <c r="R29" s="20" t="s">
        <v>68</v>
      </c>
      <c r="S29" s="20" t="s">
        <v>176</v>
      </c>
      <c r="T29" s="20" t="s">
        <v>70</v>
      </c>
      <c r="U29" s="18" t="s">
        <v>71</v>
      </c>
      <c r="V29" s="20" t="s">
        <v>203</v>
      </c>
      <c r="W29" s="20" t="s">
        <v>204</v>
      </c>
      <c r="X29" s="20" t="s">
        <v>205</v>
      </c>
      <c r="Y29" s="20"/>
    </row>
    <row r="30" customFormat="false" ht="54" hidden="false" customHeight="true" outlineLevel="0" collapsed="false">
      <c r="A30" s="18" t="n">
        <v>26</v>
      </c>
      <c r="B30" s="19" t="s">
        <v>206</v>
      </c>
      <c r="C30" s="20" t="s">
        <v>193</v>
      </c>
      <c r="D30" s="20" t="s">
        <v>194</v>
      </c>
      <c r="E30" s="20" t="s">
        <v>195</v>
      </c>
      <c r="F30" s="18" t="s">
        <v>92</v>
      </c>
      <c r="G30" s="20" t="s">
        <v>207</v>
      </c>
      <c r="H30" s="21" t="n">
        <v>119</v>
      </c>
      <c r="I30" s="22" t="n">
        <v>0.33</v>
      </c>
      <c r="J30" s="18" t="n">
        <v>1</v>
      </c>
      <c r="K30" s="18" t="s">
        <v>121</v>
      </c>
      <c r="L30" s="20" t="s">
        <v>65</v>
      </c>
      <c r="M30" s="23" t="s">
        <v>208</v>
      </c>
      <c r="N30" s="26" t="s">
        <v>175</v>
      </c>
      <c r="O30" s="25" t="n">
        <v>4.1</v>
      </c>
      <c r="P30" s="18" t="n">
        <v>1</v>
      </c>
      <c r="Q30" s="18" t="n">
        <f aca="false">P30+COUNTIF($M$5:$M$40,M30)</f>
        <v>2</v>
      </c>
      <c r="R30" s="20" t="s">
        <v>68</v>
      </c>
      <c r="S30" s="19" t="s">
        <v>69</v>
      </c>
      <c r="T30" s="20" t="s">
        <v>70</v>
      </c>
      <c r="U30" s="18" t="s">
        <v>71</v>
      </c>
      <c r="V30" s="20" t="s">
        <v>203</v>
      </c>
      <c r="W30" s="20" t="s">
        <v>209</v>
      </c>
      <c r="X30" s="20" t="s">
        <v>210</v>
      </c>
      <c r="Y30" s="20" t="s">
        <v>211</v>
      </c>
    </row>
    <row r="31" customFormat="false" ht="54" hidden="false" customHeight="true" outlineLevel="0" collapsed="false">
      <c r="A31" s="18" t="n">
        <v>27</v>
      </c>
      <c r="B31" s="19" t="s">
        <v>212</v>
      </c>
      <c r="C31" s="20" t="s">
        <v>213</v>
      </c>
      <c r="D31" s="20" t="s">
        <v>214</v>
      </c>
      <c r="E31" s="20" t="s">
        <v>215</v>
      </c>
      <c r="F31" s="18" t="s">
        <v>62</v>
      </c>
      <c r="G31" s="20" t="s">
        <v>216</v>
      </c>
      <c r="H31" s="21" t="n">
        <v>152</v>
      </c>
      <c r="I31" s="22" t="n">
        <v>1</v>
      </c>
      <c r="J31" s="18" t="n">
        <v>1</v>
      </c>
      <c r="K31" s="18" t="s">
        <v>121</v>
      </c>
      <c r="L31" s="20" t="s">
        <v>65</v>
      </c>
      <c r="M31" s="23" t="s">
        <v>217</v>
      </c>
      <c r="N31" s="26" t="s">
        <v>175</v>
      </c>
      <c r="O31" s="25" t="n">
        <v>1.4</v>
      </c>
      <c r="P31" s="18" t="n">
        <v>2</v>
      </c>
      <c r="Q31" s="18" t="n">
        <f aca="false">P31+COUNTIF($M$5:$M$40,M31)</f>
        <v>3</v>
      </c>
      <c r="R31" s="20" t="s">
        <v>68</v>
      </c>
      <c r="S31" s="20" t="s">
        <v>176</v>
      </c>
      <c r="T31" s="20" t="s">
        <v>70</v>
      </c>
      <c r="U31" s="18" t="s">
        <v>71</v>
      </c>
      <c r="V31" s="20" t="s">
        <v>218</v>
      </c>
      <c r="W31" s="20" t="s">
        <v>219</v>
      </c>
      <c r="X31" s="20" t="s">
        <v>220</v>
      </c>
      <c r="Y31" s="20"/>
    </row>
    <row r="32" customFormat="false" ht="54" hidden="false" customHeight="true" outlineLevel="0" collapsed="false">
      <c r="A32" s="18" t="n">
        <v>28</v>
      </c>
      <c r="B32" s="19" t="s">
        <v>76</v>
      </c>
      <c r="C32" s="20" t="s">
        <v>221</v>
      </c>
      <c r="D32" s="20" t="s">
        <v>222</v>
      </c>
      <c r="E32" s="20" t="s">
        <v>223</v>
      </c>
      <c r="F32" s="18" t="s">
        <v>62</v>
      </c>
      <c r="G32" s="20" t="s">
        <v>224</v>
      </c>
      <c r="H32" s="21" t="n">
        <v>155</v>
      </c>
      <c r="I32" s="22" t="n">
        <v>1</v>
      </c>
      <c r="J32" s="18" t="n">
        <v>1</v>
      </c>
      <c r="K32" s="18" t="s">
        <v>121</v>
      </c>
      <c r="L32" s="20" t="s">
        <v>65</v>
      </c>
      <c r="M32" s="23" t="s">
        <v>225</v>
      </c>
      <c r="N32" s="26" t="s">
        <v>175</v>
      </c>
      <c r="O32" s="25" t="n">
        <v>3.3</v>
      </c>
      <c r="P32" s="18" t="n">
        <v>2</v>
      </c>
      <c r="Q32" s="18" t="n">
        <f aca="false">P32+COUNTIF($M$5:$M$40,M32)</f>
        <v>3</v>
      </c>
      <c r="R32" s="20" t="s">
        <v>68</v>
      </c>
      <c r="S32" s="20" t="s">
        <v>176</v>
      </c>
      <c r="T32" s="20" t="s">
        <v>70</v>
      </c>
      <c r="U32" s="18" t="s">
        <v>71</v>
      </c>
      <c r="V32" s="20" t="s">
        <v>226</v>
      </c>
      <c r="W32" s="20" t="s">
        <v>227</v>
      </c>
      <c r="X32" s="20" t="s">
        <v>228</v>
      </c>
      <c r="Y32" s="20"/>
    </row>
    <row r="33" customFormat="false" ht="54" hidden="false" customHeight="true" outlineLevel="0" collapsed="false">
      <c r="A33" s="18" t="n">
        <v>29</v>
      </c>
      <c r="B33" s="19" t="s">
        <v>229</v>
      </c>
      <c r="C33" s="20" t="s">
        <v>230</v>
      </c>
      <c r="D33" s="20" t="s">
        <v>231</v>
      </c>
      <c r="E33" s="20" t="s">
        <v>232</v>
      </c>
      <c r="F33" s="18" t="s">
        <v>79</v>
      </c>
      <c r="G33" s="20" t="s">
        <v>233</v>
      </c>
      <c r="H33" s="21" t="n">
        <v>140</v>
      </c>
      <c r="I33" s="22" t="n">
        <v>0.5</v>
      </c>
      <c r="J33" s="18" t="n">
        <v>1</v>
      </c>
      <c r="K33" s="18" t="s">
        <v>121</v>
      </c>
      <c r="L33" s="19" t="s">
        <v>105</v>
      </c>
      <c r="M33" s="23" t="s">
        <v>234</v>
      </c>
      <c r="N33" s="26" t="s">
        <v>175</v>
      </c>
      <c r="O33" s="25" t="n">
        <v>5.2</v>
      </c>
      <c r="P33" s="18" t="n">
        <v>2</v>
      </c>
      <c r="Q33" s="18" t="n">
        <f aca="false">P33+COUNTIF($M$5:$M$40,M33)</f>
        <v>3</v>
      </c>
      <c r="R33" s="20" t="s">
        <v>68</v>
      </c>
      <c r="S33" s="19" t="s">
        <v>69</v>
      </c>
      <c r="T33" s="20" t="s">
        <v>70</v>
      </c>
      <c r="U33" s="18" t="s">
        <v>71</v>
      </c>
      <c r="V33" s="20" t="s">
        <v>235</v>
      </c>
      <c r="W33" s="20" t="s">
        <v>236</v>
      </c>
      <c r="X33" s="20" t="s">
        <v>237</v>
      </c>
      <c r="Y33" s="20" t="s">
        <v>238</v>
      </c>
    </row>
    <row r="34" customFormat="false" ht="54" hidden="false" customHeight="true" outlineLevel="0" collapsed="false">
      <c r="A34" s="18" t="n">
        <v>30</v>
      </c>
      <c r="B34" s="19" t="s">
        <v>206</v>
      </c>
      <c r="C34" s="20" t="s">
        <v>230</v>
      </c>
      <c r="D34" s="20" t="s">
        <v>231</v>
      </c>
      <c r="E34" s="20" t="s">
        <v>232</v>
      </c>
      <c r="F34" s="18" t="s">
        <v>88</v>
      </c>
      <c r="G34" s="20" t="s">
        <v>239</v>
      </c>
      <c r="H34" s="21" t="n">
        <v>125</v>
      </c>
      <c r="I34" s="22" t="n">
        <v>0.5</v>
      </c>
      <c r="J34" s="18" t="n">
        <v>1</v>
      </c>
      <c r="K34" s="18" t="s">
        <v>121</v>
      </c>
      <c r="L34" s="20" t="s">
        <v>65</v>
      </c>
      <c r="M34" s="23" t="s">
        <v>240</v>
      </c>
      <c r="N34" s="26" t="s">
        <v>175</v>
      </c>
      <c r="O34" s="25" t="n">
        <v>4.5</v>
      </c>
      <c r="P34" s="18" t="n">
        <v>2</v>
      </c>
      <c r="Q34" s="18" t="n">
        <f aca="false">P34+COUNTIF($M$5:$M$40,M34)</f>
        <v>3</v>
      </c>
      <c r="R34" s="20" t="s">
        <v>68</v>
      </c>
      <c r="S34" s="20" t="s">
        <v>176</v>
      </c>
      <c r="T34" s="20" t="s">
        <v>70</v>
      </c>
      <c r="U34" s="18" t="s">
        <v>71</v>
      </c>
      <c r="V34" s="20" t="s">
        <v>241</v>
      </c>
      <c r="W34" s="20" t="s">
        <v>242</v>
      </c>
      <c r="X34" s="20" t="s">
        <v>243</v>
      </c>
      <c r="Y34" s="20"/>
    </row>
    <row r="35" customFormat="false" ht="54" hidden="false" customHeight="true" outlineLevel="0" collapsed="false">
      <c r="A35" s="18" t="n">
        <v>31</v>
      </c>
      <c r="B35" s="19" t="s">
        <v>206</v>
      </c>
      <c r="C35" s="20" t="s">
        <v>230</v>
      </c>
      <c r="D35" s="20" t="s">
        <v>244</v>
      </c>
      <c r="E35" s="20" t="s">
        <v>245</v>
      </c>
      <c r="F35" s="18" t="s">
        <v>79</v>
      </c>
      <c r="G35" s="20" t="s">
        <v>246</v>
      </c>
      <c r="H35" s="21" t="n">
        <v>115</v>
      </c>
      <c r="I35" s="22" t="n">
        <v>0.33</v>
      </c>
      <c r="J35" s="18" t="n">
        <v>1</v>
      </c>
      <c r="K35" s="18" t="s">
        <v>121</v>
      </c>
      <c r="L35" s="20" t="s">
        <v>65</v>
      </c>
      <c r="M35" s="23" t="s">
        <v>247</v>
      </c>
      <c r="N35" s="26" t="s">
        <v>175</v>
      </c>
      <c r="O35" s="25" t="n">
        <v>4.7</v>
      </c>
      <c r="P35" s="18" t="n">
        <v>1</v>
      </c>
      <c r="Q35" s="18" t="n">
        <f aca="false">P35+COUNTIF($M$5:$M$40,M35)</f>
        <v>3</v>
      </c>
      <c r="R35" s="20" t="s">
        <v>68</v>
      </c>
      <c r="S35" s="19" t="s">
        <v>69</v>
      </c>
      <c r="T35" s="20" t="s">
        <v>70</v>
      </c>
      <c r="U35" s="18" t="s">
        <v>71</v>
      </c>
      <c r="V35" s="20" t="s">
        <v>248</v>
      </c>
      <c r="W35" s="20" t="s">
        <v>249</v>
      </c>
      <c r="X35" s="20" t="s">
        <v>250</v>
      </c>
      <c r="Y35" s="20" t="s">
        <v>211</v>
      </c>
    </row>
    <row r="36" customFormat="false" ht="54" hidden="false" customHeight="true" outlineLevel="0" collapsed="false">
      <c r="A36" s="18" t="n">
        <v>32</v>
      </c>
      <c r="B36" s="19" t="s">
        <v>206</v>
      </c>
      <c r="C36" s="20" t="s">
        <v>230</v>
      </c>
      <c r="D36" s="20" t="s">
        <v>244</v>
      </c>
      <c r="E36" s="20" t="s">
        <v>245</v>
      </c>
      <c r="F36" s="18" t="s">
        <v>88</v>
      </c>
      <c r="G36" s="20" t="s">
        <v>251</v>
      </c>
      <c r="H36" s="21" t="n">
        <v>136</v>
      </c>
      <c r="I36" s="22" t="n">
        <v>0.33</v>
      </c>
      <c r="J36" s="18" t="n">
        <v>1</v>
      </c>
      <c r="K36" s="18" t="s">
        <v>121</v>
      </c>
      <c r="L36" s="19" t="s">
        <v>105</v>
      </c>
      <c r="M36" s="23" t="s">
        <v>247</v>
      </c>
      <c r="N36" s="26" t="s">
        <v>175</v>
      </c>
      <c r="O36" s="25" t="n">
        <v>5.3</v>
      </c>
      <c r="P36" s="18" t="n">
        <v>1</v>
      </c>
      <c r="Q36" s="18" t="n">
        <f aca="false">P36+COUNTIF($M$5:$M$40,M36)</f>
        <v>3</v>
      </c>
      <c r="R36" s="20" t="s">
        <v>68</v>
      </c>
      <c r="S36" s="19" t="s">
        <v>69</v>
      </c>
      <c r="T36" s="20" t="s">
        <v>70</v>
      </c>
      <c r="U36" s="18" t="s">
        <v>71</v>
      </c>
      <c r="V36" s="20" t="s">
        <v>252</v>
      </c>
      <c r="W36" s="20" t="s">
        <v>253</v>
      </c>
      <c r="X36" s="20" t="s">
        <v>254</v>
      </c>
      <c r="Y36" s="20" t="s">
        <v>238</v>
      </c>
    </row>
    <row r="37" customFormat="false" ht="54" hidden="false" customHeight="true" outlineLevel="0" collapsed="false">
      <c r="A37" s="18" t="n">
        <v>33</v>
      </c>
      <c r="B37" s="19" t="s">
        <v>255</v>
      </c>
      <c r="C37" s="20" t="s">
        <v>230</v>
      </c>
      <c r="D37" s="20" t="s">
        <v>244</v>
      </c>
      <c r="E37" s="20" t="s">
        <v>245</v>
      </c>
      <c r="F37" s="18" t="s">
        <v>92</v>
      </c>
      <c r="G37" s="20" t="s">
        <v>256</v>
      </c>
      <c r="H37" s="21" t="n">
        <v>49</v>
      </c>
      <c r="I37" s="22" t="n">
        <v>0.33</v>
      </c>
      <c r="J37" s="18" t="n">
        <v>1</v>
      </c>
      <c r="K37" s="18" t="s">
        <v>121</v>
      </c>
      <c r="L37" s="20" t="s">
        <v>65</v>
      </c>
      <c r="M37" s="23" t="s">
        <v>257</v>
      </c>
      <c r="N37" s="26" t="s">
        <v>175</v>
      </c>
      <c r="O37" s="25" t="n">
        <v>4.7</v>
      </c>
      <c r="P37" s="18" t="n">
        <v>1</v>
      </c>
      <c r="Q37" s="18" t="n">
        <f aca="false">P37+COUNTIF($M$5:$M$40,M37)</f>
        <v>3</v>
      </c>
      <c r="R37" s="20" t="s">
        <v>68</v>
      </c>
      <c r="S37" s="19" t="s">
        <v>69</v>
      </c>
      <c r="T37" s="20" t="s">
        <v>70</v>
      </c>
      <c r="U37" s="18" t="s">
        <v>71</v>
      </c>
      <c r="V37" s="20" t="s">
        <v>258</v>
      </c>
      <c r="W37" s="20" t="s">
        <v>259</v>
      </c>
      <c r="X37" s="20" t="s">
        <v>260</v>
      </c>
      <c r="Y37" s="20" t="s">
        <v>211</v>
      </c>
    </row>
    <row r="38" customFormat="false" ht="54" hidden="false" customHeight="true" outlineLevel="0" collapsed="false">
      <c r="A38" s="18" t="n">
        <v>34</v>
      </c>
      <c r="B38" s="19" t="s">
        <v>255</v>
      </c>
      <c r="C38" s="20" t="s">
        <v>230</v>
      </c>
      <c r="D38" s="20" t="s">
        <v>244</v>
      </c>
      <c r="E38" s="20" t="s">
        <v>261</v>
      </c>
      <c r="F38" s="18" t="s">
        <v>62</v>
      </c>
      <c r="G38" s="20" t="s">
        <v>262</v>
      </c>
      <c r="H38" s="21" t="n">
        <v>109</v>
      </c>
      <c r="I38" s="22" t="n">
        <v>1</v>
      </c>
      <c r="J38" s="18" t="n">
        <v>1</v>
      </c>
      <c r="K38" s="18" t="s">
        <v>121</v>
      </c>
      <c r="L38" s="19" t="s">
        <v>105</v>
      </c>
      <c r="M38" s="23" t="s">
        <v>257</v>
      </c>
      <c r="N38" s="26" t="s">
        <v>175</v>
      </c>
      <c r="O38" s="25" t="n">
        <v>2</v>
      </c>
      <c r="P38" s="18" t="n">
        <v>1</v>
      </c>
      <c r="Q38" s="18" t="n">
        <f aca="false">P38+COUNTIF($M$5:$M$40,M38)</f>
        <v>3</v>
      </c>
      <c r="R38" s="20" t="s">
        <v>68</v>
      </c>
      <c r="S38" s="19" t="s">
        <v>69</v>
      </c>
      <c r="T38" s="20" t="s">
        <v>70</v>
      </c>
      <c r="U38" s="18" t="s">
        <v>71</v>
      </c>
      <c r="V38" s="20" t="s">
        <v>263</v>
      </c>
      <c r="W38" s="20" t="s">
        <v>264</v>
      </c>
      <c r="X38" s="20" t="s">
        <v>265</v>
      </c>
      <c r="Y38" s="20" t="s">
        <v>238</v>
      </c>
    </row>
    <row r="39" customFormat="false" ht="54" hidden="false" customHeight="true" outlineLevel="0" collapsed="false">
      <c r="A39" s="18" t="n">
        <v>35</v>
      </c>
      <c r="B39" s="19" t="s">
        <v>255</v>
      </c>
      <c r="C39" s="20" t="s">
        <v>266</v>
      </c>
      <c r="D39" s="20" t="s">
        <v>267</v>
      </c>
      <c r="E39" s="20" t="s">
        <v>268</v>
      </c>
      <c r="F39" s="18" t="s">
        <v>79</v>
      </c>
      <c r="G39" s="20" t="s">
        <v>269</v>
      </c>
      <c r="H39" s="21" t="n">
        <v>202</v>
      </c>
      <c r="I39" s="27" t="n">
        <v>135.5</v>
      </c>
      <c r="J39" s="18" t="n">
        <v>31</v>
      </c>
      <c r="K39" s="18" t="s">
        <v>270</v>
      </c>
      <c r="L39" s="20" t="s">
        <v>65</v>
      </c>
      <c r="M39" s="23" t="s">
        <v>271</v>
      </c>
      <c r="N39" s="26" t="s">
        <v>175</v>
      </c>
      <c r="O39" s="25" t="n">
        <v>3.3</v>
      </c>
      <c r="P39" s="18" t="n">
        <v>2</v>
      </c>
      <c r="Q39" s="18" t="n">
        <f aca="false">P39+COUNTIF($M$5:$M$40,M39)</f>
        <v>3</v>
      </c>
      <c r="R39" s="20" t="s">
        <v>68</v>
      </c>
      <c r="S39" s="20" t="s">
        <v>176</v>
      </c>
      <c r="T39" s="20" t="s">
        <v>70</v>
      </c>
      <c r="U39" s="18" t="s">
        <v>71</v>
      </c>
      <c r="V39" s="20" t="s">
        <v>272</v>
      </c>
      <c r="W39" s="20" t="s">
        <v>273</v>
      </c>
      <c r="X39" s="20" t="s">
        <v>274</v>
      </c>
      <c r="Y39" s="20" t="s">
        <v>275</v>
      </c>
    </row>
    <row r="40" customFormat="false" ht="54" hidden="false" customHeight="true" outlineLevel="0" collapsed="false">
      <c r="A40" s="18" t="n">
        <v>36</v>
      </c>
      <c r="B40" s="19" t="s">
        <v>255</v>
      </c>
      <c r="C40" s="20" t="s">
        <v>266</v>
      </c>
      <c r="D40" s="20" t="s">
        <v>267</v>
      </c>
      <c r="E40" s="20" t="s">
        <v>268</v>
      </c>
      <c r="F40" s="18" t="s">
        <v>88</v>
      </c>
      <c r="G40" s="20" t="s">
        <v>276</v>
      </c>
      <c r="H40" s="21" t="n">
        <v>177</v>
      </c>
      <c r="I40" s="27" t="n">
        <v>135.5</v>
      </c>
      <c r="J40" s="18" t="n">
        <v>31</v>
      </c>
      <c r="K40" s="18" t="s">
        <v>270</v>
      </c>
      <c r="L40" s="20" t="s">
        <v>65</v>
      </c>
      <c r="M40" s="23" t="s">
        <v>277</v>
      </c>
      <c r="N40" s="26" t="s">
        <v>175</v>
      </c>
      <c r="O40" s="25" t="n">
        <v>4</v>
      </c>
      <c r="P40" s="18" t="n">
        <v>2</v>
      </c>
      <c r="Q40" s="18" t="n">
        <f aca="false">P40+COUNTIF($M$5:$M$40,M40)</f>
        <v>3</v>
      </c>
      <c r="R40" s="20" t="s">
        <v>68</v>
      </c>
      <c r="S40" s="19" t="s">
        <v>69</v>
      </c>
      <c r="T40" s="20" t="s">
        <v>70</v>
      </c>
      <c r="U40" s="18" t="s">
        <v>71</v>
      </c>
      <c r="V40" s="20" t="s">
        <v>278</v>
      </c>
      <c r="W40" s="20" t="s">
        <v>279</v>
      </c>
      <c r="X40" s="20" t="s">
        <v>280</v>
      </c>
      <c r="Y40" s="20" t="s">
        <v>281</v>
      </c>
    </row>
    <row r="42" customFormat="false" ht="491.25" hidden="false" customHeight="true" outlineLevel="0" collapsed="false">
      <c r="A42" s="28" t="s">
        <v>282</v>
      </c>
    </row>
  </sheetData>
  <autoFilter ref="A4:Y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52"/>
    <col collapsed="false" customWidth="true" hidden="false" outlineLevel="0" max="9" min="9" style="0" width="16"/>
    <col collapsed="false" customWidth="true" hidden="false" outlineLevel="0" max="10" min="10" style="0" width="50"/>
  </cols>
  <sheetData>
    <row r="1" customFormat="false" ht="16.15" hidden="false" customHeight="false" outlineLevel="0" collapsed="false">
      <c r="A1" s="29" t="s">
        <v>283</v>
      </c>
    </row>
    <row r="2" customFormat="false" ht="15" hidden="false" customHeight="false" outlineLevel="0" collapsed="false">
      <c r="A2" s="30" t="s">
        <v>284</v>
      </c>
    </row>
    <row r="4" customFormat="false" ht="42" hidden="false" customHeight="true" outlineLevel="0" collapsed="false">
      <c r="A4" s="17" t="s">
        <v>285</v>
      </c>
      <c r="B4" s="17" t="s">
        <v>286</v>
      </c>
      <c r="C4" s="17" t="s">
        <v>287</v>
      </c>
      <c r="D4" s="17" t="s">
        <v>288</v>
      </c>
      <c r="E4" s="17" t="s">
        <v>289</v>
      </c>
      <c r="F4" s="17" t="s">
        <v>290</v>
      </c>
      <c r="G4" s="17" t="s">
        <v>291</v>
      </c>
      <c r="H4" s="17" t="s">
        <v>292</v>
      </c>
    </row>
    <row r="5" customFormat="false" ht="23.85" hidden="false" customHeight="false" outlineLevel="0" collapsed="false">
      <c r="A5" s="23" t="s">
        <v>76</v>
      </c>
      <c r="B5" s="20" t="s">
        <v>293</v>
      </c>
      <c r="C5" s="18" t="n">
        <f aca="false">COUNTIF($D$20:$D$40,A5)</f>
        <v>1</v>
      </c>
      <c r="D5" s="18" t="n">
        <v>3</v>
      </c>
      <c r="E5" s="18" t="n">
        <f aca="false">MAX(0,D5-C5)</f>
        <v>2</v>
      </c>
      <c r="F5" s="18" t="n">
        <f aca="false">COUNTIF('Detail Sub SLS'!$S:$S,A5)</f>
        <v>33</v>
      </c>
      <c r="G5" s="20" t="s">
        <v>294</v>
      </c>
      <c r="H5" s="20" t="s">
        <v>295</v>
      </c>
    </row>
    <row r="6" customFormat="false" ht="23.85" hidden="false" customHeight="false" outlineLevel="0" collapsed="false">
      <c r="A6" s="23" t="s">
        <v>58</v>
      </c>
      <c r="B6" s="20" t="s">
        <v>296</v>
      </c>
      <c r="C6" s="18" t="n">
        <f aca="false">COUNTIF($D$20:$D$40,A6)</f>
        <v>3</v>
      </c>
      <c r="D6" s="18" t="n">
        <v>3</v>
      </c>
      <c r="E6" s="18" t="n">
        <f aca="false">MAX(0,D6-C6)</f>
        <v>0</v>
      </c>
      <c r="F6" s="18" t="n">
        <f aca="false">COUNTIF('Detail Sub SLS'!$S:$S,A6)</f>
        <v>45</v>
      </c>
      <c r="G6" s="20" t="s">
        <v>297</v>
      </c>
      <c r="H6" s="20" t="s">
        <v>71</v>
      </c>
    </row>
    <row r="7" customFormat="false" ht="23.85" hidden="false" customHeight="false" outlineLevel="0" collapsed="false">
      <c r="A7" s="23" t="s">
        <v>298</v>
      </c>
      <c r="B7" s="20" t="s">
        <v>299</v>
      </c>
      <c r="C7" s="18" t="n">
        <f aca="false">COUNTIF($D$20:$D$40,A7)</f>
        <v>3</v>
      </c>
      <c r="D7" s="18" t="n">
        <v>3</v>
      </c>
      <c r="E7" s="18" t="n">
        <f aca="false">MAX(0,D7-C7)</f>
        <v>0</v>
      </c>
      <c r="F7" s="18" t="n">
        <f aca="false">COUNTIF('Detail Sub SLS'!$S:$S,A7)</f>
        <v>34</v>
      </c>
      <c r="G7" s="20" t="s">
        <v>300</v>
      </c>
      <c r="H7" s="20" t="s">
        <v>71</v>
      </c>
    </row>
    <row r="8" customFormat="false" ht="15" hidden="false" customHeight="false" outlineLevel="0" collapsed="false">
      <c r="A8" s="23" t="s">
        <v>229</v>
      </c>
      <c r="B8" s="20" t="s">
        <v>301</v>
      </c>
      <c r="C8" s="18" t="n">
        <f aca="false">COUNTIF($D$20:$D$40,A8)</f>
        <v>1</v>
      </c>
      <c r="D8" s="18" t="n">
        <v>3</v>
      </c>
      <c r="E8" s="18" t="n">
        <f aca="false">MAX(0,D8-C8)</f>
        <v>2</v>
      </c>
      <c r="F8" s="18" t="n">
        <f aca="false">COUNTIF('Detail Sub SLS'!$S:$S,A8)</f>
        <v>11</v>
      </c>
      <c r="G8" s="20" t="s">
        <v>302</v>
      </c>
      <c r="H8" s="20" t="s">
        <v>303</v>
      </c>
    </row>
    <row r="9" customFormat="false" ht="15" hidden="false" customHeight="false" outlineLevel="0" collapsed="false">
      <c r="A9" s="23" t="s">
        <v>206</v>
      </c>
      <c r="B9" s="20" t="s">
        <v>304</v>
      </c>
      <c r="C9" s="18" t="n">
        <f aca="false">COUNTIF($D$20:$D$40,A9)</f>
        <v>3</v>
      </c>
      <c r="D9" s="18" t="n">
        <v>3</v>
      </c>
      <c r="E9" s="18" t="n">
        <f aca="false">MAX(0,D9-C9)</f>
        <v>0</v>
      </c>
      <c r="F9" s="18" t="n">
        <f aca="false">COUNTIF('Detail Sub SLS'!$S:$S,A9)</f>
        <v>22</v>
      </c>
      <c r="G9" s="20" t="s">
        <v>305</v>
      </c>
      <c r="H9" s="20" t="s">
        <v>71</v>
      </c>
    </row>
    <row r="10" customFormat="false" ht="15" hidden="false" customHeight="false" outlineLevel="0" collapsed="false">
      <c r="A10" s="23" t="s">
        <v>212</v>
      </c>
      <c r="B10" s="20" t="s">
        <v>306</v>
      </c>
      <c r="C10" s="18" t="n">
        <f aca="false">COUNTIF($D$20:$D$40,A10)</f>
        <v>1</v>
      </c>
      <c r="D10" s="18" t="n">
        <v>3</v>
      </c>
      <c r="E10" s="18" t="n">
        <f aca="false">MAX(0,D10-C10)</f>
        <v>2</v>
      </c>
      <c r="F10" s="18" t="n">
        <f aca="false">COUNTIF('Detail Sub SLS'!$S:$S,A10)</f>
        <v>14</v>
      </c>
      <c r="G10" s="20" t="s">
        <v>307</v>
      </c>
      <c r="H10" s="20" t="s">
        <v>308</v>
      </c>
    </row>
    <row r="11" customFormat="false" ht="15" hidden="false" customHeight="false" outlineLevel="0" collapsed="false">
      <c r="A11" s="23" t="s">
        <v>309</v>
      </c>
      <c r="B11" s="20" t="s">
        <v>310</v>
      </c>
      <c r="C11" s="18" t="n">
        <f aca="false">COUNTIF($D$20:$D$40,A11)</f>
        <v>0</v>
      </c>
      <c r="D11" s="18" t="n">
        <v>3</v>
      </c>
      <c r="E11" s="18" t="n">
        <f aca="false">MAX(0,D11-C11)</f>
        <v>3</v>
      </c>
      <c r="F11" s="18" t="n">
        <f aca="false">COUNTIF('Detail Sub SLS'!$S:$S,A11)</f>
        <v>0</v>
      </c>
      <c r="G11" s="31" t="s">
        <v>311</v>
      </c>
      <c r="H11" s="20" t="s">
        <v>312</v>
      </c>
    </row>
    <row r="12" customFormat="false" ht="15" hidden="false" customHeight="false" outlineLevel="0" collapsed="false">
      <c r="A12" s="23" t="s">
        <v>192</v>
      </c>
      <c r="B12" s="20" t="s">
        <v>313</v>
      </c>
      <c r="C12" s="18" t="n">
        <f aca="false">COUNTIF($D$20:$D$40,A12)</f>
        <v>3</v>
      </c>
      <c r="D12" s="18" t="n">
        <v>3</v>
      </c>
      <c r="E12" s="18" t="n">
        <f aca="false">MAX(0,D12-C12)</f>
        <v>0</v>
      </c>
      <c r="F12" s="18" t="n">
        <f aca="false">COUNTIF('Detail Sub SLS'!$S:$S,A12)</f>
        <v>27</v>
      </c>
      <c r="G12" s="20" t="s">
        <v>314</v>
      </c>
      <c r="H12" s="20" t="s">
        <v>71</v>
      </c>
    </row>
    <row r="13" customFormat="false" ht="15" hidden="false" customHeight="false" outlineLevel="0" collapsed="false">
      <c r="A13" s="23" t="s">
        <v>315</v>
      </c>
      <c r="B13" s="20" t="s">
        <v>316</v>
      </c>
      <c r="C13" s="18" t="n">
        <f aca="false">COUNTIF($D$20:$D$40,A13)</f>
        <v>1</v>
      </c>
      <c r="D13" s="18" t="n">
        <v>3</v>
      </c>
      <c r="E13" s="18" t="n">
        <f aca="false">MAX(0,D13-C13)</f>
        <v>2</v>
      </c>
      <c r="F13" s="18" t="n">
        <f aca="false">COUNTIF('Detail Sub SLS'!$S:$S,A13)</f>
        <v>5</v>
      </c>
      <c r="G13" s="20" t="s">
        <v>317</v>
      </c>
      <c r="H13" s="20" t="s">
        <v>318</v>
      </c>
    </row>
    <row r="14" customFormat="false" ht="15" hidden="false" customHeight="false" outlineLevel="0" collapsed="false">
      <c r="A14" s="23" t="s">
        <v>319</v>
      </c>
      <c r="B14" s="20" t="s">
        <v>320</v>
      </c>
      <c r="C14" s="18" t="n">
        <f aca="false">COUNTIF($D$20:$D$40,A14)</f>
        <v>2</v>
      </c>
      <c r="D14" s="18" t="n">
        <v>3</v>
      </c>
      <c r="E14" s="18" t="n">
        <f aca="false">MAX(0,D14-C14)</f>
        <v>1</v>
      </c>
      <c r="F14" s="18" t="n">
        <f aca="false">COUNTIF('Detail Sub SLS'!$S:$S,A14)</f>
        <v>9</v>
      </c>
      <c r="G14" s="20" t="s">
        <v>321</v>
      </c>
      <c r="H14" s="20" t="s">
        <v>322</v>
      </c>
    </row>
    <row r="15" customFormat="false" ht="15" hidden="false" customHeight="false" outlineLevel="0" collapsed="false">
      <c r="A15" s="23" t="s">
        <v>255</v>
      </c>
      <c r="B15" s="20" t="s">
        <v>323</v>
      </c>
      <c r="C15" s="18" t="n">
        <f aca="false">COUNTIF($D$20:$D$40,A15)</f>
        <v>3</v>
      </c>
      <c r="D15" s="18" t="n">
        <v>3</v>
      </c>
      <c r="E15" s="18" t="n">
        <f aca="false">MAX(0,D15-C15)</f>
        <v>0</v>
      </c>
      <c r="F15" s="18" t="n">
        <f aca="false">COUNTIF('Detail Sub SLS'!$S:$S,A15)</f>
        <v>28</v>
      </c>
      <c r="G15" s="20" t="s">
        <v>324</v>
      </c>
      <c r="H15" s="20" t="s">
        <v>71</v>
      </c>
    </row>
    <row r="16" customFormat="false" ht="15" hidden="false" customHeight="false" outlineLevel="0" collapsed="false">
      <c r="A16" s="23" t="s">
        <v>325</v>
      </c>
      <c r="C16" s="32" t="n">
        <f aca="false">SUM(C5:C15)</f>
        <v>21</v>
      </c>
      <c r="D16" s="32" t="n">
        <f aca="false">SUM(D5:D15)</f>
        <v>33</v>
      </c>
      <c r="E16" s="32" t="n">
        <f aca="false">SUM(E5:E15)</f>
        <v>12</v>
      </c>
      <c r="F16" s="32" t="n">
        <f aca="false">SUM(F5:F15)</f>
        <v>228</v>
      </c>
    </row>
    <row r="18" customFormat="false" ht="15" hidden="false" customHeight="false" outlineLevel="0" collapsed="false">
      <c r="A18" s="33" t="s">
        <v>326</v>
      </c>
    </row>
    <row r="19" customFormat="false" ht="54" hidden="false" customHeight="true" outlineLevel="0" collapsed="false">
      <c r="A19" s="17" t="s">
        <v>327</v>
      </c>
      <c r="B19" s="17" t="s">
        <v>328</v>
      </c>
      <c r="C19" s="17" t="s">
        <v>329</v>
      </c>
      <c r="D19" s="17" t="s">
        <v>330</v>
      </c>
      <c r="E19" s="17" t="s">
        <v>331</v>
      </c>
      <c r="F19" s="17" t="s">
        <v>332</v>
      </c>
      <c r="G19" s="17" t="s">
        <v>333</v>
      </c>
    </row>
    <row r="20" customFormat="false" ht="68.65" hidden="false" customHeight="false" outlineLevel="0" collapsed="false">
      <c r="A20" s="20" t="s">
        <v>334</v>
      </c>
      <c r="B20" s="18" t="n">
        <v>230</v>
      </c>
      <c r="C20" s="20" t="s">
        <v>310</v>
      </c>
      <c r="D20" s="23" t="s">
        <v>192</v>
      </c>
      <c r="E20" s="20" t="s">
        <v>335</v>
      </c>
      <c r="F20" s="25" t="n">
        <v>2.2</v>
      </c>
      <c r="G20" s="20"/>
    </row>
    <row r="21" customFormat="false" ht="57.45" hidden="false" customHeight="false" outlineLevel="0" collapsed="false">
      <c r="A21" s="20" t="s">
        <v>336</v>
      </c>
      <c r="B21" s="18" t="n">
        <v>236</v>
      </c>
      <c r="C21" s="20" t="s">
        <v>337</v>
      </c>
      <c r="D21" s="23" t="s">
        <v>192</v>
      </c>
      <c r="E21" s="20" t="s">
        <v>338</v>
      </c>
      <c r="F21" s="25" t="n">
        <v>2</v>
      </c>
      <c r="G21" s="20"/>
    </row>
    <row r="22" customFormat="false" ht="35.05" hidden="false" customHeight="false" outlineLevel="0" collapsed="false">
      <c r="A22" s="20" t="s">
        <v>339</v>
      </c>
      <c r="B22" s="18" t="n">
        <v>242</v>
      </c>
      <c r="C22" s="20" t="s">
        <v>340</v>
      </c>
      <c r="D22" s="23" t="s">
        <v>192</v>
      </c>
      <c r="E22" s="20" t="s">
        <v>341</v>
      </c>
      <c r="F22" s="25" t="n">
        <v>0</v>
      </c>
      <c r="G22" s="19" t="s">
        <v>342</v>
      </c>
    </row>
    <row r="23" customFormat="false" ht="23.85" hidden="false" customHeight="false" outlineLevel="0" collapsed="false">
      <c r="A23" s="20" t="s">
        <v>307</v>
      </c>
      <c r="B23" s="18" t="n">
        <v>234</v>
      </c>
      <c r="C23" s="20" t="s">
        <v>343</v>
      </c>
      <c r="D23" s="23" t="s">
        <v>212</v>
      </c>
      <c r="E23" s="20" t="s">
        <v>344</v>
      </c>
      <c r="F23" s="25" t="n">
        <v>0</v>
      </c>
      <c r="G23" s="19" t="s">
        <v>342</v>
      </c>
    </row>
    <row r="24" customFormat="false" ht="35.05" hidden="false" customHeight="false" outlineLevel="0" collapsed="false">
      <c r="A24" s="20" t="s">
        <v>317</v>
      </c>
      <c r="B24" s="18" t="n">
        <v>227</v>
      </c>
      <c r="C24" s="20" t="s">
        <v>340</v>
      </c>
      <c r="D24" s="23" t="s">
        <v>315</v>
      </c>
      <c r="E24" s="20" t="s">
        <v>345</v>
      </c>
      <c r="F24" s="25" t="n">
        <v>0</v>
      </c>
      <c r="G24" s="20"/>
    </row>
    <row r="25" customFormat="false" ht="124.6" hidden="false" customHeight="false" outlineLevel="0" collapsed="false">
      <c r="A25" s="20" t="s">
        <v>346</v>
      </c>
      <c r="B25" s="18" t="n">
        <v>187</v>
      </c>
      <c r="C25" s="20" t="s">
        <v>310</v>
      </c>
      <c r="D25" s="23" t="s">
        <v>298</v>
      </c>
      <c r="E25" s="20" t="s">
        <v>347</v>
      </c>
      <c r="F25" s="25" t="n">
        <v>2.3</v>
      </c>
      <c r="G25" s="20"/>
    </row>
    <row r="26" customFormat="false" ht="79.85" hidden="false" customHeight="false" outlineLevel="0" collapsed="false">
      <c r="A26" s="20" t="s">
        <v>348</v>
      </c>
      <c r="B26" s="18" t="n">
        <v>96</v>
      </c>
      <c r="C26" s="20" t="s">
        <v>349</v>
      </c>
      <c r="D26" s="23" t="s">
        <v>298</v>
      </c>
      <c r="E26" s="20" t="s">
        <v>350</v>
      </c>
      <c r="F26" s="25" t="n">
        <v>0.5</v>
      </c>
      <c r="G26" s="20"/>
    </row>
    <row r="27" customFormat="false" ht="35.05" hidden="false" customHeight="false" outlineLevel="0" collapsed="false">
      <c r="A27" s="20" t="s">
        <v>351</v>
      </c>
      <c r="B27" s="18" t="n">
        <v>200</v>
      </c>
      <c r="C27" s="20" t="s">
        <v>337</v>
      </c>
      <c r="D27" s="23" t="s">
        <v>298</v>
      </c>
      <c r="E27" s="20" t="s">
        <v>352</v>
      </c>
      <c r="F27" s="25" t="n">
        <v>0.5</v>
      </c>
      <c r="G27" s="20"/>
    </row>
    <row r="28" customFormat="false" ht="35.05" hidden="false" customHeight="false" outlineLevel="0" collapsed="false">
      <c r="A28" s="20" t="s">
        <v>294</v>
      </c>
      <c r="B28" s="18" t="n">
        <v>241</v>
      </c>
      <c r="C28" s="20" t="s">
        <v>340</v>
      </c>
      <c r="D28" s="23" t="s">
        <v>76</v>
      </c>
      <c r="E28" s="20" t="s">
        <v>353</v>
      </c>
      <c r="F28" s="25" t="n">
        <v>4.2</v>
      </c>
      <c r="G28" s="19" t="s">
        <v>354</v>
      </c>
    </row>
    <row r="29" customFormat="false" ht="57.45" hidden="false" customHeight="false" outlineLevel="0" collapsed="false">
      <c r="A29" s="20" t="s">
        <v>355</v>
      </c>
      <c r="B29" s="18" t="n">
        <v>459</v>
      </c>
      <c r="C29" s="20" t="s">
        <v>310</v>
      </c>
      <c r="D29" s="23" t="s">
        <v>206</v>
      </c>
      <c r="E29" s="20" t="s">
        <v>356</v>
      </c>
      <c r="F29" s="25" t="n">
        <v>0.5</v>
      </c>
      <c r="G29" s="20"/>
    </row>
    <row r="30" customFormat="false" ht="57.45" hidden="false" customHeight="false" outlineLevel="0" collapsed="false">
      <c r="A30" s="20" t="s">
        <v>357</v>
      </c>
      <c r="B30" s="18" t="n">
        <v>163</v>
      </c>
      <c r="C30" s="20" t="s">
        <v>358</v>
      </c>
      <c r="D30" s="23" t="s">
        <v>206</v>
      </c>
      <c r="E30" s="20" t="s">
        <v>359</v>
      </c>
      <c r="F30" s="25" t="n">
        <v>0.8</v>
      </c>
      <c r="G30" s="19" t="s">
        <v>360</v>
      </c>
    </row>
    <row r="31" customFormat="false" ht="46.25" hidden="false" customHeight="false" outlineLevel="0" collapsed="false">
      <c r="A31" s="20" t="s">
        <v>361</v>
      </c>
      <c r="B31" s="18" t="n">
        <v>168</v>
      </c>
      <c r="C31" s="20" t="s">
        <v>358</v>
      </c>
      <c r="D31" s="23" t="s">
        <v>206</v>
      </c>
      <c r="E31" s="20" t="s">
        <v>362</v>
      </c>
      <c r="F31" s="25" t="n">
        <v>0.6</v>
      </c>
      <c r="G31" s="20"/>
    </row>
    <row r="32" customFormat="false" ht="35.05" hidden="false" customHeight="false" outlineLevel="0" collapsed="false">
      <c r="A32" s="20" t="s">
        <v>363</v>
      </c>
      <c r="B32" s="18" t="n">
        <v>415</v>
      </c>
      <c r="C32" s="20" t="s">
        <v>364</v>
      </c>
      <c r="D32" s="23" t="s">
        <v>255</v>
      </c>
      <c r="E32" s="20" t="s">
        <v>365</v>
      </c>
      <c r="F32" s="25" t="n">
        <v>0</v>
      </c>
      <c r="G32" s="19" t="s">
        <v>360</v>
      </c>
    </row>
    <row r="33" customFormat="false" ht="35.05" hidden="false" customHeight="false" outlineLevel="0" collapsed="false">
      <c r="A33" s="20" t="s">
        <v>366</v>
      </c>
      <c r="B33" s="18" t="n">
        <v>422</v>
      </c>
      <c r="C33" s="20" t="s">
        <v>367</v>
      </c>
      <c r="D33" s="23" t="s">
        <v>255</v>
      </c>
      <c r="E33" s="20" t="s">
        <v>368</v>
      </c>
      <c r="F33" s="25" t="n">
        <v>0</v>
      </c>
      <c r="G33" s="20"/>
    </row>
    <row r="34" customFormat="false" ht="35.05" hidden="false" customHeight="false" outlineLevel="0" collapsed="false">
      <c r="A34" s="20" t="s">
        <v>369</v>
      </c>
      <c r="B34" s="18" t="n">
        <v>449</v>
      </c>
      <c r="C34" s="20" t="s">
        <v>364</v>
      </c>
      <c r="D34" s="23" t="s">
        <v>255</v>
      </c>
      <c r="E34" s="20" t="s">
        <v>370</v>
      </c>
      <c r="F34" s="25" t="n">
        <v>0.9</v>
      </c>
      <c r="G34" s="19" t="s">
        <v>360</v>
      </c>
    </row>
    <row r="35" customFormat="false" ht="23.85" hidden="false" customHeight="false" outlineLevel="0" collapsed="false">
      <c r="A35" s="20" t="s">
        <v>371</v>
      </c>
      <c r="B35" s="18" t="n">
        <v>440</v>
      </c>
      <c r="C35" s="20" t="s">
        <v>364</v>
      </c>
      <c r="D35" s="23" t="s">
        <v>319</v>
      </c>
      <c r="E35" s="20" t="s">
        <v>372</v>
      </c>
      <c r="F35" s="25" t="n">
        <v>0</v>
      </c>
      <c r="G35" s="20"/>
    </row>
    <row r="36" customFormat="false" ht="57.45" hidden="false" customHeight="false" outlineLevel="0" collapsed="false">
      <c r="A36" s="20" t="s">
        <v>373</v>
      </c>
      <c r="B36" s="18" t="n">
        <v>441</v>
      </c>
      <c r="C36" s="20" t="s">
        <v>374</v>
      </c>
      <c r="D36" s="23" t="s">
        <v>319</v>
      </c>
      <c r="E36" s="20" t="s">
        <v>375</v>
      </c>
      <c r="F36" s="25" t="n">
        <v>0.8</v>
      </c>
      <c r="G36" s="20"/>
    </row>
    <row r="37" customFormat="false" ht="68.65" hidden="false" customHeight="false" outlineLevel="0" collapsed="false">
      <c r="A37" s="20" t="s">
        <v>302</v>
      </c>
      <c r="B37" s="18" t="n">
        <v>431</v>
      </c>
      <c r="C37" s="20" t="s">
        <v>376</v>
      </c>
      <c r="D37" s="23" t="s">
        <v>229</v>
      </c>
      <c r="E37" s="20" t="s">
        <v>377</v>
      </c>
      <c r="F37" s="25" t="n">
        <v>3.1</v>
      </c>
      <c r="G37" s="19" t="s">
        <v>378</v>
      </c>
    </row>
    <row r="38" customFormat="false" ht="35.05" hidden="false" customHeight="false" outlineLevel="0" collapsed="false">
      <c r="A38" s="20" t="s">
        <v>379</v>
      </c>
      <c r="B38" s="18" t="n">
        <v>159</v>
      </c>
      <c r="C38" s="20" t="s">
        <v>358</v>
      </c>
      <c r="D38" s="23" t="s">
        <v>58</v>
      </c>
      <c r="E38" s="20" t="s">
        <v>380</v>
      </c>
      <c r="F38" s="25" t="n">
        <v>0</v>
      </c>
      <c r="G38" s="20"/>
    </row>
    <row r="39" customFormat="false" ht="46.25" hidden="false" customHeight="false" outlineLevel="0" collapsed="false">
      <c r="A39" s="20" t="s">
        <v>381</v>
      </c>
      <c r="B39" s="18" t="n">
        <v>458</v>
      </c>
      <c r="C39" s="20" t="s">
        <v>382</v>
      </c>
      <c r="D39" s="23" t="s">
        <v>58</v>
      </c>
      <c r="E39" s="20" t="s">
        <v>383</v>
      </c>
      <c r="F39" s="25" t="n">
        <v>2.7</v>
      </c>
      <c r="G39" s="20"/>
    </row>
    <row r="40" customFormat="false" ht="35.05" hidden="false" customHeight="false" outlineLevel="0" collapsed="false">
      <c r="A40" s="20" t="s">
        <v>384</v>
      </c>
      <c r="B40" s="18" t="n">
        <v>204</v>
      </c>
      <c r="C40" s="20" t="s">
        <v>340</v>
      </c>
      <c r="D40" s="23" t="s">
        <v>58</v>
      </c>
      <c r="E40" s="20" t="s">
        <v>385</v>
      </c>
      <c r="F40" s="25" t="n">
        <v>0.7</v>
      </c>
      <c r="G40" s="19" t="s">
        <v>360</v>
      </c>
    </row>
    <row r="42" customFormat="false" ht="15" hidden="false" customHeight="false" outlineLevel="0" collapsed="false">
      <c r="A42" s="33" t="s">
        <v>386</v>
      </c>
    </row>
    <row r="43" customFormat="false" ht="42" hidden="false" customHeight="true" outlineLevel="0" collapsed="false">
      <c r="A43" s="17" t="s">
        <v>387</v>
      </c>
      <c r="B43" s="17" t="s">
        <v>328</v>
      </c>
      <c r="C43" s="17" t="s">
        <v>388</v>
      </c>
      <c r="D43" s="17" t="s">
        <v>389</v>
      </c>
      <c r="E43" s="17" t="s">
        <v>329</v>
      </c>
      <c r="F43" s="17" t="s">
        <v>390</v>
      </c>
      <c r="G43" s="17" t="s">
        <v>391</v>
      </c>
      <c r="H43" s="17" t="s">
        <v>51</v>
      </c>
      <c r="I43" s="17" t="s">
        <v>52</v>
      </c>
      <c r="J43" s="17" t="s">
        <v>333</v>
      </c>
    </row>
    <row r="44" customFormat="false" ht="23.85" hidden="false" customHeight="false" outlineLevel="0" collapsed="false">
      <c r="A44" s="23" t="s">
        <v>76</v>
      </c>
      <c r="B44" s="18" t="n">
        <v>430</v>
      </c>
      <c r="C44" s="20" t="s">
        <v>392</v>
      </c>
      <c r="D44" s="20" t="s">
        <v>393</v>
      </c>
      <c r="E44" s="20" t="s">
        <v>364</v>
      </c>
      <c r="F44" s="25" t="n">
        <v>2.2</v>
      </c>
      <c r="G44" s="18" t="n">
        <v>1</v>
      </c>
      <c r="H44" s="20" t="s">
        <v>394</v>
      </c>
      <c r="I44" s="20" t="s">
        <v>71</v>
      </c>
      <c r="J44" s="19" t="s">
        <v>395</v>
      </c>
    </row>
    <row r="45" customFormat="false" ht="23.85" hidden="false" customHeight="false" outlineLevel="0" collapsed="false">
      <c r="A45" s="23" t="s">
        <v>76</v>
      </c>
      <c r="B45" s="18" t="n">
        <v>100</v>
      </c>
      <c r="C45" s="20" t="s">
        <v>396</v>
      </c>
      <c r="D45" s="20" t="s">
        <v>393</v>
      </c>
      <c r="E45" s="20" t="s">
        <v>397</v>
      </c>
      <c r="F45" s="25" t="n">
        <v>2.4</v>
      </c>
      <c r="G45" s="18" t="n">
        <v>1</v>
      </c>
      <c r="H45" s="20" t="s">
        <v>394</v>
      </c>
      <c r="I45" s="20" t="s">
        <v>115</v>
      </c>
      <c r="J45" s="19" t="s">
        <v>398</v>
      </c>
    </row>
    <row r="46" customFormat="false" ht="23.85" hidden="false" customHeight="false" outlineLevel="0" collapsed="false">
      <c r="A46" s="23" t="s">
        <v>229</v>
      </c>
      <c r="B46" s="18" t="n">
        <v>165</v>
      </c>
      <c r="C46" s="20" t="s">
        <v>399</v>
      </c>
      <c r="D46" s="20" t="s">
        <v>393</v>
      </c>
      <c r="E46" s="20" t="s">
        <v>400</v>
      </c>
      <c r="F46" s="25" t="n">
        <v>0.2</v>
      </c>
      <c r="G46" s="18" t="n">
        <v>1</v>
      </c>
      <c r="H46" s="20" t="s">
        <v>394</v>
      </c>
      <c r="I46" s="20" t="s">
        <v>71</v>
      </c>
      <c r="J46" s="19" t="s">
        <v>395</v>
      </c>
    </row>
    <row r="47" customFormat="false" ht="23.85" hidden="false" customHeight="false" outlineLevel="0" collapsed="false">
      <c r="A47" s="23" t="s">
        <v>229</v>
      </c>
      <c r="B47" s="18" t="n">
        <v>413</v>
      </c>
      <c r="C47" s="20" t="s">
        <v>401</v>
      </c>
      <c r="D47" s="20" t="s">
        <v>393</v>
      </c>
      <c r="E47" s="20" t="s">
        <v>402</v>
      </c>
      <c r="F47" s="25" t="n">
        <v>5.4</v>
      </c>
      <c r="G47" s="18" t="n">
        <v>2</v>
      </c>
      <c r="H47" s="20" t="s">
        <v>403</v>
      </c>
      <c r="I47" s="20" t="s">
        <v>71</v>
      </c>
      <c r="J47" s="19" t="s">
        <v>404</v>
      </c>
    </row>
    <row r="48" customFormat="false" ht="35.05" hidden="false" customHeight="false" outlineLevel="0" collapsed="false">
      <c r="A48" s="23" t="s">
        <v>212</v>
      </c>
      <c r="B48" s="18" t="n">
        <v>224</v>
      </c>
      <c r="C48" s="20" t="s">
        <v>405</v>
      </c>
      <c r="D48" s="20" t="s">
        <v>406</v>
      </c>
      <c r="E48" s="20" t="s">
        <v>407</v>
      </c>
      <c r="F48" s="25" t="n">
        <v>1.1</v>
      </c>
      <c r="G48" s="18" t="n">
        <v>0</v>
      </c>
      <c r="H48" s="20" t="s">
        <v>403</v>
      </c>
      <c r="I48" s="20" t="s">
        <v>71</v>
      </c>
      <c r="J48" s="20"/>
    </row>
    <row r="49" customFormat="false" ht="35.05" hidden="false" customHeight="false" outlineLevel="0" collapsed="false">
      <c r="A49" s="23" t="s">
        <v>212</v>
      </c>
      <c r="B49" s="18" t="n">
        <v>220</v>
      </c>
      <c r="C49" s="20" t="s">
        <v>408</v>
      </c>
      <c r="D49" s="20" t="s">
        <v>406</v>
      </c>
      <c r="E49" s="20" t="s">
        <v>407</v>
      </c>
      <c r="F49" s="25" t="n">
        <v>2.1</v>
      </c>
      <c r="G49" s="18" t="n">
        <v>0</v>
      </c>
      <c r="H49" s="20" t="s">
        <v>403</v>
      </c>
      <c r="I49" s="20" t="s">
        <v>115</v>
      </c>
      <c r="J49" s="19" t="s">
        <v>409</v>
      </c>
    </row>
    <row r="50" customFormat="false" ht="23.85" hidden="false" customHeight="false" outlineLevel="0" collapsed="false">
      <c r="A50" s="23" t="s">
        <v>309</v>
      </c>
      <c r="B50" s="18" t="n">
        <v>231</v>
      </c>
      <c r="C50" s="20" t="s">
        <v>410</v>
      </c>
      <c r="D50" s="20" t="s">
        <v>393</v>
      </c>
      <c r="E50" s="20" t="s">
        <v>310</v>
      </c>
      <c r="F50" s="25" t="n">
        <v>2.2</v>
      </c>
      <c r="G50" s="18" t="n">
        <v>1</v>
      </c>
      <c r="H50" s="20" t="s">
        <v>394</v>
      </c>
      <c r="I50" s="20" t="s">
        <v>71</v>
      </c>
      <c r="J50" s="19" t="s">
        <v>395</v>
      </c>
    </row>
    <row r="51" customFormat="false" ht="23.85" hidden="false" customHeight="false" outlineLevel="0" collapsed="false">
      <c r="A51" s="23" t="s">
        <v>309</v>
      </c>
      <c r="B51" s="18" t="n">
        <v>205</v>
      </c>
      <c r="C51" s="20" t="s">
        <v>411</v>
      </c>
      <c r="D51" s="20" t="s">
        <v>393</v>
      </c>
      <c r="E51" s="20" t="s">
        <v>310</v>
      </c>
      <c r="F51" s="25" t="n">
        <v>2.7</v>
      </c>
      <c r="G51" s="18" t="n">
        <v>1</v>
      </c>
      <c r="H51" s="20" t="s">
        <v>394</v>
      </c>
      <c r="I51" s="20" t="s">
        <v>71</v>
      </c>
      <c r="J51" s="19" t="s">
        <v>395</v>
      </c>
    </row>
    <row r="52" customFormat="false" ht="23.85" hidden="false" customHeight="false" outlineLevel="0" collapsed="false">
      <c r="A52" s="23" t="s">
        <v>309</v>
      </c>
      <c r="B52" s="18" t="n">
        <v>175</v>
      </c>
      <c r="C52" s="20" t="s">
        <v>412</v>
      </c>
      <c r="D52" s="20" t="s">
        <v>393</v>
      </c>
      <c r="E52" s="20" t="s">
        <v>310</v>
      </c>
      <c r="F52" s="25" t="n">
        <v>3.6</v>
      </c>
      <c r="G52" s="18" t="n">
        <v>3</v>
      </c>
      <c r="H52" s="20" t="s">
        <v>394</v>
      </c>
      <c r="I52" s="20" t="s">
        <v>71</v>
      </c>
      <c r="J52" s="19" t="s">
        <v>413</v>
      </c>
    </row>
    <row r="53" customFormat="false" ht="23.85" hidden="false" customHeight="false" outlineLevel="0" collapsed="false">
      <c r="A53" s="23" t="s">
        <v>315</v>
      </c>
      <c r="B53" s="18" t="n">
        <v>194</v>
      </c>
      <c r="C53" s="20" t="s">
        <v>414</v>
      </c>
      <c r="D53" s="20" t="s">
        <v>393</v>
      </c>
      <c r="E53" s="20" t="s">
        <v>310</v>
      </c>
      <c r="F53" s="25" t="n">
        <v>2.3</v>
      </c>
      <c r="G53" s="18" t="n">
        <v>1</v>
      </c>
      <c r="H53" s="20" t="s">
        <v>394</v>
      </c>
      <c r="I53" s="20" t="s">
        <v>71</v>
      </c>
      <c r="J53" s="19" t="s">
        <v>395</v>
      </c>
    </row>
    <row r="54" customFormat="false" ht="35.05" hidden="false" customHeight="false" outlineLevel="0" collapsed="false">
      <c r="A54" s="23" t="s">
        <v>315</v>
      </c>
      <c r="B54" s="18" t="n">
        <v>197</v>
      </c>
      <c r="C54" s="20" t="s">
        <v>415</v>
      </c>
      <c r="D54" s="20" t="s">
        <v>406</v>
      </c>
      <c r="E54" s="20" t="s">
        <v>310</v>
      </c>
      <c r="F54" s="25" t="n">
        <v>2.7</v>
      </c>
      <c r="G54" s="18" t="n">
        <v>0</v>
      </c>
      <c r="H54" s="20" t="s">
        <v>403</v>
      </c>
      <c r="I54" s="20" t="s">
        <v>71</v>
      </c>
      <c r="J54" s="20"/>
    </row>
    <row r="55" customFormat="false" ht="23.85" hidden="false" customHeight="false" outlineLevel="0" collapsed="false">
      <c r="A55" s="23" t="s">
        <v>319</v>
      </c>
      <c r="B55" s="18" t="n">
        <v>411</v>
      </c>
      <c r="C55" s="20" t="s">
        <v>322</v>
      </c>
      <c r="D55" s="20" t="s">
        <v>393</v>
      </c>
      <c r="E55" s="20" t="s">
        <v>267</v>
      </c>
      <c r="F55" s="25" t="n">
        <v>0</v>
      </c>
      <c r="G55" s="18" t="n">
        <v>1</v>
      </c>
      <c r="H55" s="20" t="s">
        <v>403</v>
      </c>
      <c r="I55" s="20" t="s">
        <v>71</v>
      </c>
      <c r="J55" s="19" t="s">
        <v>416</v>
      </c>
    </row>
    <row r="57" customFormat="false" ht="15" hidden="false" customHeight="false" outlineLevel="0" collapsed="false">
      <c r="A57" s="30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5" min="4" style="0" width="30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29" t="s">
        <v>418</v>
      </c>
    </row>
    <row r="2" customFormat="false" ht="15" hidden="false" customHeight="false" outlineLevel="0" collapsed="false">
      <c r="A2" s="30" t="s">
        <v>419</v>
      </c>
    </row>
    <row r="4" customFormat="false" ht="42" hidden="false" customHeight="true" outlineLevel="0" collapsed="false">
      <c r="A4" s="17" t="s">
        <v>34</v>
      </c>
      <c r="B4" s="17" t="s">
        <v>36</v>
      </c>
      <c r="C4" s="17" t="s">
        <v>37</v>
      </c>
      <c r="D4" s="17" t="s">
        <v>420</v>
      </c>
      <c r="E4" s="17" t="s">
        <v>421</v>
      </c>
      <c r="F4" s="17" t="s">
        <v>422</v>
      </c>
    </row>
    <row r="5" customFormat="false" ht="15" hidden="false" customHeight="false" outlineLevel="0" collapsed="false">
      <c r="A5" s="18" t="n">
        <v>1</v>
      </c>
      <c r="B5" s="20" t="s">
        <v>423</v>
      </c>
      <c r="C5" s="20" t="s">
        <v>214</v>
      </c>
      <c r="D5" s="20" t="s">
        <v>58</v>
      </c>
      <c r="E5" s="23" t="s">
        <v>58</v>
      </c>
      <c r="F5" s="20"/>
    </row>
    <row r="6" customFormat="false" ht="15" hidden="false" customHeight="false" outlineLevel="0" collapsed="false">
      <c r="A6" s="18" t="n">
        <v>2</v>
      </c>
      <c r="B6" s="20" t="s">
        <v>423</v>
      </c>
      <c r="C6" s="20" t="s">
        <v>424</v>
      </c>
      <c r="D6" s="20" t="s">
        <v>76</v>
      </c>
      <c r="E6" s="23" t="s">
        <v>76</v>
      </c>
      <c r="F6" s="20"/>
    </row>
    <row r="7" customFormat="false" ht="15" hidden="false" customHeight="false" outlineLevel="0" collapsed="false">
      <c r="A7" s="18" t="n">
        <v>3</v>
      </c>
      <c r="B7" s="20" t="s">
        <v>425</v>
      </c>
      <c r="C7" s="20" t="s">
        <v>141</v>
      </c>
      <c r="D7" s="20" t="s">
        <v>76</v>
      </c>
      <c r="E7" s="23" t="s">
        <v>76</v>
      </c>
      <c r="F7" s="20"/>
    </row>
    <row r="8" customFormat="false" ht="15" hidden="false" customHeight="false" outlineLevel="0" collapsed="false">
      <c r="A8" s="18" t="n">
        <v>4</v>
      </c>
      <c r="B8" s="20" t="s">
        <v>425</v>
      </c>
      <c r="C8" s="20" t="s">
        <v>426</v>
      </c>
      <c r="D8" s="20" t="s">
        <v>298</v>
      </c>
      <c r="E8" s="23" t="s">
        <v>298</v>
      </c>
      <c r="F8" s="20"/>
    </row>
    <row r="9" customFormat="false" ht="15" hidden="false" customHeight="false" outlineLevel="0" collapsed="false">
      <c r="A9" s="18" t="n">
        <v>5</v>
      </c>
      <c r="B9" s="20" t="s">
        <v>427</v>
      </c>
      <c r="C9" s="20" t="s">
        <v>428</v>
      </c>
      <c r="D9" s="20" t="s">
        <v>298</v>
      </c>
      <c r="E9" s="23" t="s">
        <v>298</v>
      </c>
      <c r="F9" s="20"/>
    </row>
    <row r="10" customFormat="false" ht="15" hidden="false" customHeight="false" outlineLevel="0" collapsed="false">
      <c r="A10" s="18" t="n">
        <v>6</v>
      </c>
      <c r="B10" s="20" t="s">
        <v>427</v>
      </c>
      <c r="C10" s="20" t="s">
        <v>382</v>
      </c>
      <c r="D10" s="20" t="s">
        <v>298</v>
      </c>
      <c r="E10" s="23" t="s">
        <v>298</v>
      </c>
      <c r="F10" s="20"/>
    </row>
    <row r="11" customFormat="false" ht="15" hidden="false" customHeight="false" outlineLevel="0" collapsed="false">
      <c r="A11" s="18" t="n">
        <v>7</v>
      </c>
      <c r="B11" s="20" t="s">
        <v>427</v>
      </c>
      <c r="C11" s="20" t="s">
        <v>194</v>
      </c>
      <c r="D11" s="20" t="s">
        <v>298</v>
      </c>
      <c r="E11" s="23" t="s">
        <v>298</v>
      </c>
      <c r="F11" s="20"/>
    </row>
    <row r="12" customFormat="false" ht="15" hidden="false" customHeight="false" outlineLevel="0" collapsed="false">
      <c r="A12" s="18" t="n">
        <v>8</v>
      </c>
      <c r="B12" s="20" t="s">
        <v>427</v>
      </c>
      <c r="C12" s="20" t="s">
        <v>349</v>
      </c>
      <c r="D12" s="20" t="s">
        <v>298</v>
      </c>
      <c r="E12" s="23" t="s">
        <v>298</v>
      </c>
      <c r="F12" s="20"/>
    </row>
    <row r="13" customFormat="false" ht="15" hidden="false" customHeight="false" outlineLevel="0" collapsed="false">
      <c r="A13" s="18" t="n">
        <v>9</v>
      </c>
      <c r="B13" s="20" t="s">
        <v>427</v>
      </c>
      <c r="C13" s="20" t="s">
        <v>397</v>
      </c>
      <c r="D13" s="20" t="s">
        <v>76</v>
      </c>
      <c r="E13" s="23" t="s">
        <v>76</v>
      </c>
      <c r="F13" s="20"/>
    </row>
    <row r="14" customFormat="false" ht="15" hidden="false" customHeight="false" outlineLevel="0" collapsed="false">
      <c r="A14" s="18" t="n">
        <v>10</v>
      </c>
      <c r="B14" s="20" t="s">
        <v>429</v>
      </c>
      <c r="C14" s="20" t="s">
        <v>430</v>
      </c>
      <c r="D14" s="20" t="s">
        <v>229</v>
      </c>
      <c r="E14" s="23" t="s">
        <v>229</v>
      </c>
      <c r="F14" s="20"/>
    </row>
    <row r="15" customFormat="false" ht="15" hidden="false" customHeight="false" outlineLevel="0" collapsed="false">
      <c r="A15" s="18" t="n">
        <v>11</v>
      </c>
      <c r="B15" s="20" t="s">
        <v>431</v>
      </c>
      <c r="C15" s="20" t="s">
        <v>400</v>
      </c>
      <c r="D15" s="20" t="s">
        <v>229</v>
      </c>
      <c r="E15" s="23" t="s">
        <v>229</v>
      </c>
      <c r="F15" s="20"/>
    </row>
    <row r="16" customFormat="false" ht="15" hidden="false" customHeight="false" outlineLevel="0" collapsed="false">
      <c r="A16" s="18" t="n">
        <v>12</v>
      </c>
      <c r="B16" s="20" t="s">
        <v>431</v>
      </c>
      <c r="C16" s="20" t="s">
        <v>400</v>
      </c>
      <c r="D16" s="20" t="s">
        <v>206</v>
      </c>
      <c r="E16" s="23" t="s">
        <v>206</v>
      </c>
      <c r="F16" s="20"/>
    </row>
    <row r="17" customFormat="false" ht="15" hidden="false" customHeight="false" outlineLevel="0" collapsed="false">
      <c r="A17" s="18" t="n">
        <v>13</v>
      </c>
      <c r="B17" s="20" t="s">
        <v>431</v>
      </c>
      <c r="C17" s="20" t="s">
        <v>358</v>
      </c>
      <c r="D17" s="20" t="s">
        <v>206</v>
      </c>
      <c r="E17" s="23" t="s">
        <v>206</v>
      </c>
      <c r="F17" s="20"/>
    </row>
    <row r="18" customFormat="false" ht="15" hidden="false" customHeight="false" outlineLevel="0" collapsed="false">
      <c r="A18" s="18" t="n">
        <v>14</v>
      </c>
      <c r="B18" s="20" t="s">
        <v>431</v>
      </c>
      <c r="C18" s="20" t="s">
        <v>358</v>
      </c>
      <c r="D18" s="20" t="s">
        <v>58</v>
      </c>
      <c r="E18" s="23" t="s">
        <v>58</v>
      </c>
      <c r="F18" s="20"/>
    </row>
    <row r="19" customFormat="false" ht="15" hidden="false" customHeight="false" outlineLevel="0" collapsed="false">
      <c r="A19" s="18" t="n">
        <v>15</v>
      </c>
      <c r="B19" s="20" t="s">
        <v>432</v>
      </c>
      <c r="C19" s="20" t="s">
        <v>433</v>
      </c>
      <c r="D19" s="20" t="s">
        <v>58</v>
      </c>
      <c r="E19" s="23" t="s">
        <v>58</v>
      </c>
      <c r="F19" s="20"/>
    </row>
    <row r="20" customFormat="false" ht="15" hidden="false" customHeight="false" outlineLevel="0" collapsed="false">
      <c r="A20" s="18" t="n">
        <v>16</v>
      </c>
      <c r="B20" s="20" t="s">
        <v>432</v>
      </c>
      <c r="C20" s="20" t="s">
        <v>433</v>
      </c>
      <c r="D20" s="20" t="s">
        <v>212</v>
      </c>
      <c r="E20" s="23" t="s">
        <v>212</v>
      </c>
      <c r="F20" s="20"/>
    </row>
    <row r="21" customFormat="false" ht="15" hidden="false" customHeight="false" outlineLevel="0" collapsed="false">
      <c r="A21" s="18" t="n">
        <v>17</v>
      </c>
      <c r="B21" s="20" t="s">
        <v>432</v>
      </c>
      <c r="C21" s="20" t="s">
        <v>310</v>
      </c>
      <c r="D21" s="20" t="s">
        <v>212</v>
      </c>
      <c r="E21" s="23" t="s">
        <v>212</v>
      </c>
      <c r="F21" s="20"/>
    </row>
    <row r="22" customFormat="false" ht="15" hidden="false" customHeight="false" outlineLevel="0" collapsed="false">
      <c r="A22" s="18" t="n">
        <v>18</v>
      </c>
      <c r="B22" s="20" t="s">
        <v>432</v>
      </c>
      <c r="C22" s="20" t="s">
        <v>310</v>
      </c>
      <c r="D22" s="20" t="s">
        <v>309</v>
      </c>
      <c r="E22" s="23" t="s">
        <v>309</v>
      </c>
      <c r="F22" s="20"/>
    </row>
    <row r="23" customFormat="false" ht="23.85" hidden="false" customHeight="false" outlineLevel="0" collapsed="false">
      <c r="A23" s="18" t="n">
        <v>19</v>
      </c>
      <c r="B23" s="20" t="s">
        <v>432</v>
      </c>
      <c r="C23" s="20" t="s">
        <v>310</v>
      </c>
      <c r="D23" s="19" t="s">
        <v>434</v>
      </c>
      <c r="E23" s="34" t="s">
        <v>315</v>
      </c>
      <c r="F23" s="20" t="s">
        <v>435</v>
      </c>
    </row>
    <row r="24" customFormat="false" ht="15" hidden="false" customHeight="false" outlineLevel="0" collapsed="false">
      <c r="A24" s="18" t="n">
        <v>20</v>
      </c>
      <c r="B24" s="20" t="s">
        <v>432</v>
      </c>
      <c r="C24" s="20" t="s">
        <v>310</v>
      </c>
      <c r="D24" s="20" t="s">
        <v>192</v>
      </c>
      <c r="E24" s="23" t="s">
        <v>192</v>
      </c>
      <c r="F24" s="20"/>
    </row>
    <row r="25" customFormat="false" ht="15" hidden="false" customHeight="false" outlineLevel="0" collapsed="false">
      <c r="A25" s="18" t="n">
        <v>21</v>
      </c>
      <c r="B25" s="20" t="s">
        <v>432</v>
      </c>
      <c r="C25" s="20" t="s">
        <v>222</v>
      </c>
      <c r="D25" s="20" t="s">
        <v>192</v>
      </c>
      <c r="E25" s="23" t="s">
        <v>192</v>
      </c>
      <c r="F25" s="20"/>
    </row>
    <row r="26" customFormat="false" ht="15" hidden="false" customHeight="false" outlineLevel="0" collapsed="false">
      <c r="A26" s="18" t="n">
        <v>22</v>
      </c>
      <c r="B26" s="20" t="s">
        <v>432</v>
      </c>
      <c r="C26" s="20" t="s">
        <v>340</v>
      </c>
      <c r="D26" s="20" t="s">
        <v>192</v>
      </c>
      <c r="E26" s="23" t="s">
        <v>192</v>
      </c>
      <c r="F26" s="20"/>
    </row>
    <row r="27" customFormat="false" ht="15" hidden="false" customHeight="false" outlineLevel="0" collapsed="false">
      <c r="A27" s="18" t="n">
        <v>23</v>
      </c>
      <c r="B27" s="20" t="s">
        <v>432</v>
      </c>
      <c r="C27" s="20" t="s">
        <v>340</v>
      </c>
      <c r="D27" s="20" t="s">
        <v>315</v>
      </c>
      <c r="E27" s="23" t="s">
        <v>315</v>
      </c>
      <c r="F27" s="20"/>
    </row>
    <row r="28" customFormat="false" ht="15" hidden="false" customHeight="false" outlineLevel="0" collapsed="false">
      <c r="A28" s="18" t="n">
        <v>24</v>
      </c>
      <c r="B28" s="20" t="s">
        <v>432</v>
      </c>
      <c r="C28" s="20" t="s">
        <v>340</v>
      </c>
      <c r="D28" s="20" t="s">
        <v>298</v>
      </c>
      <c r="E28" s="23" t="s">
        <v>298</v>
      </c>
      <c r="F28" s="20"/>
    </row>
    <row r="29" customFormat="false" ht="23.85" hidden="false" customHeight="false" outlineLevel="0" collapsed="false">
      <c r="A29" s="18" t="n">
        <v>25</v>
      </c>
      <c r="B29" s="20" t="s">
        <v>432</v>
      </c>
      <c r="C29" s="20" t="s">
        <v>340</v>
      </c>
      <c r="D29" s="19" t="s">
        <v>434</v>
      </c>
      <c r="E29" s="34" t="s">
        <v>212</v>
      </c>
      <c r="F29" s="20" t="s">
        <v>436</v>
      </c>
    </row>
    <row r="30" customFormat="false" ht="15" hidden="false" customHeight="false" outlineLevel="0" collapsed="false">
      <c r="A30" s="18" t="n">
        <v>26</v>
      </c>
      <c r="B30" s="20" t="s">
        <v>432</v>
      </c>
      <c r="C30" s="20" t="s">
        <v>340</v>
      </c>
      <c r="D30" s="20" t="s">
        <v>58</v>
      </c>
      <c r="E30" s="23" t="s">
        <v>58</v>
      </c>
      <c r="F30" s="20"/>
    </row>
    <row r="31" customFormat="false" ht="15" hidden="false" customHeight="false" outlineLevel="0" collapsed="false">
      <c r="A31" s="18" t="n">
        <v>27</v>
      </c>
      <c r="B31" s="20" t="s">
        <v>437</v>
      </c>
      <c r="C31" s="20" t="s">
        <v>438</v>
      </c>
      <c r="D31" s="20" t="s">
        <v>58</v>
      </c>
      <c r="E31" s="23" t="s">
        <v>58</v>
      </c>
      <c r="F31" s="20"/>
    </row>
    <row r="32" customFormat="false" ht="15" hidden="false" customHeight="false" outlineLevel="0" collapsed="false">
      <c r="A32" s="18" t="n">
        <v>28</v>
      </c>
      <c r="B32" s="20" t="s">
        <v>437</v>
      </c>
      <c r="C32" s="20" t="s">
        <v>60</v>
      </c>
      <c r="D32" s="20" t="s">
        <v>58</v>
      </c>
      <c r="E32" s="23" t="s">
        <v>58</v>
      </c>
      <c r="F32" s="20"/>
    </row>
    <row r="33" customFormat="false" ht="15" hidden="false" customHeight="false" outlineLevel="0" collapsed="false">
      <c r="A33" s="18" t="n">
        <v>29</v>
      </c>
      <c r="B33" s="20" t="s">
        <v>437</v>
      </c>
      <c r="C33" s="20" t="s">
        <v>77</v>
      </c>
      <c r="D33" s="20" t="s">
        <v>76</v>
      </c>
      <c r="E33" s="23" t="s">
        <v>76</v>
      </c>
      <c r="F33" s="20"/>
    </row>
    <row r="34" customFormat="false" ht="15" hidden="false" customHeight="false" outlineLevel="0" collapsed="false">
      <c r="A34" s="18" t="n">
        <v>30</v>
      </c>
      <c r="B34" s="20" t="s">
        <v>439</v>
      </c>
      <c r="C34" s="20" t="s">
        <v>440</v>
      </c>
      <c r="D34" s="20" t="s">
        <v>76</v>
      </c>
      <c r="E34" s="23" t="s">
        <v>76</v>
      </c>
      <c r="F34" s="20"/>
    </row>
    <row r="35" customFormat="false" ht="15" hidden="false" customHeight="false" outlineLevel="0" collapsed="false">
      <c r="A35" s="18" t="n">
        <v>31</v>
      </c>
      <c r="B35" s="20" t="s">
        <v>439</v>
      </c>
      <c r="C35" s="20" t="s">
        <v>441</v>
      </c>
      <c r="D35" s="20" t="s">
        <v>76</v>
      </c>
      <c r="E35" s="23" t="s">
        <v>76</v>
      </c>
      <c r="F35" s="20"/>
    </row>
    <row r="36" customFormat="false" ht="15" hidden="false" customHeight="false" outlineLevel="0" collapsed="false">
      <c r="A36" s="18" t="n">
        <v>32</v>
      </c>
      <c r="B36" s="20" t="s">
        <v>439</v>
      </c>
      <c r="C36" s="20" t="s">
        <v>442</v>
      </c>
      <c r="D36" s="20" t="s">
        <v>58</v>
      </c>
      <c r="E36" s="23" t="s">
        <v>58</v>
      </c>
      <c r="F36" s="20"/>
    </row>
    <row r="37" customFormat="false" ht="15" hidden="false" customHeight="false" outlineLevel="0" collapsed="false">
      <c r="A37" s="18" t="n">
        <v>33</v>
      </c>
      <c r="B37" s="20" t="s">
        <v>443</v>
      </c>
      <c r="C37" s="20" t="s">
        <v>444</v>
      </c>
      <c r="D37" s="20" t="s">
        <v>212</v>
      </c>
      <c r="E37" s="23" t="s">
        <v>212</v>
      </c>
      <c r="F37" s="20"/>
    </row>
    <row r="38" customFormat="false" ht="15" hidden="false" customHeight="false" outlineLevel="0" collapsed="false">
      <c r="A38" s="18" t="n">
        <v>34</v>
      </c>
      <c r="B38" s="20" t="s">
        <v>445</v>
      </c>
      <c r="C38" s="20" t="s">
        <v>231</v>
      </c>
      <c r="D38" s="20" t="s">
        <v>212</v>
      </c>
      <c r="E38" s="23" t="s">
        <v>212</v>
      </c>
      <c r="F38" s="20"/>
    </row>
    <row r="39" customFormat="false" ht="15" hidden="false" customHeight="false" outlineLevel="0" collapsed="false">
      <c r="A39" s="18" t="n">
        <v>35</v>
      </c>
      <c r="B39" s="20" t="s">
        <v>445</v>
      </c>
      <c r="C39" s="20" t="s">
        <v>244</v>
      </c>
      <c r="D39" s="20" t="s">
        <v>212</v>
      </c>
      <c r="E39" s="23" t="s">
        <v>212</v>
      </c>
      <c r="F39" s="20"/>
    </row>
    <row r="40" customFormat="false" ht="15" hidden="false" customHeight="false" outlineLevel="0" collapsed="false">
      <c r="A40" s="18" t="n">
        <v>36</v>
      </c>
      <c r="B40" s="20" t="s">
        <v>445</v>
      </c>
      <c r="C40" s="20" t="s">
        <v>244</v>
      </c>
      <c r="D40" s="20" t="s">
        <v>76</v>
      </c>
      <c r="E40" s="23" t="s">
        <v>76</v>
      </c>
      <c r="F40" s="20"/>
    </row>
    <row r="41" customFormat="false" ht="15" hidden="false" customHeight="false" outlineLevel="0" collapsed="false">
      <c r="A41" s="18" t="n">
        <v>37</v>
      </c>
      <c r="B41" s="20" t="s">
        <v>446</v>
      </c>
      <c r="C41" s="20" t="s">
        <v>364</v>
      </c>
      <c r="D41" s="20" t="s">
        <v>76</v>
      </c>
      <c r="E41" s="23" t="s">
        <v>76</v>
      </c>
      <c r="F41" s="20"/>
    </row>
    <row r="42" customFormat="false" ht="15" hidden="false" customHeight="false" outlineLevel="0" collapsed="false">
      <c r="A42" s="18" t="n">
        <v>38</v>
      </c>
      <c r="B42" s="20" t="s">
        <v>446</v>
      </c>
      <c r="C42" s="20" t="s">
        <v>364</v>
      </c>
      <c r="D42" s="20" t="s">
        <v>229</v>
      </c>
      <c r="E42" s="23" t="s">
        <v>229</v>
      </c>
      <c r="F42" s="20"/>
    </row>
    <row r="43" customFormat="false" ht="15" hidden="false" customHeight="false" outlineLevel="0" collapsed="false">
      <c r="A43" s="18" t="n">
        <v>39</v>
      </c>
      <c r="B43" s="20" t="s">
        <v>446</v>
      </c>
      <c r="C43" s="20" t="s">
        <v>364</v>
      </c>
      <c r="D43" s="20" t="s">
        <v>319</v>
      </c>
      <c r="E43" s="23" t="s">
        <v>319</v>
      </c>
      <c r="F43" s="20"/>
    </row>
    <row r="44" customFormat="false" ht="15" hidden="false" customHeight="false" outlineLevel="0" collapsed="false">
      <c r="A44" s="18" t="n">
        <v>40</v>
      </c>
      <c r="B44" s="20" t="s">
        <v>446</v>
      </c>
      <c r="C44" s="20" t="s">
        <v>267</v>
      </c>
      <c r="D44" s="20" t="s">
        <v>319</v>
      </c>
      <c r="E44" s="23" t="s">
        <v>319</v>
      </c>
      <c r="F44" s="20"/>
    </row>
    <row r="45" customFormat="false" ht="15" hidden="false" customHeight="false" outlineLevel="0" collapsed="false">
      <c r="A45" s="18" t="n">
        <v>41</v>
      </c>
      <c r="B45" s="20" t="s">
        <v>446</v>
      </c>
      <c r="C45" s="20" t="s">
        <v>267</v>
      </c>
      <c r="D45" s="20" t="s">
        <v>255</v>
      </c>
      <c r="E45" s="23" t="s">
        <v>255</v>
      </c>
      <c r="F45" s="20"/>
    </row>
    <row r="46" customFormat="false" ht="15" hidden="false" customHeight="false" outlineLevel="0" collapsed="false">
      <c r="A46" s="18" t="n">
        <v>42</v>
      </c>
      <c r="B46" s="20" t="s">
        <v>446</v>
      </c>
      <c r="C46" s="20" t="s">
        <v>367</v>
      </c>
      <c r="D46" s="20" t="s">
        <v>255</v>
      </c>
      <c r="E46" s="23" t="s">
        <v>255</v>
      </c>
      <c r="F46" s="20"/>
    </row>
    <row r="47" customFormat="false" ht="15" hidden="false" customHeight="false" outlineLevel="0" collapsed="false">
      <c r="A47" s="18" t="n">
        <v>43</v>
      </c>
      <c r="B47" s="20" t="s">
        <v>446</v>
      </c>
      <c r="C47" s="20" t="s">
        <v>376</v>
      </c>
      <c r="D47" s="20" t="s">
        <v>255</v>
      </c>
      <c r="E47" s="23" t="s">
        <v>255</v>
      </c>
      <c r="F47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24"/>
    <col collapsed="false" customWidth="true" hidden="false" outlineLevel="0" max="5" min="4" style="1" width="11"/>
    <col collapsed="false" customWidth="true" hidden="false" outlineLevel="0" max="6" min="6" style="1" width="10"/>
    <col collapsed="false" customWidth="true" hidden="false" outlineLevel="0" max="7" min="7" style="1" width="70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0" min="10" style="1" width="22"/>
    <col collapsed="false" customWidth="true" hidden="false" outlineLevel="0" max="11" min="11" style="1" width="12"/>
  </cols>
  <sheetData>
    <row r="1" customFormat="false" ht="15.75" hidden="false" customHeight="true" outlineLevel="0" collapsed="false">
      <c r="A1" s="15" t="s">
        <v>447</v>
      </c>
    </row>
    <row r="2" customFormat="false" ht="15" hidden="false" customHeight="true" outlineLevel="0" collapsed="false">
      <c r="A2" s="16" t="s">
        <v>448</v>
      </c>
    </row>
    <row r="4" customFormat="false" ht="42" hidden="false" customHeight="true" outlineLevel="0" collapsed="false">
      <c r="A4" s="17" t="s">
        <v>449</v>
      </c>
      <c r="B4" s="17" t="s">
        <v>46</v>
      </c>
      <c r="C4" s="17" t="s">
        <v>329</v>
      </c>
      <c r="D4" s="17" t="s">
        <v>48</v>
      </c>
      <c r="E4" s="17" t="s">
        <v>450</v>
      </c>
      <c r="F4" s="17" t="s">
        <v>451</v>
      </c>
      <c r="G4" s="17" t="s">
        <v>452</v>
      </c>
      <c r="H4" s="17" t="s">
        <v>50</v>
      </c>
      <c r="I4" s="17" t="s">
        <v>51</v>
      </c>
      <c r="J4" s="17" t="s">
        <v>52</v>
      </c>
      <c r="K4" s="17" t="s">
        <v>53</v>
      </c>
    </row>
    <row r="5" customFormat="false" ht="30" hidden="false" customHeight="true" outlineLevel="0" collapsed="false">
      <c r="A5" s="23" t="s">
        <v>82</v>
      </c>
      <c r="B5" s="24" t="s">
        <v>67</v>
      </c>
      <c r="C5" s="20" t="s">
        <v>77</v>
      </c>
      <c r="D5" s="18" t="n">
        <v>0</v>
      </c>
      <c r="E5" s="18" t="n">
        <f aca="false">COUNTIF('Belum Plotting'!$M$5:$M$40,A5)</f>
        <v>4</v>
      </c>
      <c r="F5" s="32" t="n">
        <f aca="false">D5+E5</f>
        <v>4</v>
      </c>
      <c r="G5" s="20" t="s">
        <v>453</v>
      </c>
      <c r="H5" s="20" t="s">
        <v>68</v>
      </c>
      <c r="I5" s="19" t="s">
        <v>69</v>
      </c>
      <c r="J5" s="19" t="s">
        <v>83</v>
      </c>
      <c r="K5" s="18" t="s">
        <v>71</v>
      </c>
    </row>
    <row r="6" customFormat="false" ht="30" hidden="false" customHeight="true" outlineLevel="0" collapsed="false">
      <c r="A6" s="23" t="s">
        <v>114</v>
      </c>
      <c r="B6" s="24" t="s">
        <v>67</v>
      </c>
      <c r="C6" s="20" t="s">
        <v>454</v>
      </c>
      <c r="D6" s="18" t="n">
        <v>0</v>
      </c>
      <c r="E6" s="18" t="n">
        <f aca="false">COUNTIF('Belum Plotting'!$M$5:$M$40,A6)</f>
        <v>4</v>
      </c>
      <c r="F6" s="32" t="n">
        <f aca="false">D6+E6</f>
        <v>4</v>
      </c>
      <c r="G6" s="20" t="s">
        <v>455</v>
      </c>
      <c r="H6" s="20" t="s">
        <v>68</v>
      </c>
      <c r="I6" s="19" t="s">
        <v>69</v>
      </c>
      <c r="J6" s="19" t="s">
        <v>115</v>
      </c>
      <c r="K6" s="18" t="s">
        <v>71</v>
      </c>
    </row>
    <row r="7" customFormat="false" ht="30" hidden="false" customHeight="true" outlineLevel="0" collapsed="false">
      <c r="A7" s="23" t="s">
        <v>144</v>
      </c>
      <c r="B7" s="24" t="s">
        <v>67</v>
      </c>
      <c r="C7" s="20" t="s">
        <v>456</v>
      </c>
      <c r="D7" s="18" t="n">
        <v>0</v>
      </c>
      <c r="E7" s="18" t="n">
        <f aca="false">COUNTIF('Belum Plotting'!$M$5:$M$40,A7)</f>
        <v>4</v>
      </c>
      <c r="F7" s="32" t="n">
        <f aca="false">D7+E7</f>
        <v>4</v>
      </c>
      <c r="G7" s="20" t="s">
        <v>457</v>
      </c>
      <c r="H7" s="20" t="s">
        <v>68</v>
      </c>
      <c r="I7" s="19" t="s">
        <v>69</v>
      </c>
      <c r="J7" s="20" t="s">
        <v>70</v>
      </c>
      <c r="K7" s="18" t="s">
        <v>71</v>
      </c>
    </row>
    <row r="8" customFormat="false" ht="30" hidden="false" customHeight="true" outlineLevel="0" collapsed="false">
      <c r="A8" s="23" t="s">
        <v>174</v>
      </c>
      <c r="B8" s="26" t="s">
        <v>175</v>
      </c>
      <c r="C8" s="20" t="s">
        <v>141</v>
      </c>
      <c r="D8" s="18" t="n">
        <v>0</v>
      </c>
      <c r="E8" s="18" t="n">
        <f aca="false">COUNTIF('Belum Plotting'!$M$5:$M$40,A8)</f>
        <v>4</v>
      </c>
      <c r="F8" s="32" t="n">
        <f aca="false">D8+E8</f>
        <v>4</v>
      </c>
      <c r="G8" s="20" t="s">
        <v>458</v>
      </c>
      <c r="H8" s="20" t="s">
        <v>68</v>
      </c>
      <c r="I8" s="20" t="s">
        <v>176</v>
      </c>
      <c r="J8" s="20" t="s">
        <v>70</v>
      </c>
      <c r="K8" s="18" t="s">
        <v>71</v>
      </c>
    </row>
    <row r="9" customFormat="false" ht="30" hidden="false" customHeight="true" outlineLevel="0" collapsed="false">
      <c r="A9" s="23" t="s">
        <v>99</v>
      </c>
      <c r="B9" s="24" t="s">
        <v>67</v>
      </c>
      <c r="C9" s="20" t="s">
        <v>77</v>
      </c>
      <c r="D9" s="18" t="n">
        <v>0</v>
      </c>
      <c r="E9" s="18" t="n">
        <f aca="false">COUNTIF('Belum Plotting'!$M$5:$M$40,A9)</f>
        <v>4</v>
      </c>
      <c r="F9" s="32" t="n">
        <f aca="false">D9+E9</f>
        <v>4</v>
      </c>
      <c r="G9" s="20" t="s">
        <v>459</v>
      </c>
      <c r="H9" s="20" t="s">
        <v>68</v>
      </c>
      <c r="I9" s="19" t="s">
        <v>69</v>
      </c>
      <c r="J9" s="20" t="s">
        <v>70</v>
      </c>
      <c r="K9" s="18" t="s">
        <v>71</v>
      </c>
    </row>
    <row r="10" customFormat="false" ht="30" hidden="false" customHeight="true" outlineLevel="0" collapsed="false">
      <c r="A10" s="23" t="s">
        <v>247</v>
      </c>
      <c r="B10" s="26" t="s">
        <v>175</v>
      </c>
      <c r="C10" s="20" t="s">
        <v>460</v>
      </c>
      <c r="D10" s="18" t="n">
        <v>1</v>
      </c>
      <c r="E10" s="18" t="n">
        <f aca="false">COUNTIF('Belum Plotting'!$M$5:$M$40,A10)</f>
        <v>2</v>
      </c>
      <c r="F10" s="32" t="n">
        <f aca="false">D10+E10</f>
        <v>3</v>
      </c>
      <c r="G10" s="20" t="s">
        <v>461</v>
      </c>
      <c r="H10" s="20" t="s">
        <v>68</v>
      </c>
      <c r="I10" s="19" t="s">
        <v>69</v>
      </c>
      <c r="J10" s="20" t="s">
        <v>70</v>
      </c>
      <c r="K10" s="18" t="s">
        <v>71</v>
      </c>
    </row>
    <row r="11" customFormat="false" ht="30" hidden="false" customHeight="true" outlineLevel="0" collapsed="false">
      <c r="A11" s="23" t="s">
        <v>257</v>
      </c>
      <c r="B11" s="26" t="s">
        <v>175</v>
      </c>
      <c r="C11" s="20" t="s">
        <v>462</v>
      </c>
      <c r="D11" s="18" t="n">
        <v>1</v>
      </c>
      <c r="E11" s="18" t="n">
        <f aca="false">COUNTIF('Belum Plotting'!$M$5:$M$40,A11)</f>
        <v>2</v>
      </c>
      <c r="F11" s="32" t="n">
        <f aca="false">D11+E11</f>
        <v>3</v>
      </c>
      <c r="G11" s="20" t="s">
        <v>463</v>
      </c>
      <c r="H11" s="20" t="s">
        <v>68</v>
      </c>
      <c r="I11" s="19" t="s">
        <v>69</v>
      </c>
      <c r="J11" s="20" t="s">
        <v>70</v>
      </c>
      <c r="K11" s="18" t="s">
        <v>71</v>
      </c>
    </row>
    <row r="12" customFormat="false" ht="30" hidden="false" customHeight="true" outlineLevel="0" collapsed="false">
      <c r="A12" s="23" t="s">
        <v>66</v>
      </c>
      <c r="B12" s="24" t="s">
        <v>67</v>
      </c>
      <c r="C12" s="20" t="s">
        <v>454</v>
      </c>
      <c r="D12" s="18" t="n">
        <v>0</v>
      </c>
      <c r="E12" s="18" t="n">
        <f aca="false">COUNTIF('Belum Plotting'!$M$5:$M$40,A12)</f>
        <v>2</v>
      </c>
      <c r="F12" s="32" t="n">
        <f aca="false">D12+E12</f>
        <v>2</v>
      </c>
      <c r="G12" s="20" t="s">
        <v>464</v>
      </c>
      <c r="H12" s="20" t="s">
        <v>68</v>
      </c>
      <c r="I12" s="19" t="s">
        <v>69</v>
      </c>
      <c r="J12" s="20" t="s">
        <v>70</v>
      </c>
      <c r="K12" s="18" t="s">
        <v>71</v>
      </c>
    </row>
    <row r="13" customFormat="false" ht="30" hidden="false" customHeight="true" outlineLevel="0" collapsed="false">
      <c r="A13" s="23" t="s">
        <v>277</v>
      </c>
      <c r="B13" s="26" t="s">
        <v>175</v>
      </c>
      <c r="C13" s="20" t="s">
        <v>402</v>
      </c>
      <c r="D13" s="18" t="n">
        <v>2</v>
      </c>
      <c r="E13" s="18" t="n">
        <f aca="false">COUNTIF('Belum Plotting'!$M$5:$M$40,A13)</f>
        <v>1</v>
      </c>
      <c r="F13" s="32" t="n">
        <f aca="false">D13+E13</f>
        <v>3</v>
      </c>
      <c r="G13" s="20" t="s">
        <v>465</v>
      </c>
      <c r="H13" s="20" t="s">
        <v>68</v>
      </c>
      <c r="I13" s="19" t="s">
        <v>69</v>
      </c>
      <c r="J13" s="20" t="s">
        <v>70</v>
      </c>
      <c r="K13" s="18" t="s">
        <v>71</v>
      </c>
    </row>
    <row r="14" customFormat="false" ht="30" hidden="false" customHeight="true" outlineLevel="0" collapsed="false">
      <c r="A14" s="23" t="s">
        <v>271</v>
      </c>
      <c r="B14" s="26" t="s">
        <v>175</v>
      </c>
      <c r="C14" s="20" t="s">
        <v>367</v>
      </c>
      <c r="D14" s="18" t="n">
        <v>2</v>
      </c>
      <c r="E14" s="18" t="n">
        <f aca="false">COUNTIF('Belum Plotting'!$M$5:$M$40,A14)</f>
        <v>1</v>
      </c>
      <c r="F14" s="32" t="n">
        <f aca="false">D14+E14</f>
        <v>3</v>
      </c>
      <c r="G14" s="20" t="s">
        <v>466</v>
      </c>
      <c r="H14" s="20" t="s">
        <v>68</v>
      </c>
      <c r="I14" s="20" t="s">
        <v>176</v>
      </c>
      <c r="J14" s="20" t="s">
        <v>70</v>
      </c>
      <c r="K14" s="18" t="s">
        <v>71</v>
      </c>
    </row>
    <row r="15" customFormat="false" ht="30" hidden="false" customHeight="true" outlineLevel="0" collapsed="false">
      <c r="A15" s="23" t="s">
        <v>234</v>
      </c>
      <c r="B15" s="26" t="s">
        <v>175</v>
      </c>
      <c r="C15" s="20" t="s">
        <v>467</v>
      </c>
      <c r="D15" s="18" t="n">
        <v>2</v>
      </c>
      <c r="E15" s="18" t="n">
        <f aca="false">COUNTIF('Belum Plotting'!$M$5:$M$40,A15)</f>
        <v>1</v>
      </c>
      <c r="F15" s="32" t="n">
        <f aca="false">D15+E15</f>
        <v>3</v>
      </c>
      <c r="G15" s="20" t="s">
        <v>468</v>
      </c>
      <c r="H15" s="20" t="s">
        <v>68</v>
      </c>
      <c r="I15" s="19" t="s">
        <v>69</v>
      </c>
      <c r="J15" s="20" t="s">
        <v>70</v>
      </c>
      <c r="K15" s="18" t="s">
        <v>71</v>
      </c>
    </row>
    <row r="16" customFormat="false" ht="30" hidden="false" customHeight="true" outlineLevel="0" collapsed="false">
      <c r="A16" s="23" t="s">
        <v>225</v>
      </c>
      <c r="B16" s="26" t="s">
        <v>175</v>
      </c>
      <c r="C16" s="20" t="s">
        <v>340</v>
      </c>
      <c r="D16" s="18" t="n">
        <v>2</v>
      </c>
      <c r="E16" s="18" t="n">
        <f aca="false">COUNTIF('Belum Plotting'!$M$5:$M$40,A16)</f>
        <v>1</v>
      </c>
      <c r="F16" s="32" t="n">
        <f aca="false">D16+E16</f>
        <v>3</v>
      </c>
      <c r="G16" s="20" t="s">
        <v>469</v>
      </c>
      <c r="H16" s="20" t="s">
        <v>68</v>
      </c>
      <c r="I16" s="20" t="s">
        <v>176</v>
      </c>
      <c r="J16" s="20" t="s">
        <v>70</v>
      </c>
      <c r="K16" s="18" t="s">
        <v>71</v>
      </c>
    </row>
    <row r="17" customFormat="false" ht="30" hidden="false" customHeight="true" outlineLevel="0" collapsed="false">
      <c r="A17" s="23" t="s">
        <v>197</v>
      </c>
      <c r="B17" s="26" t="s">
        <v>175</v>
      </c>
      <c r="C17" s="20" t="s">
        <v>310</v>
      </c>
      <c r="D17" s="18" t="n">
        <v>2</v>
      </c>
      <c r="E17" s="18" t="n">
        <f aca="false">COUNTIF('Belum Plotting'!$M$5:$M$40,A17)</f>
        <v>1</v>
      </c>
      <c r="F17" s="32" t="n">
        <f aca="false">D17+E17</f>
        <v>3</v>
      </c>
      <c r="G17" s="20" t="s">
        <v>470</v>
      </c>
      <c r="H17" s="20" t="s">
        <v>68</v>
      </c>
      <c r="I17" s="20" t="s">
        <v>176</v>
      </c>
      <c r="J17" s="20" t="s">
        <v>70</v>
      </c>
      <c r="K17" s="18" t="s">
        <v>71</v>
      </c>
    </row>
    <row r="18" customFormat="false" ht="30" hidden="false" customHeight="true" outlineLevel="0" collapsed="false">
      <c r="A18" s="23" t="s">
        <v>202</v>
      </c>
      <c r="B18" s="26" t="s">
        <v>175</v>
      </c>
      <c r="C18" s="20" t="s">
        <v>471</v>
      </c>
      <c r="D18" s="18" t="n">
        <v>1</v>
      </c>
      <c r="E18" s="18" t="n">
        <f aca="false">COUNTIF('Belum Plotting'!$M$5:$M$40,A18)</f>
        <v>1</v>
      </c>
      <c r="F18" s="32" t="n">
        <f aca="false">D18+E18</f>
        <v>2</v>
      </c>
      <c r="G18" s="20" t="s">
        <v>472</v>
      </c>
      <c r="H18" s="20" t="s">
        <v>68</v>
      </c>
      <c r="I18" s="20" t="s">
        <v>176</v>
      </c>
      <c r="J18" s="20" t="s">
        <v>70</v>
      </c>
      <c r="K18" s="18" t="s">
        <v>71</v>
      </c>
    </row>
    <row r="19" customFormat="false" ht="30" hidden="false" customHeight="true" outlineLevel="0" collapsed="false">
      <c r="A19" s="23" t="s">
        <v>106</v>
      </c>
      <c r="B19" s="24" t="s">
        <v>67</v>
      </c>
      <c r="C19" s="20" t="s">
        <v>454</v>
      </c>
      <c r="D19" s="18" t="n">
        <v>0</v>
      </c>
      <c r="E19" s="18" t="n">
        <f aca="false">COUNTIF('Belum Plotting'!$M$5:$M$40,A19)</f>
        <v>1</v>
      </c>
      <c r="F19" s="32" t="n">
        <f aca="false">D19+E19</f>
        <v>1</v>
      </c>
      <c r="G19" s="20" t="s">
        <v>473</v>
      </c>
      <c r="H19" s="20" t="s">
        <v>68</v>
      </c>
      <c r="I19" s="19" t="s">
        <v>69</v>
      </c>
      <c r="J19" s="20" t="s">
        <v>70</v>
      </c>
      <c r="K19" s="18" t="s">
        <v>71</v>
      </c>
    </row>
    <row r="20" customFormat="false" ht="30" hidden="false" customHeight="true" outlineLevel="0" collapsed="false">
      <c r="A20" s="23" t="s">
        <v>208</v>
      </c>
      <c r="B20" s="26" t="s">
        <v>175</v>
      </c>
      <c r="C20" s="20" t="s">
        <v>349</v>
      </c>
      <c r="D20" s="18" t="n">
        <v>1</v>
      </c>
      <c r="E20" s="18" t="n">
        <f aca="false">COUNTIF('Belum Plotting'!$M$5:$M$40,A20)</f>
        <v>1</v>
      </c>
      <c r="F20" s="32" t="n">
        <f aca="false">D20+E20</f>
        <v>2</v>
      </c>
      <c r="G20" s="20" t="s">
        <v>474</v>
      </c>
      <c r="H20" s="20" t="s">
        <v>68</v>
      </c>
      <c r="I20" s="19" t="s">
        <v>69</v>
      </c>
      <c r="J20" s="20" t="s">
        <v>70</v>
      </c>
      <c r="K20" s="18" t="s">
        <v>71</v>
      </c>
    </row>
    <row r="21" customFormat="false" ht="30" hidden="false" customHeight="true" outlineLevel="0" collapsed="false">
      <c r="A21" s="23" t="s">
        <v>240</v>
      </c>
      <c r="B21" s="26" t="s">
        <v>175</v>
      </c>
      <c r="C21" s="20" t="s">
        <v>467</v>
      </c>
      <c r="D21" s="18" t="n">
        <v>2</v>
      </c>
      <c r="E21" s="18" t="n">
        <f aca="false">COUNTIF('Belum Plotting'!$M$5:$M$40,A21)</f>
        <v>1</v>
      </c>
      <c r="F21" s="32" t="n">
        <f aca="false">D21+E21</f>
        <v>3</v>
      </c>
      <c r="G21" s="20" t="s">
        <v>475</v>
      </c>
      <c r="H21" s="20" t="s">
        <v>68</v>
      </c>
      <c r="I21" s="20" t="s">
        <v>176</v>
      </c>
      <c r="J21" s="20" t="s">
        <v>70</v>
      </c>
      <c r="K21" s="18" t="s">
        <v>71</v>
      </c>
    </row>
    <row r="22" customFormat="false" ht="30" hidden="false" customHeight="true" outlineLevel="0" collapsed="false">
      <c r="A22" s="23" t="s">
        <v>217</v>
      </c>
      <c r="B22" s="26" t="s">
        <v>175</v>
      </c>
      <c r="C22" s="20" t="s">
        <v>407</v>
      </c>
      <c r="D22" s="18" t="n">
        <v>2</v>
      </c>
      <c r="E22" s="18" t="n">
        <f aca="false">COUNTIF('Belum Plotting'!$M$5:$M$40,A22)</f>
        <v>1</v>
      </c>
      <c r="F22" s="32" t="n">
        <f aca="false">D22+E22</f>
        <v>3</v>
      </c>
      <c r="G22" s="20" t="s">
        <v>476</v>
      </c>
      <c r="H22" s="20" t="s">
        <v>68</v>
      </c>
      <c r="I22" s="20" t="s">
        <v>176</v>
      </c>
      <c r="J22" s="20" t="s">
        <v>70</v>
      </c>
      <c r="K22" s="18" t="s">
        <v>71</v>
      </c>
    </row>
    <row r="23" customFormat="false" ht="15" hidden="false" customHeight="true" outlineLevel="0" collapsed="false">
      <c r="A23" s="23" t="s">
        <v>477</v>
      </c>
      <c r="E23" s="32" t="n">
        <f aca="false">SUM(E5:E22)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7"/>
    <col collapsed="false" customWidth="true" hidden="false" outlineLevel="0" max="3" min="3" style="1" width="30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70"/>
  </cols>
  <sheetData>
    <row r="1" customFormat="false" ht="15.75" hidden="false" customHeight="true" outlineLevel="0" collapsed="false">
      <c r="A1" s="15" t="s">
        <v>478</v>
      </c>
    </row>
    <row r="2" customFormat="false" ht="15" hidden="false" customHeight="true" outlineLevel="0" collapsed="false">
      <c r="A2" s="16" t="s">
        <v>479</v>
      </c>
    </row>
    <row r="4" customFormat="false" ht="42" hidden="false" customHeight="true" outlineLevel="0" collapsed="false">
      <c r="A4" s="17" t="s">
        <v>480</v>
      </c>
      <c r="B4" s="17" t="s">
        <v>328</v>
      </c>
      <c r="C4" s="17" t="s">
        <v>481</v>
      </c>
      <c r="D4" s="17" t="s">
        <v>482</v>
      </c>
      <c r="E4" s="17" t="s">
        <v>483</v>
      </c>
      <c r="F4" s="17" t="s">
        <v>37</v>
      </c>
      <c r="G4" s="17" t="s">
        <v>484</v>
      </c>
      <c r="H4" s="17" t="s">
        <v>51</v>
      </c>
      <c r="I4" s="17" t="s">
        <v>485</v>
      </c>
    </row>
    <row r="5" customFormat="false" ht="27.75" hidden="false" customHeight="true" outlineLevel="0" collapsed="false">
      <c r="A5" s="31" t="s">
        <v>486</v>
      </c>
      <c r="B5" s="18" t="n">
        <v>450</v>
      </c>
      <c r="C5" s="20" t="s">
        <v>487</v>
      </c>
      <c r="D5" s="20" t="s">
        <v>393</v>
      </c>
      <c r="E5" s="18" t="s">
        <v>393</v>
      </c>
      <c r="F5" s="20" t="s">
        <v>364</v>
      </c>
      <c r="G5" s="18" t="n">
        <v>5</v>
      </c>
      <c r="H5" s="20" t="s">
        <v>71</v>
      </c>
      <c r="I5" s="20" t="s">
        <v>488</v>
      </c>
    </row>
    <row r="6" customFormat="false" ht="27.75" hidden="false" customHeight="true" outlineLevel="0" collapsed="false">
      <c r="A6" s="31" t="s">
        <v>486</v>
      </c>
      <c r="B6" s="18" t="n">
        <v>158</v>
      </c>
      <c r="C6" s="20" t="s">
        <v>489</v>
      </c>
      <c r="D6" s="20" t="s">
        <v>393</v>
      </c>
      <c r="E6" s="18" t="s">
        <v>393</v>
      </c>
      <c r="F6" s="20" t="s">
        <v>400</v>
      </c>
      <c r="G6" s="18" t="n">
        <v>2</v>
      </c>
      <c r="H6" s="20" t="s">
        <v>71</v>
      </c>
      <c r="I6" s="20" t="s">
        <v>490</v>
      </c>
    </row>
    <row r="7" customFormat="false" ht="27.75" hidden="false" customHeight="true" outlineLevel="0" collapsed="false">
      <c r="A7" s="31" t="s">
        <v>486</v>
      </c>
      <c r="B7" s="18" t="n">
        <v>102</v>
      </c>
      <c r="C7" s="20" t="s">
        <v>491</v>
      </c>
      <c r="D7" s="20" t="s">
        <v>393</v>
      </c>
      <c r="E7" s="18" t="s">
        <v>393</v>
      </c>
      <c r="F7" s="20" t="s">
        <v>397</v>
      </c>
      <c r="G7" s="18" t="n">
        <v>2</v>
      </c>
      <c r="H7" s="20" t="s">
        <v>394</v>
      </c>
      <c r="I7" s="20" t="s">
        <v>490</v>
      </c>
    </row>
    <row r="8" customFormat="false" ht="27.75" hidden="false" customHeight="true" outlineLevel="0" collapsed="false">
      <c r="A8" s="31" t="s">
        <v>486</v>
      </c>
      <c r="B8" s="18" t="n">
        <v>60</v>
      </c>
      <c r="C8" s="20" t="s">
        <v>492</v>
      </c>
      <c r="D8" s="20" t="s">
        <v>393</v>
      </c>
      <c r="E8" s="18" t="s">
        <v>393</v>
      </c>
      <c r="F8" s="20" t="s">
        <v>141</v>
      </c>
      <c r="G8" s="18" t="n">
        <v>1</v>
      </c>
      <c r="H8" s="20" t="s">
        <v>493</v>
      </c>
      <c r="I8" s="20" t="s">
        <v>494</v>
      </c>
    </row>
    <row r="9" customFormat="false" ht="27.75" hidden="false" customHeight="true" outlineLevel="0" collapsed="false">
      <c r="A9" s="31" t="s">
        <v>495</v>
      </c>
      <c r="B9" s="18" t="n">
        <v>419</v>
      </c>
      <c r="C9" s="20" t="s">
        <v>496</v>
      </c>
      <c r="D9" s="20" t="s">
        <v>393</v>
      </c>
      <c r="E9" s="18" t="s">
        <v>393</v>
      </c>
      <c r="F9" s="20" t="s">
        <v>364</v>
      </c>
      <c r="G9" s="18" t="n">
        <v>0</v>
      </c>
      <c r="H9" s="20" t="s">
        <v>71</v>
      </c>
      <c r="I9" s="20" t="s">
        <v>497</v>
      </c>
    </row>
    <row r="10" customFormat="false" ht="27.75" hidden="false" customHeight="true" outlineLevel="0" collapsed="false">
      <c r="A10" s="31" t="s">
        <v>495</v>
      </c>
      <c r="B10" s="18" t="n">
        <v>160</v>
      </c>
      <c r="C10" s="20" t="s">
        <v>498</v>
      </c>
      <c r="D10" s="20" t="s">
        <v>393</v>
      </c>
      <c r="E10" s="18" t="s">
        <v>393</v>
      </c>
      <c r="F10" s="20" t="s">
        <v>358</v>
      </c>
      <c r="G10" s="18" t="n">
        <v>0</v>
      </c>
      <c r="H10" s="20" t="s">
        <v>71</v>
      </c>
      <c r="I10" s="20" t="s">
        <v>497</v>
      </c>
    </row>
    <row r="11" customFormat="false" ht="27.75" hidden="false" customHeight="true" outlineLevel="0" collapsed="false">
      <c r="A11" s="31" t="s">
        <v>495</v>
      </c>
      <c r="B11" s="18" t="n">
        <v>112</v>
      </c>
      <c r="C11" s="20" t="s">
        <v>499</v>
      </c>
      <c r="D11" s="20" t="s">
        <v>393</v>
      </c>
      <c r="E11" s="18" t="s">
        <v>393</v>
      </c>
      <c r="F11" s="20" t="s">
        <v>194</v>
      </c>
      <c r="G11" s="18" t="n">
        <v>0</v>
      </c>
      <c r="H11" s="20" t="s">
        <v>71</v>
      </c>
      <c r="I11" s="20" t="s">
        <v>497</v>
      </c>
    </row>
    <row r="12" customFormat="false" ht="27.75" hidden="false" customHeight="true" outlineLevel="0" collapsed="false">
      <c r="A12" s="31" t="s">
        <v>495</v>
      </c>
      <c r="B12" s="18" t="n">
        <v>355</v>
      </c>
      <c r="C12" s="20" t="s">
        <v>500</v>
      </c>
      <c r="D12" s="20" t="s">
        <v>393</v>
      </c>
      <c r="E12" s="18" t="s">
        <v>393</v>
      </c>
      <c r="F12" s="20" t="s">
        <v>444</v>
      </c>
      <c r="G12" s="18" t="n">
        <v>0</v>
      </c>
      <c r="H12" s="20" t="s">
        <v>71</v>
      </c>
      <c r="I12" s="20" t="s">
        <v>497</v>
      </c>
    </row>
    <row r="13" customFormat="false" ht="27.75" hidden="false" customHeight="true" outlineLevel="0" collapsed="false">
      <c r="A13" s="31" t="s">
        <v>501</v>
      </c>
      <c r="B13" s="18" t="n">
        <v>234</v>
      </c>
      <c r="C13" s="20" t="s">
        <v>307</v>
      </c>
      <c r="D13" s="20" t="s">
        <v>327</v>
      </c>
      <c r="E13" s="18" t="s">
        <v>393</v>
      </c>
      <c r="F13" s="20" t="s">
        <v>343</v>
      </c>
      <c r="G13" s="18" t="n">
        <v>0</v>
      </c>
      <c r="H13" s="20" t="s">
        <v>71</v>
      </c>
      <c r="I13" s="20" t="s">
        <v>502</v>
      </c>
    </row>
    <row r="14" customFormat="false" ht="27.75" hidden="false" customHeight="true" outlineLevel="0" collapsed="false">
      <c r="A14" s="31" t="s">
        <v>501</v>
      </c>
      <c r="B14" s="18" t="n">
        <v>242</v>
      </c>
      <c r="C14" s="20" t="s">
        <v>339</v>
      </c>
      <c r="D14" s="20" t="s">
        <v>327</v>
      </c>
      <c r="E14" s="18" t="s">
        <v>393</v>
      </c>
      <c r="F14" s="20" t="s">
        <v>340</v>
      </c>
      <c r="G14" s="18" t="n">
        <v>0</v>
      </c>
      <c r="H14" s="20" t="s">
        <v>394</v>
      </c>
      <c r="I14" s="20" t="s">
        <v>503</v>
      </c>
    </row>
    <row r="15" customFormat="false" ht="27.75" hidden="false" customHeight="true" outlineLevel="0" collapsed="false">
      <c r="A15" s="31" t="s">
        <v>501</v>
      </c>
      <c r="B15" s="18" t="n">
        <v>431</v>
      </c>
      <c r="C15" s="20" t="s">
        <v>302</v>
      </c>
      <c r="D15" s="20" t="s">
        <v>327</v>
      </c>
      <c r="E15" s="18" t="s">
        <v>393</v>
      </c>
      <c r="F15" s="20" t="s">
        <v>376</v>
      </c>
      <c r="G15" s="18" t="n">
        <v>0</v>
      </c>
      <c r="H15" s="20" t="s">
        <v>394</v>
      </c>
      <c r="I15" s="20" t="s">
        <v>504</v>
      </c>
    </row>
    <row r="16" customFormat="false" ht="27.75" hidden="false" customHeight="true" outlineLevel="0" collapsed="false">
      <c r="A16" s="19" t="s">
        <v>505</v>
      </c>
      <c r="B16" s="18" t="n">
        <v>415</v>
      </c>
      <c r="C16" s="20" t="s">
        <v>363</v>
      </c>
      <c r="D16" s="20" t="s">
        <v>327</v>
      </c>
      <c r="E16" s="18" t="s">
        <v>327</v>
      </c>
      <c r="F16" s="20" t="s">
        <v>364</v>
      </c>
      <c r="G16" s="18" t="n">
        <v>0</v>
      </c>
      <c r="H16" s="20" t="s">
        <v>394</v>
      </c>
      <c r="I16" s="20" t="s">
        <v>506</v>
      </c>
    </row>
    <row r="17" customFormat="false" ht="27.75" hidden="false" customHeight="true" outlineLevel="0" collapsed="false">
      <c r="A17" s="19" t="s">
        <v>505</v>
      </c>
      <c r="B17" s="18" t="n">
        <v>204</v>
      </c>
      <c r="C17" s="20" t="s">
        <v>384</v>
      </c>
      <c r="D17" s="20" t="s">
        <v>327</v>
      </c>
      <c r="E17" s="18" t="s">
        <v>327</v>
      </c>
      <c r="F17" s="20" t="s">
        <v>340</v>
      </c>
      <c r="G17" s="18" t="n">
        <v>0</v>
      </c>
      <c r="H17" s="20" t="s">
        <v>394</v>
      </c>
      <c r="I17" s="20" t="s">
        <v>507</v>
      </c>
    </row>
    <row r="18" customFormat="false" ht="27.75" hidden="false" customHeight="true" outlineLevel="0" collapsed="false">
      <c r="A18" s="19" t="s">
        <v>505</v>
      </c>
      <c r="B18" s="18" t="n">
        <v>163</v>
      </c>
      <c r="C18" s="20" t="s">
        <v>357</v>
      </c>
      <c r="D18" s="20" t="s">
        <v>327</v>
      </c>
      <c r="E18" s="18" t="s">
        <v>327</v>
      </c>
      <c r="F18" s="20" t="s">
        <v>358</v>
      </c>
      <c r="G18" s="18" t="n">
        <v>0</v>
      </c>
      <c r="H18" s="20" t="s">
        <v>394</v>
      </c>
      <c r="I18" s="20" t="s">
        <v>507</v>
      </c>
    </row>
    <row r="19" customFormat="false" ht="27.75" hidden="false" customHeight="true" outlineLevel="0" collapsed="false">
      <c r="A19" s="19" t="s">
        <v>505</v>
      </c>
      <c r="B19" s="18" t="n">
        <v>449</v>
      </c>
      <c r="C19" s="20" t="s">
        <v>369</v>
      </c>
      <c r="D19" s="20" t="s">
        <v>327</v>
      </c>
      <c r="E19" s="18" t="s">
        <v>327</v>
      </c>
      <c r="F19" s="20" t="s">
        <v>364</v>
      </c>
      <c r="G19" s="18" t="n">
        <v>0</v>
      </c>
      <c r="H19" s="20" t="s">
        <v>394</v>
      </c>
      <c r="I19" s="20" t="s">
        <v>507</v>
      </c>
    </row>
    <row r="20" customFormat="false" ht="27.75" hidden="false" customHeight="true" outlineLevel="0" collapsed="false">
      <c r="A20" s="31" t="s">
        <v>508</v>
      </c>
      <c r="B20" s="18" t="n">
        <v>243</v>
      </c>
      <c r="C20" s="20" t="s">
        <v>509</v>
      </c>
      <c r="D20" s="20" t="s">
        <v>510</v>
      </c>
      <c r="E20" s="18" t="s">
        <v>393</v>
      </c>
      <c r="F20" s="20" t="s">
        <v>438</v>
      </c>
      <c r="G20" s="18" t="n">
        <v>0</v>
      </c>
      <c r="H20" s="20" t="s">
        <v>71</v>
      </c>
      <c r="I20" s="20" t="s">
        <v>511</v>
      </c>
    </row>
    <row r="21" customFormat="false" ht="27.75" hidden="false" customHeight="true" outlineLevel="0" collapsed="false">
      <c r="A21" s="31" t="s">
        <v>508</v>
      </c>
      <c r="B21" s="18" t="n">
        <v>245</v>
      </c>
      <c r="C21" s="20" t="s">
        <v>512</v>
      </c>
      <c r="D21" s="20" t="s">
        <v>510</v>
      </c>
      <c r="E21" s="18" t="s">
        <v>393</v>
      </c>
      <c r="F21" s="20" t="s">
        <v>60</v>
      </c>
      <c r="G21" s="18" t="n">
        <v>0</v>
      </c>
      <c r="H21" s="20" t="s">
        <v>71</v>
      </c>
      <c r="I21" s="20" t="s">
        <v>511</v>
      </c>
    </row>
    <row r="22" customFormat="false" ht="27.75" hidden="false" customHeight="true" outlineLevel="0" collapsed="false">
      <c r="A22" s="31" t="s">
        <v>508</v>
      </c>
      <c r="B22" s="18" t="n">
        <v>385</v>
      </c>
      <c r="C22" s="20" t="s">
        <v>513</v>
      </c>
      <c r="D22" s="20" t="s">
        <v>510</v>
      </c>
      <c r="E22" s="18" t="s">
        <v>393</v>
      </c>
      <c r="F22" s="20" t="s">
        <v>514</v>
      </c>
      <c r="G22" s="18" t="n">
        <v>0</v>
      </c>
      <c r="H22" s="20" t="s">
        <v>71</v>
      </c>
      <c r="I22" s="20" t="s">
        <v>511</v>
      </c>
    </row>
    <row r="23" customFormat="false" ht="27.75" hidden="false" customHeight="true" outlineLevel="0" collapsed="false">
      <c r="A23" s="31" t="s">
        <v>508</v>
      </c>
      <c r="B23" s="18" t="n">
        <v>386</v>
      </c>
      <c r="C23" s="20" t="s">
        <v>515</v>
      </c>
      <c r="D23" s="20" t="s">
        <v>510</v>
      </c>
      <c r="E23" s="18" t="s">
        <v>393</v>
      </c>
      <c r="F23" s="20" t="s">
        <v>516</v>
      </c>
      <c r="G23" s="18" t="n">
        <v>0</v>
      </c>
      <c r="H23" s="20" t="s">
        <v>71</v>
      </c>
      <c r="I23" s="20" t="s">
        <v>511</v>
      </c>
    </row>
    <row r="24" customFormat="false" ht="27.75" hidden="false" customHeight="true" outlineLevel="0" collapsed="false">
      <c r="A24" s="31" t="s">
        <v>508</v>
      </c>
      <c r="B24" s="18" t="n">
        <v>313</v>
      </c>
      <c r="C24" s="20" t="s">
        <v>517</v>
      </c>
      <c r="D24" s="20" t="s">
        <v>510</v>
      </c>
      <c r="E24" s="18" t="s">
        <v>393</v>
      </c>
      <c r="F24" s="20" t="s">
        <v>456</v>
      </c>
      <c r="G24" s="18" t="n">
        <v>0</v>
      </c>
      <c r="H24" s="20" t="s">
        <v>71</v>
      </c>
      <c r="I24" s="20" t="s">
        <v>511</v>
      </c>
    </row>
    <row r="25" customFormat="false" ht="27.75" hidden="false" customHeight="true" outlineLevel="0" collapsed="false">
      <c r="A25" s="31" t="s">
        <v>508</v>
      </c>
      <c r="B25" s="18" t="n">
        <v>132</v>
      </c>
      <c r="C25" s="20" t="s">
        <v>518</v>
      </c>
      <c r="D25" s="20" t="s">
        <v>510</v>
      </c>
      <c r="E25" s="18" t="s">
        <v>393</v>
      </c>
      <c r="F25" s="20" t="s">
        <v>519</v>
      </c>
      <c r="G25" s="18" t="n">
        <v>0</v>
      </c>
      <c r="H25" s="20" t="s">
        <v>71</v>
      </c>
      <c r="I25" s="20" t="s">
        <v>511</v>
      </c>
    </row>
    <row r="26" customFormat="false" ht="27.75" hidden="false" customHeight="true" outlineLevel="0" collapsed="false">
      <c r="A26" s="31" t="s">
        <v>508</v>
      </c>
      <c r="B26" s="18" t="n">
        <v>17</v>
      </c>
      <c r="C26" s="20" t="s">
        <v>520</v>
      </c>
      <c r="D26" s="20" t="s">
        <v>510</v>
      </c>
      <c r="E26" s="18" t="s">
        <v>393</v>
      </c>
      <c r="F26" s="20" t="s">
        <v>521</v>
      </c>
      <c r="G26" s="18" t="n">
        <v>0</v>
      </c>
      <c r="H26" s="20" t="s">
        <v>71</v>
      </c>
      <c r="I26" s="20" t="s">
        <v>511</v>
      </c>
    </row>
    <row r="27" customFormat="false" ht="27.75" hidden="false" customHeight="true" outlineLevel="0" collapsed="false">
      <c r="A27" s="31" t="s">
        <v>508</v>
      </c>
      <c r="B27" s="18" t="n">
        <v>362</v>
      </c>
      <c r="C27" s="20" t="s">
        <v>522</v>
      </c>
      <c r="D27" s="20" t="s">
        <v>510</v>
      </c>
      <c r="E27" s="18" t="s">
        <v>393</v>
      </c>
      <c r="F27" s="20" t="s">
        <v>523</v>
      </c>
      <c r="G27" s="18" t="n">
        <v>0</v>
      </c>
      <c r="H27" s="20" t="s">
        <v>71</v>
      </c>
      <c r="I27" s="20" t="s">
        <v>511</v>
      </c>
    </row>
    <row r="28" customFormat="false" ht="27.75" hidden="false" customHeight="true" outlineLevel="0" collapsed="false">
      <c r="A28" s="31" t="s">
        <v>508</v>
      </c>
      <c r="B28" s="18" t="n">
        <v>418</v>
      </c>
      <c r="C28" s="20" t="s">
        <v>524</v>
      </c>
      <c r="D28" s="20" t="s">
        <v>510</v>
      </c>
      <c r="E28" s="18" t="s">
        <v>393</v>
      </c>
      <c r="F28" s="20" t="s">
        <v>367</v>
      </c>
      <c r="G28" s="18" t="n">
        <v>0</v>
      </c>
      <c r="H28" s="20" t="s">
        <v>71</v>
      </c>
      <c r="I28" s="20" t="s">
        <v>511</v>
      </c>
    </row>
    <row r="29" customFormat="false" ht="27.75" hidden="false" customHeight="true" outlineLevel="0" collapsed="false">
      <c r="A29" s="31" t="s">
        <v>508</v>
      </c>
      <c r="B29" s="18" t="n">
        <v>45</v>
      </c>
      <c r="C29" s="20" t="s">
        <v>525</v>
      </c>
      <c r="D29" s="20" t="s">
        <v>510</v>
      </c>
      <c r="E29" s="18" t="s">
        <v>393</v>
      </c>
      <c r="F29" s="20" t="s">
        <v>141</v>
      </c>
      <c r="G29" s="18" t="n">
        <v>0</v>
      </c>
      <c r="H29" s="20" t="s">
        <v>71</v>
      </c>
      <c r="I29" s="20" t="s">
        <v>511</v>
      </c>
    </row>
    <row r="30" customFormat="false" ht="27.75" hidden="false" customHeight="true" outlineLevel="0" collapsed="false">
      <c r="A30" s="31" t="s">
        <v>508</v>
      </c>
      <c r="B30" s="18" t="n">
        <v>87</v>
      </c>
      <c r="C30" s="20" t="s">
        <v>526</v>
      </c>
      <c r="D30" s="20" t="s">
        <v>510</v>
      </c>
      <c r="E30" s="18" t="s">
        <v>393</v>
      </c>
      <c r="F30" s="20" t="s">
        <v>382</v>
      </c>
      <c r="G30" s="18" t="n">
        <v>0</v>
      </c>
      <c r="H30" s="20" t="s">
        <v>71</v>
      </c>
      <c r="I30" s="20" t="s">
        <v>511</v>
      </c>
    </row>
    <row r="31" customFormat="false" ht="27.75" hidden="false" customHeight="true" outlineLevel="0" collapsed="false">
      <c r="A31" s="31" t="s">
        <v>508</v>
      </c>
      <c r="B31" s="18" t="n">
        <v>373</v>
      </c>
      <c r="C31" s="20" t="s">
        <v>527</v>
      </c>
      <c r="D31" s="20" t="s">
        <v>510</v>
      </c>
      <c r="E31" s="18" t="s">
        <v>393</v>
      </c>
      <c r="F31" s="20" t="s">
        <v>440</v>
      </c>
      <c r="G31" s="18" t="n">
        <v>0</v>
      </c>
      <c r="H31" s="20" t="s">
        <v>71</v>
      </c>
      <c r="I31" s="20" t="s">
        <v>511</v>
      </c>
    </row>
    <row r="32" customFormat="false" ht="27.75" hidden="false" customHeight="true" outlineLevel="0" collapsed="false">
      <c r="A32" s="31" t="s">
        <v>508</v>
      </c>
      <c r="B32" s="18" t="n">
        <v>317</v>
      </c>
      <c r="C32" s="20" t="s">
        <v>528</v>
      </c>
      <c r="D32" s="20" t="s">
        <v>510</v>
      </c>
      <c r="E32" s="18" t="s">
        <v>393</v>
      </c>
      <c r="F32" s="20" t="s">
        <v>456</v>
      </c>
      <c r="G32" s="18" t="n">
        <v>0</v>
      </c>
      <c r="H32" s="20" t="s">
        <v>71</v>
      </c>
      <c r="I32" s="20" t="s">
        <v>511</v>
      </c>
    </row>
    <row r="33" customFormat="false" ht="27.75" hidden="false" customHeight="true" outlineLevel="0" collapsed="false">
      <c r="A33" s="31" t="s">
        <v>508</v>
      </c>
      <c r="B33" s="18" t="n">
        <v>270</v>
      </c>
      <c r="C33" s="20" t="s">
        <v>529</v>
      </c>
      <c r="D33" s="20" t="s">
        <v>510</v>
      </c>
      <c r="E33" s="18" t="s">
        <v>393</v>
      </c>
      <c r="F33" s="20" t="s">
        <v>77</v>
      </c>
      <c r="G33" s="18" t="n">
        <v>0</v>
      </c>
      <c r="H33" s="20" t="s">
        <v>71</v>
      </c>
      <c r="I33" s="20" t="s">
        <v>511</v>
      </c>
    </row>
    <row r="34" customFormat="false" ht="27.75" hidden="false" customHeight="true" outlineLevel="0" collapsed="false">
      <c r="A34" s="31" t="s">
        <v>508</v>
      </c>
      <c r="B34" s="18" t="n">
        <v>392</v>
      </c>
      <c r="C34" s="20" t="s">
        <v>530</v>
      </c>
      <c r="D34" s="20" t="s">
        <v>510</v>
      </c>
      <c r="E34" s="18" t="s">
        <v>393</v>
      </c>
      <c r="F34" s="20" t="s">
        <v>531</v>
      </c>
      <c r="G34" s="18" t="n">
        <v>0</v>
      </c>
      <c r="H34" s="20" t="s">
        <v>71</v>
      </c>
      <c r="I34" s="20" t="s">
        <v>511</v>
      </c>
    </row>
    <row r="35" customFormat="false" ht="27.75" hidden="false" customHeight="true" outlineLevel="0" collapsed="false">
      <c r="A35" s="31" t="s">
        <v>508</v>
      </c>
      <c r="B35" s="18" t="n">
        <v>150</v>
      </c>
      <c r="C35" s="20" t="s">
        <v>532</v>
      </c>
      <c r="D35" s="20" t="s">
        <v>510</v>
      </c>
      <c r="E35" s="18" t="s">
        <v>393</v>
      </c>
      <c r="F35" s="20" t="s">
        <v>533</v>
      </c>
      <c r="G35" s="18" t="n">
        <v>0</v>
      </c>
      <c r="H35" s="20" t="s">
        <v>71</v>
      </c>
      <c r="I35" s="20" t="s">
        <v>511</v>
      </c>
    </row>
    <row r="36" customFormat="false" ht="27.75" hidden="false" customHeight="true" outlineLevel="0" collapsed="false">
      <c r="A36" s="31" t="s">
        <v>508</v>
      </c>
      <c r="B36" s="18" t="n">
        <v>279</v>
      </c>
      <c r="C36" s="20" t="s">
        <v>534</v>
      </c>
      <c r="D36" s="20" t="s">
        <v>510</v>
      </c>
      <c r="E36" s="18" t="s">
        <v>393</v>
      </c>
      <c r="F36" s="20" t="s">
        <v>535</v>
      </c>
      <c r="G36" s="18" t="n">
        <v>0</v>
      </c>
      <c r="H36" s="20" t="s">
        <v>71</v>
      </c>
      <c r="I36" s="20" t="s">
        <v>511</v>
      </c>
    </row>
    <row r="37" customFormat="false" ht="27.75" hidden="false" customHeight="true" outlineLevel="0" collapsed="false">
      <c r="A37" s="31" t="s">
        <v>508</v>
      </c>
      <c r="B37" s="18" t="n">
        <v>282</v>
      </c>
      <c r="C37" s="20" t="s">
        <v>536</v>
      </c>
      <c r="D37" s="20" t="s">
        <v>510</v>
      </c>
      <c r="E37" s="18" t="s">
        <v>393</v>
      </c>
      <c r="F37" s="20" t="s">
        <v>60</v>
      </c>
      <c r="G37" s="18" t="n">
        <v>0</v>
      </c>
      <c r="H37" s="20" t="s">
        <v>71</v>
      </c>
      <c r="I37" s="20" t="s">
        <v>511</v>
      </c>
    </row>
    <row r="38" customFormat="false" ht="27.75" hidden="false" customHeight="true" outlineLevel="0" collapsed="false">
      <c r="A38" s="31" t="s">
        <v>508</v>
      </c>
      <c r="B38" s="18" t="n">
        <v>435</v>
      </c>
      <c r="C38" s="20" t="s">
        <v>537</v>
      </c>
      <c r="D38" s="20" t="s">
        <v>510</v>
      </c>
      <c r="E38" s="18" t="s">
        <v>393</v>
      </c>
      <c r="F38" s="20" t="s">
        <v>374</v>
      </c>
      <c r="G38" s="18" t="n">
        <v>0</v>
      </c>
      <c r="H38" s="20" t="s">
        <v>71</v>
      </c>
      <c r="I38" s="20" t="s">
        <v>511</v>
      </c>
    </row>
    <row r="39" customFormat="false" ht="27.75" hidden="false" customHeight="true" outlineLevel="0" collapsed="false">
      <c r="A39" s="31" t="s">
        <v>508</v>
      </c>
      <c r="B39" s="18" t="n">
        <v>322</v>
      </c>
      <c r="C39" s="20" t="s">
        <v>538</v>
      </c>
      <c r="D39" s="20" t="s">
        <v>510</v>
      </c>
      <c r="E39" s="18" t="s">
        <v>393</v>
      </c>
      <c r="F39" s="20" t="s">
        <v>441</v>
      </c>
      <c r="G39" s="18" t="n">
        <v>0</v>
      </c>
      <c r="H39" s="20" t="s">
        <v>71</v>
      </c>
      <c r="I39" s="20" t="s">
        <v>511</v>
      </c>
    </row>
    <row r="40" customFormat="false" ht="27.75" hidden="false" customHeight="true" outlineLevel="0" collapsed="false">
      <c r="A40" s="31" t="s">
        <v>508</v>
      </c>
      <c r="B40" s="18" t="n">
        <v>352</v>
      </c>
      <c r="C40" s="20" t="s">
        <v>539</v>
      </c>
      <c r="D40" s="20" t="s">
        <v>510</v>
      </c>
      <c r="E40" s="18" t="s">
        <v>393</v>
      </c>
      <c r="F40" s="20" t="s">
        <v>540</v>
      </c>
      <c r="G40" s="18" t="n">
        <v>0</v>
      </c>
      <c r="H40" s="20" t="s">
        <v>71</v>
      </c>
      <c r="I40" s="20" t="s">
        <v>511</v>
      </c>
    </row>
    <row r="41" customFormat="false" ht="27.75" hidden="false" customHeight="true" outlineLevel="0" collapsed="false">
      <c r="A41" s="31" t="s">
        <v>508</v>
      </c>
      <c r="B41" s="18" t="n">
        <v>287</v>
      </c>
      <c r="C41" s="20" t="s">
        <v>541</v>
      </c>
      <c r="D41" s="20" t="s">
        <v>510</v>
      </c>
      <c r="E41" s="18" t="s">
        <v>393</v>
      </c>
      <c r="F41" s="20" t="s">
        <v>77</v>
      </c>
      <c r="G41" s="18" t="n">
        <v>0</v>
      </c>
      <c r="H41" s="20" t="s">
        <v>71</v>
      </c>
      <c r="I41" s="20" t="s">
        <v>511</v>
      </c>
    </row>
    <row r="42" customFormat="false" ht="27.75" hidden="false" customHeight="true" outlineLevel="0" collapsed="false">
      <c r="A42" s="31" t="s">
        <v>508</v>
      </c>
      <c r="B42" s="18" t="n">
        <v>140</v>
      </c>
      <c r="C42" s="20" t="s">
        <v>542</v>
      </c>
      <c r="D42" s="20" t="s">
        <v>510</v>
      </c>
      <c r="E42" s="18" t="s">
        <v>393</v>
      </c>
      <c r="F42" s="20" t="s">
        <v>543</v>
      </c>
      <c r="G42" s="18" t="n">
        <v>0</v>
      </c>
      <c r="H42" s="20" t="s">
        <v>71</v>
      </c>
      <c r="I42" s="20" t="s">
        <v>511</v>
      </c>
    </row>
    <row r="43" customFormat="false" ht="27.75" hidden="false" customHeight="true" outlineLevel="0" collapsed="false">
      <c r="A43" s="31" t="s">
        <v>508</v>
      </c>
      <c r="B43" s="18" t="n">
        <v>378</v>
      </c>
      <c r="C43" s="20" t="s">
        <v>544</v>
      </c>
      <c r="D43" s="20" t="s">
        <v>510</v>
      </c>
      <c r="E43" s="18" t="s">
        <v>393</v>
      </c>
      <c r="F43" s="20" t="s">
        <v>440</v>
      </c>
      <c r="G43" s="18" t="n">
        <v>0</v>
      </c>
      <c r="H43" s="20" t="s">
        <v>71</v>
      </c>
      <c r="I43" s="20" t="s">
        <v>511</v>
      </c>
    </row>
    <row r="44" customFormat="false" ht="27.75" hidden="false" customHeight="true" outlineLevel="0" collapsed="false">
      <c r="A44" s="31" t="s">
        <v>508</v>
      </c>
      <c r="B44" s="18" t="n">
        <v>38</v>
      </c>
      <c r="C44" s="20" t="s">
        <v>545</v>
      </c>
      <c r="D44" s="20" t="s">
        <v>510</v>
      </c>
      <c r="E44" s="18" t="s">
        <v>393</v>
      </c>
      <c r="F44" s="20" t="s">
        <v>546</v>
      </c>
      <c r="G44" s="18" t="n">
        <v>0</v>
      </c>
      <c r="H44" s="20" t="s">
        <v>71</v>
      </c>
      <c r="I44" s="20" t="s">
        <v>511</v>
      </c>
    </row>
    <row r="45" customFormat="false" ht="27.75" hidden="false" customHeight="true" outlineLevel="0" collapsed="false">
      <c r="A45" s="31" t="s">
        <v>508</v>
      </c>
      <c r="B45" s="18" t="n">
        <v>404</v>
      </c>
      <c r="C45" s="20" t="s">
        <v>547</v>
      </c>
      <c r="D45" s="20" t="s">
        <v>510</v>
      </c>
      <c r="E45" s="18" t="s">
        <v>393</v>
      </c>
      <c r="F45" s="20" t="s">
        <v>460</v>
      </c>
      <c r="G45" s="18" t="n">
        <v>0</v>
      </c>
      <c r="H45" s="20" t="s">
        <v>71</v>
      </c>
      <c r="I45" s="20" t="s">
        <v>511</v>
      </c>
    </row>
    <row r="46" customFormat="false" ht="27.75" hidden="false" customHeight="true" outlineLevel="0" collapsed="false">
      <c r="A46" s="31" t="s">
        <v>508</v>
      </c>
      <c r="B46" s="18" t="n">
        <v>304</v>
      </c>
      <c r="C46" s="20" t="s">
        <v>548</v>
      </c>
      <c r="D46" s="20" t="s">
        <v>510</v>
      </c>
      <c r="E46" s="18" t="s">
        <v>393</v>
      </c>
      <c r="F46" s="20" t="s">
        <v>77</v>
      </c>
      <c r="G46" s="18" t="n">
        <v>0</v>
      </c>
      <c r="H46" s="20" t="s">
        <v>71</v>
      </c>
      <c r="I46" s="20" t="s">
        <v>511</v>
      </c>
    </row>
    <row r="47" customFormat="false" ht="27.75" hidden="false" customHeight="true" outlineLevel="0" collapsed="false">
      <c r="A47" s="19" t="s">
        <v>549</v>
      </c>
      <c r="B47" s="18" t="n">
        <v>73</v>
      </c>
      <c r="C47" s="20" t="s">
        <v>550</v>
      </c>
      <c r="D47" s="20" t="s">
        <v>510</v>
      </c>
      <c r="E47" s="18" t="s">
        <v>327</v>
      </c>
      <c r="F47" s="20" t="s">
        <v>382</v>
      </c>
      <c r="G47" s="18" t="n">
        <v>0</v>
      </c>
      <c r="H47" s="20" t="s">
        <v>71</v>
      </c>
      <c r="I47" s="20" t="s">
        <v>551</v>
      </c>
    </row>
    <row r="48" customFormat="false" ht="27.75" hidden="false" customHeight="true" outlineLevel="0" collapsed="false">
      <c r="A48" s="19" t="s">
        <v>549</v>
      </c>
      <c r="B48" s="18" t="n">
        <v>321</v>
      </c>
      <c r="C48" s="20" t="s">
        <v>552</v>
      </c>
      <c r="D48" s="20" t="s">
        <v>510</v>
      </c>
      <c r="E48" s="18" t="s">
        <v>327</v>
      </c>
      <c r="F48" s="20" t="s">
        <v>441</v>
      </c>
      <c r="G48" s="18" t="n">
        <v>0</v>
      </c>
      <c r="H48" s="20" t="s">
        <v>71</v>
      </c>
      <c r="I48" s="20" t="s">
        <v>551</v>
      </c>
    </row>
    <row r="49" customFormat="false" ht="27.75" hidden="false" customHeight="true" outlineLevel="0" collapsed="false">
      <c r="A49" s="19" t="s">
        <v>549</v>
      </c>
      <c r="B49" s="18" t="n">
        <v>349</v>
      </c>
      <c r="C49" s="20" t="s">
        <v>553</v>
      </c>
      <c r="D49" s="20" t="s">
        <v>510</v>
      </c>
      <c r="E49" s="18" t="s">
        <v>327</v>
      </c>
      <c r="F49" s="20" t="s">
        <v>540</v>
      </c>
      <c r="G49" s="18" t="n">
        <v>0</v>
      </c>
      <c r="H49" s="20" t="s">
        <v>71</v>
      </c>
      <c r="I49" s="20" t="s">
        <v>551</v>
      </c>
    </row>
    <row r="50" customFormat="false" ht="27.75" hidden="false" customHeight="true" outlineLevel="0" collapsed="false">
      <c r="A50" s="19" t="s">
        <v>549</v>
      </c>
      <c r="B50" s="18" t="n">
        <v>217</v>
      </c>
      <c r="C50" s="20" t="s">
        <v>554</v>
      </c>
      <c r="D50" s="20" t="s">
        <v>510</v>
      </c>
      <c r="E50" s="18" t="s">
        <v>327</v>
      </c>
      <c r="F50" s="20" t="s">
        <v>310</v>
      </c>
      <c r="G50" s="18" t="n">
        <v>0</v>
      </c>
      <c r="H50" s="20" t="s">
        <v>71</v>
      </c>
      <c r="I50" s="20" t="s">
        <v>551</v>
      </c>
    </row>
    <row r="51" customFormat="false" ht="27.75" hidden="false" customHeight="true" outlineLevel="0" collapsed="false">
      <c r="A51" s="19" t="s">
        <v>549</v>
      </c>
      <c r="B51" s="18" t="n">
        <v>397</v>
      </c>
      <c r="C51" s="20" t="s">
        <v>555</v>
      </c>
      <c r="D51" s="20" t="s">
        <v>510</v>
      </c>
      <c r="E51" s="18" t="s">
        <v>327</v>
      </c>
      <c r="F51" s="20" t="s">
        <v>531</v>
      </c>
      <c r="G51" s="18" t="n">
        <v>0</v>
      </c>
      <c r="H51" s="20" t="s">
        <v>71</v>
      </c>
      <c r="I51" s="20" t="s">
        <v>551</v>
      </c>
    </row>
    <row r="52" customFormat="false" ht="27.75" hidden="false" customHeight="true" outlineLevel="0" collapsed="false">
      <c r="A52" s="19" t="s">
        <v>549</v>
      </c>
      <c r="B52" s="18" t="n">
        <v>376</v>
      </c>
      <c r="C52" s="20" t="s">
        <v>556</v>
      </c>
      <c r="D52" s="20" t="s">
        <v>510</v>
      </c>
      <c r="E52" s="18" t="s">
        <v>327</v>
      </c>
      <c r="F52" s="20" t="s">
        <v>440</v>
      </c>
      <c r="G52" s="18" t="n">
        <v>0</v>
      </c>
      <c r="H52" s="20" t="s">
        <v>71</v>
      </c>
      <c r="I52" s="20" t="s">
        <v>551</v>
      </c>
    </row>
    <row r="53" customFormat="false" ht="27.75" hidden="false" customHeight="true" outlineLevel="0" collapsed="false">
      <c r="A53" s="19" t="s">
        <v>549</v>
      </c>
      <c r="B53" s="18" t="n">
        <v>289</v>
      </c>
      <c r="C53" s="20" t="s">
        <v>557</v>
      </c>
      <c r="D53" s="20" t="s">
        <v>510</v>
      </c>
      <c r="E53" s="18" t="s">
        <v>327</v>
      </c>
      <c r="F53" s="20" t="s">
        <v>77</v>
      </c>
      <c r="G53" s="18" t="n">
        <v>0</v>
      </c>
      <c r="H53" s="20" t="s">
        <v>71</v>
      </c>
      <c r="I53" s="20" t="s">
        <v>551</v>
      </c>
    </row>
    <row r="54" customFormat="false" ht="27.75" hidden="false" customHeight="true" outlineLevel="0" collapsed="false">
      <c r="A54" s="19" t="s">
        <v>549</v>
      </c>
      <c r="B54" s="18" t="n">
        <v>63</v>
      </c>
      <c r="C54" s="20" t="s">
        <v>558</v>
      </c>
      <c r="D54" s="20" t="s">
        <v>510</v>
      </c>
      <c r="E54" s="18" t="s">
        <v>327</v>
      </c>
      <c r="F54" s="20" t="s">
        <v>141</v>
      </c>
      <c r="G54" s="18" t="n">
        <v>0</v>
      </c>
      <c r="H54" s="20" t="s">
        <v>71</v>
      </c>
      <c r="I54" s="20" t="s">
        <v>551</v>
      </c>
    </row>
    <row r="55" customFormat="false" ht="27.75" hidden="false" customHeight="true" outlineLevel="0" collapsed="false">
      <c r="A55" s="19" t="s">
        <v>549</v>
      </c>
      <c r="B55" s="18" t="n">
        <v>299</v>
      </c>
      <c r="C55" s="20" t="s">
        <v>559</v>
      </c>
      <c r="D55" s="20" t="s">
        <v>510</v>
      </c>
      <c r="E55" s="18" t="s">
        <v>327</v>
      </c>
      <c r="F55" s="20" t="s">
        <v>535</v>
      </c>
      <c r="G55" s="18" t="n">
        <v>0</v>
      </c>
      <c r="H55" s="20" t="s">
        <v>71</v>
      </c>
      <c r="I55" s="20" t="s">
        <v>551</v>
      </c>
    </row>
    <row r="56" customFormat="false" ht="27.75" hidden="false" customHeight="true" outlineLevel="0" collapsed="false">
      <c r="A56" s="19" t="s">
        <v>549</v>
      </c>
      <c r="B56" s="18" t="n">
        <v>40</v>
      </c>
      <c r="C56" s="20" t="s">
        <v>560</v>
      </c>
      <c r="D56" s="20" t="s">
        <v>510</v>
      </c>
      <c r="E56" s="18" t="s">
        <v>327</v>
      </c>
      <c r="F56" s="20" t="s">
        <v>521</v>
      </c>
      <c r="G56" s="18" t="n">
        <v>0</v>
      </c>
      <c r="H56" s="20" t="s">
        <v>71</v>
      </c>
      <c r="I56" s="20" t="s">
        <v>551</v>
      </c>
    </row>
    <row r="57" customFormat="false" ht="27.75" hidden="false" customHeight="true" outlineLevel="0" collapsed="false">
      <c r="A57" s="19" t="s">
        <v>549</v>
      </c>
      <c r="B57" s="18" t="n">
        <v>143</v>
      </c>
      <c r="C57" s="20" t="s">
        <v>561</v>
      </c>
      <c r="D57" s="20" t="s">
        <v>510</v>
      </c>
      <c r="E57" s="18" t="s">
        <v>327</v>
      </c>
      <c r="F57" s="20" t="s">
        <v>519</v>
      </c>
      <c r="G57" s="18" t="n">
        <v>0</v>
      </c>
      <c r="H57" s="20" t="s">
        <v>71</v>
      </c>
      <c r="I57" s="20" t="s">
        <v>551</v>
      </c>
    </row>
    <row r="58" customFormat="false" ht="27.75" hidden="false" customHeight="true" outlineLevel="0" collapsed="false">
      <c r="A58" s="24" t="s">
        <v>562</v>
      </c>
      <c r="B58" s="18"/>
      <c r="C58" s="20" t="s">
        <v>563</v>
      </c>
      <c r="D58" s="20" t="s">
        <v>71</v>
      </c>
      <c r="E58" s="18" t="s">
        <v>393</v>
      </c>
      <c r="F58" s="20" t="s">
        <v>340</v>
      </c>
      <c r="G58" s="18" t="n">
        <v>0</v>
      </c>
      <c r="H58" s="20" t="s">
        <v>71</v>
      </c>
      <c r="I58" s="20" t="s">
        <v>564</v>
      </c>
    </row>
    <row r="59" customFormat="false" ht="27.75" hidden="false" customHeight="true" outlineLevel="0" collapsed="false">
      <c r="A59" s="24" t="s">
        <v>562</v>
      </c>
      <c r="B59" s="18"/>
      <c r="C59" s="20" t="s">
        <v>565</v>
      </c>
      <c r="D59" s="20" t="s">
        <v>71</v>
      </c>
      <c r="E59" s="18" t="s">
        <v>393</v>
      </c>
      <c r="F59" s="20" t="s">
        <v>566</v>
      </c>
      <c r="G59" s="18" t="n">
        <v>0</v>
      </c>
      <c r="H59" s="20" t="s">
        <v>71</v>
      </c>
      <c r="I59" s="20" t="s">
        <v>564</v>
      </c>
    </row>
    <row r="60" customFormat="false" ht="27.75" hidden="false" customHeight="true" outlineLevel="0" collapsed="false">
      <c r="A60" s="24" t="s">
        <v>567</v>
      </c>
      <c r="B60" s="18" t="n">
        <v>171</v>
      </c>
      <c r="C60" s="20" t="s">
        <v>568</v>
      </c>
      <c r="D60" s="20" t="s">
        <v>510</v>
      </c>
      <c r="E60" s="18" t="s">
        <v>569</v>
      </c>
      <c r="F60" s="20" t="s">
        <v>340</v>
      </c>
      <c r="G60" s="18" t="n">
        <v>0</v>
      </c>
      <c r="H60" s="20" t="s">
        <v>71</v>
      </c>
      <c r="I60" s="20" t="s">
        <v>570</v>
      </c>
    </row>
    <row r="61" customFormat="false" ht="27.75" hidden="false" customHeight="true" outlineLevel="0" collapsed="false">
      <c r="A61" s="24" t="s">
        <v>567</v>
      </c>
      <c r="B61" s="18" t="n">
        <v>72</v>
      </c>
      <c r="C61" s="20" t="s">
        <v>571</v>
      </c>
      <c r="D61" s="20" t="s">
        <v>510</v>
      </c>
      <c r="E61" s="18" t="s">
        <v>569</v>
      </c>
      <c r="F61" s="20" t="s">
        <v>572</v>
      </c>
      <c r="G61" s="18" t="n">
        <v>0</v>
      </c>
      <c r="H61" s="20" t="s">
        <v>71</v>
      </c>
      <c r="I61" s="20" t="s">
        <v>570</v>
      </c>
    </row>
    <row r="62" customFormat="false" ht="27.75" hidden="false" customHeight="true" outlineLevel="0" collapsed="false">
      <c r="A62" s="24" t="s">
        <v>567</v>
      </c>
      <c r="B62" s="18" t="n">
        <v>161</v>
      </c>
      <c r="C62" s="20" t="s">
        <v>573</v>
      </c>
      <c r="D62" s="20" t="s">
        <v>510</v>
      </c>
      <c r="E62" s="18" t="s">
        <v>569</v>
      </c>
      <c r="F62" s="20" t="s">
        <v>358</v>
      </c>
      <c r="G62" s="18" t="n">
        <v>0</v>
      </c>
      <c r="H62" s="20" t="s">
        <v>71</v>
      </c>
      <c r="I62" s="20" t="s">
        <v>570</v>
      </c>
    </row>
    <row r="63" customFormat="false" ht="27.75" hidden="false" customHeight="true" outlineLevel="0" collapsed="false">
      <c r="A63" s="24" t="s">
        <v>567</v>
      </c>
      <c r="B63" s="18" t="n">
        <v>434</v>
      </c>
      <c r="C63" s="20" t="s">
        <v>574</v>
      </c>
      <c r="D63" s="20" t="s">
        <v>510</v>
      </c>
      <c r="E63" s="18" t="s">
        <v>569</v>
      </c>
      <c r="F63" s="20" t="s">
        <v>374</v>
      </c>
      <c r="G63" s="18" t="n">
        <v>0</v>
      </c>
      <c r="H63" s="20" t="s">
        <v>71</v>
      </c>
      <c r="I63" s="20" t="s">
        <v>570</v>
      </c>
    </row>
    <row r="64" customFormat="false" ht="27.75" hidden="false" customHeight="true" outlineLevel="0" collapsed="false">
      <c r="A64" s="24" t="s">
        <v>567</v>
      </c>
      <c r="B64" s="18" t="n">
        <v>61</v>
      </c>
      <c r="C64" s="20" t="s">
        <v>575</v>
      </c>
      <c r="D64" s="20" t="s">
        <v>510</v>
      </c>
      <c r="E64" s="18" t="s">
        <v>569</v>
      </c>
      <c r="F64" s="20" t="s">
        <v>141</v>
      </c>
      <c r="G64" s="18" t="n">
        <v>0</v>
      </c>
      <c r="H64" s="20" t="s">
        <v>71</v>
      </c>
      <c r="I64" s="20" t="s">
        <v>570</v>
      </c>
    </row>
    <row r="65" customFormat="false" ht="27.75" hidden="false" customHeight="true" outlineLevel="0" collapsed="false">
      <c r="A65" s="24" t="s">
        <v>567</v>
      </c>
      <c r="B65" s="18" t="n">
        <v>338</v>
      </c>
      <c r="C65" s="20" t="s">
        <v>576</v>
      </c>
      <c r="D65" s="20" t="s">
        <v>510</v>
      </c>
      <c r="E65" s="18" t="s">
        <v>569</v>
      </c>
      <c r="F65" s="20" t="s">
        <v>577</v>
      </c>
      <c r="G65" s="18" t="n">
        <v>0</v>
      </c>
      <c r="H65" s="20" t="s">
        <v>71</v>
      </c>
      <c r="I65" s="20" t="s">
        <v>570</v>
      </c>
    </row>
  </sheetData>
  <autoFilter ref="A4:I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1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11"/>
    <col collapsed="false" customWidth="true" hidden="false" outlineLevel="0" max="16" min="16" style="1" width="9"/>
    <col collapsed="false" customWidth="true" hidden="false" outlineLevel="0" max="17" min="17" style="1" width="26"/>
    <col collapsed="false" customWidth="true" hidden="false" outlineLevel="0" max="18" min="18" style="1" width="56"/>
  </cols>
  <sheetData>
    <row r="1" customFormat="false" ht="15.75" hidden="false" customHeight="true" outlineLevel="0" collapsed="false">
      <c r="A1" s="15" t="s">
        <v>578</v>
      </c>
    </row>
    <row r="2" customFormat="false" ht="15" hidden="false" customHeight="true" outlineLevel="0" collapsed="false">
      <c r="A2" s="16" t="s">
        <v>579</v>
      </c>
    </row>
    <row r="4" customFormat="false" ht="42" hidden="false" customHeight="true" outlineLevel="0" collapsed="false">
      <c r="A4" s="17" t="s">
        <v>580</v>
      </c>
      <c r="B4" s="17" t="s">
        <v>36</v>
      </c>
      <c r="C4" s="17" t="s">
        <v>37</v>
      </c>
      <c r="D4" s="17" t="s">
        <v>581</v>
      </c>
      <c r="E4" s="17" t="s">
        <v>582</v>
      </c>
      <c r="F4" s="17" t="s">
        <v>583</v>
      </c>
      <c r="G4" s="17" t="s">
        <v>584</v>
      </c>
      <c r="H4" s="17" t="s">
        <v>585</v>
      </c>
      <c r="I4" s="17" t="s">
        <v>586</v>
      </c>
      <c r="J4" s="17" t="s">
        <v>587</v>
      </c>
      <c r="K4" s="17" t="s">
        <v>588</v>
      </c>
      <c r="L4" s="17" t="s">
        <v>589</v>
      </c>
      <c r="M4" s="17" t="s">
        <v>590</v>
      </c>
      <c r="N4" s="17" t="s">
        <v>591</v>
      </c>
      <c r="O4" s="17" t="s">
        <v>592</v>
      </c>
      <c r="P4" s="17" t="s">
        <v>176</v>
      </c>
      <c r="Q4" s="17" t="s">
        <v>593</v>
      </c>
      <c r="R4" s="17" t="s">
        <v>333</v>
      </c>
    </row>
    <row r="5" customFormat="false" ht="18" hidden="false" customHeight="true" outlineLevel="0" collapsed="false">
      <c r="A5" s="20" t="s">
        <v>594</v>
      </c>
      <c r="B5" s="20" t="s">
        <v>213</v>
      </c>
      <c r="C5" s="20" t="s">
        <v>424</v>
      </c>
      <c r="D5" s="21" t="n">
        <v>5030</v>
      </c>
      <c r="E5" s="21" t="n">
        <v>150</v>
      </c>
      <c r="F5" s="21" t="n">
        <v>1180</v>
      </c>
      <c r="G5" s="21" t="n">
        <v>0</v>
      </c>
      <c r="H5" s="21" t="n">
        <v>19</v>
      </c>
      <c r="I5" s="18" t="n">
        <v>12</v>
      </c>
      <c r="J5" s="18" t="n">
        <v>0</v>
      </c>
      <c r="K5" s="18" t="n">
        <v>5</v>
      </c>
      <c r="L5" s="18" t="n">
        <v>2</v>
      </c>
      <c r="M5" s="18" t="n">
        <v>1</v>
      </c>
      <c r="N5" s="18" t="n">
        <v>1</v>
      </c>
      <c r="O5" s="18" t="n">
        <v>0</v>
      </c>
      <c r="P5" s="18" t="n">
        <v>0</v>
      </c>
      <c r="Q5" s="23" t="str">
        <f aca="false">IF(K5=0,"TIDAK ADA PETUGAS",IF(M5=0,"TIDAK ADA YANG LAYAK",IF(AND(M5&lt;=2,J5&gt;=10),"TERBATAS","ADA")))</f>
        <v>ADA</v>
      </c>
      <c r="R5" s="20"/>
    </row>
    <row r="6" customFormat="false" ht="18" hidden="false" customHeight="true" outlineLevel="0" collapsed="false">
      <c r="A6" s="20" t="s">
        <v>595</v>
      </c>
      <c r="B6" s="20" t="s">
        <v>193</v>
      </c>
      <c r="C6" s="20" t="s">
        <v>397</v>
      </c>
      <c r="D6" s="21" t="n">
        <v>9529</v>
      </c>
      <c r="E6" s="21" t="n">
        <v>150</v>
      </c>
      <c r="F6" s="21" t="n">
        <v>2495</v>
      </c>
      <c r="G6" s="21" t="n">
        <v>0</v>
      </c>
      <c r="H6" s="21" t="n">
        <v>1</v>
      </c>
      <c r="I6" s="18" t="n">
        <v>23</v>
      </c>
      <c r="J6" s="18" t="n">
        <v>4</v>
      </c>
      <c r="K6" s="18" t="n">
        <v>9</v>
      </c>
      <c r="L6" s="18" t="n">
        <v>5</v>
      </c>
      <c r="M6" s="18" t="n">
        <v>2</v>
      </c>
      <c r="N6" s="18" t="n">
        <v>4</v>
      </c>
      <c r="O6" s="18" t="n">
        <v>1</v>
      </c>
      <c r="P6" s="18" t="n">
        <v>2</v>
      </c>
      <c r="Q6" s="23" t="str">
        <f aca="false">IF(K6=0,"TIDAK ADA PETUGAS",IF(M6=0,"TIDAK ADA YANG LAYAK",IF(AND(M6&lt;=2,J6&gt;=10),"TERBATAS","ADA")))</f>
        <v>ADA</v>
      </c>
      <c r="R6" s="20"/>
    </row>
    <row r="7" customFormat="false" ht="18" hidden="false" customHeight="true" outlineLevel="0" collapsed="false">
      <c r="A7" s="20" t="s">
        <v>596</v>
      </c>
      <c r="B7" s="20" t="s">
        <v>597</v>
      </c>
      <c r="C7" s="20" t="s">
        <v>430</v>
      </c>
      <c r="D7" s="21" t="n">
        <v>781</v>
      </c>
      <c r="E7" s="21" t="n">
        <v>150</v>
      </c>
      <c r="F7" s="21" t="n">
        <v>228</v>
      </c>
      <c r="G7" s="21" t="n">
        <v>0</v>
      </c>
      <c r="H7" s="21" t="n">
        <v>1</v>
      </c>
      <c r="I7" s="18" t="n">
        <v>3</v>
      </c>
      <c r="J7" s="18" t="n">
        <v>0</v>
      </c>
      <c r="K7" s="18" t="n">
        <v>1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23" t="str">
        <f aca="false">IF(K7=0,"TIDAK ADA PETUGAS",IF(M7=0,"TIDAK ADA YANG LAYAK",IF(AND(M7&lt;=2,J7&gt;=10),"TERBATAS","ADA")))</f>
        <v>TIDAK ADA YANG LAYAK</v>
      </c>
      <c r="R7" s="20"/>
    </row>
    <row r="8" customFormat="false" ht="30" hidden="false" customHeight="true" outlineLevel="0" collapsed="false">
      <c r="A8" s="20" t="s">
        <v>598</v>
      </c>
      <c r="B8" s="20" t="s">
        <v>221</v>
      </c>
      <c r="C8" s="20" t="s">
        <v>433</v>
      </c>
      <c r="D8" s="21" t="n">
        <v>2103</v>
      </c>
      <c r="E8" s="21" t="n">
        <v>745</v>
      </c>
      <c r="F8" s="21" t="n">
        <v>633</v>
      </c>
      <c r="G8" s="21" t="n">
        <v>0</v>
      </c>
      <c r="H8" s="21" t="n">
        <v>1</v>
      </c>
      <c r="I8" s="18" t="n">
        <v>6</v>
      </c>
      <c r="J8" s="18" t="n">
        <v>0</v>
      </c>
      <c r="K8" s="18" t="n">
        <v>1</v>
      </c>
      <c r="L8" s="18" t="n">
        <v>1</v>
      </c>
      <c r="M8" s="18" t="n">
        <v>0</v>
      </c>
      <c r="N8" s="18" t="n">
        <v>0</v>
      </c>
      <c r="O8" s="18" t="n">
        <v>1</v>
      </c>
      <c r="P8" s="18" t="n">
        <v>0</v>
      </c>
      <c r="Q8" s="23" t="str">
        <f aca="false">IF(K8=0,"TIDAK ADA PETUGAS",IF(M8=0,"TIDAK ADA YANG LAYAK",IF(AND(M8&lt;=2,J8&gt;=10),"TERBATAS","ADA")))</f>
        <v>TIDAK ADA YANG LAYAK</v>
      </c>
      <c r="R8" s="20" t="s">
        <v>599</v>
      </c>
    </row>
    <row r="9" customFormat="false" ht="30" hidden="false" customHeight="true" outlineLevel="0" collapsed="false">
      <c r="A9" s="20" t="s">
        <v>600</v>
      </c>
      <c r="B9" s="20" t="s">
        <v>601</v>
      </c>
      <c r="C9" s="20" t="s">
        <v>442</v>
      </c>
      <c r="D9" s="21" t="n">
        <v>6422</v>
      </c>
      <c r="E9" s="21" t="n">
        <v>150</v>
      </c>
      <c r="F9" s="21" t="n">
        <v>1552</v>
      </c>
      <c r="G9" s="21" t="n">
        <v>0</v>
      </c>
      <c r="H9" s="21" t="n">
        <v>5</v>
      </c>
      <c r="I9" s="18" t="n">
        <v>14</v>
      </c>
      <c r="J9" s="18" t="n">
        <v>0</v>
      </c>
      <c r="K9" s="18" t="n">
        <v>7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23" t="str">
        <f aca="false">IF(K9=0,"TIDAK ADA PETUGAS",IF(M9=0,"TIDAK ADA YANG LAYAK",IF(AND(M9&lt;=2,J9&gt;=10),"TERBATAS","ADA")))</f>
        <v>TIDAK ADA YANG LAYAK</v>
      </c>
      <c r="R9" s="20" t="s">
        <v>602</v>
      </c>
    </row>
    <row r="10" customFormat="false" ht="30" hidden="false" customHeight="true" outlineLevel="0" collapsed="false">
      <c r="A10" s="20" t="s">
        <v>603</v>
      </c>
      <c r="B10" s="20" t="s">
        <v>213</v>
      </c>
      <c r="C10" s="20" t="s">
        <v>214</v>
      </c>
      <c r="D10" s="21" t="n">
        <v>2007</v>
      </c>
      <c r="E10" s="21" t="n">
        <v>150</v>
      </c>
      <c r="F10" s="21" t="n">
        <v>611</v>
      </c>
      <c r="G10" s="21" t="n">
        <v>1</v>
      </c>
      <c r="H10" s="21" t="n">
        <v>0</v>
      </c>
      <c r="I10" s="18" t="n">
        <v>5</v>
      </c>
      <c r="J10" s="18" t="n">
        <v>1</v>
      </c>
      <c r="K10" s="18" t="n">
        <v>1</v>
      </c>
      <c r="L10" s="18" t="n">
        <v>0</v>
      </c>
      <c r="M10" s="18" t="n">
        <v>0</v>
      </c>
      <c r="N10" s="18" t="n">
        <v>0</v>
      </c>
      <c r="O10" s="18" t="n">
        <v>0</v>
      </c>
      <c r="P10" s="18" t="n">
        <v>0</v>
      </c>
      <c r="Q10" s="23" t="str">
        <f aca="false">IF(K10=0,"TIDAK ADA PETUGAS",IF(M10=0,"TIDAK ADA YANG LAYAK",IF(AND(M10&lt;=2,J10&gt;=10),"TERBATAS","ADA")))</f>
        <v>TIDAK ADA YANG LAYAK</v>
      </c>
      <c r="R10" s="20" t="s">
        <v>604</v>
      </c>
    </row>
    <row r="11" customFormat="false" ht="18" hidden="false" customHeight="true" outlineLevel="0" collapsed="false">
      <c r="A11" s="20" t="s">
        <v>605</v>
      </c>
      <c r="B11" s="20" t="s">
        <v>193</v>
      </c>
      <c r="C11" s="20" t="s">
        <v>194</v>
      </c>
      <c r="D11" s="21" t="n">
        <v>17764</v>
      </c>
      <c r="E11" s="21" t="n">
        <v>150</v>
      </c>
      <c r="F11" s="21" t="n">
        <v>4745</v>
      </c>
      <c r="G11" s="21" t="n">
        <v>1</v>
      </c>
      <c r="H11" s="21" t="n">
        <v>7</v>
      </c>
      <c r="I11" s="18" t="n">
        <v>48</v>
      </c>
      <c r="J11" s="18" t="n">
        <v>9</v>
      </c>
      <c r="K11" s="18" t="n">
        <v>16</v>
      </c>
      <c r="L11" s="18" t="n">
        <v>4</v>
      </c>
      <c r="M11" s="18" t="n">
        <v>2</v>
      </c>
      <c r="N11" s="18" t="n">
        <v>4</v>
      </c>
      <c r="O11" s="18" t="n">
        <v>1</v>
      </c>
      <c r="P11" s="18" t="n">
        <v>2</v>
      </c>
      <c r="Q11" s="23" t="str">
        <f aca="false">IF(K11=0,"TIDAK ADA PETUGAS",IF(M11=0,"TIDAK ADA YANG LAYAK",IF(AND(M11&lt;=2,J11&gt;=10),"TERBATAS","ADA")))</f>
        <v>ADA</v>
      </c>
      <c r="R11" s="20"/>
    </row>
    <row r="12" customFormat="false" ht="18" hidden="false" customHeight="true" outlineLevel="0" collapsed="false">
      <c r="A12" s="20" t="s">
        <v>606</v>
      </c>
      <c r="B12" s="20" t="s">
        <v>193</v>
      </c>
      <c r="C12" s="20" t="s">
        <v>428</v>
      </c>
      <c r="D12" s="21" t="n">
        <v>3438</v>
      </c>
      <c r="E12" s="21" t="n">
        <v>150</v>
      </c>
      <c r="F12" s="21" t="n">
        <v>881</v>
      </c>
      <c r="G12" s="21" t="n">
        <v>1</v>
      </c>
      <c r="H12" s="21" t="n">
        <v>0</v>
      </c>
      <c r="I12" s="18" t="n">
        <v>7</v>
      </c>
      <c r="J12" s="18" t="n">
        <v>1</v>
      </c>
      <c r="K12" s="18" t="n">
        <v>2</v>
      </c>
      <c r="L12" s="18" t="n">
        <v>1</v>
      </c>
      <c r="M12" s="18" t="n">
        <v>1</v>
      </c>
      <c r="N12" s="18" t="n">
        <v>1</v>
      </c>
      <c r="O12" s="18" t="n">
        <v>0</v>
      </c>
      <c r="P12" s="18" t="n">
        <v>0</v>
      </c>
      <c r="Q12" s="23" t="str">
        <f aca="false">IF(K12=0,"TIDAK ADA PETUGAS",IF(M12=0,"TIDAK ADA YANG LAYAK",IF(AND(M12&lt;=2,J12&gt;=10),"TERBATAS","ADA")))</f>
        <v>ADA</v>
      </c>
      <c r="R12" s="20"/>
    </row>
    <row r="13" customFormat="false" ht="30" hidden="false" customHeight="true" outlineLevel="0" collapsed="false">
      <c r="A13" s="20" t="s">
        <v>607</v>
      </c>
      <c r="B13" s="20" t="s">
        <v>601</v>
      </c>
      <c r="C13" s="20" t="s">
        <v>441</v>
      </c>
      <c r="D13" s="21" t="n">
        <v>9148</v>
      </c>
      <c r="E13" s="21" t="n">
        <v>150</v>
      </c>
      <c r="F13" s="21" t="n">
        <v>2198</v>
      </c>
      <c r="G13" s="21" t="n">
        <v>1</v>
      </c>
      <c r="H13" s="21" t="n">
        <v>0</v>
      </c>
      <c r="I13" s="18" t="n">
        <v>21</v>
      </c>
      <c r="J13" s="18" t="n">
        <v>0</v>
      </c>
      <c r="K13" s="18" t="n">
        <v>8</v>
      </c>
      <c r="L13" s="18" t="n">
        <v>2</v>
      </c>
      <c r="M13" s="18" t="n">
        <v>2</v>
      </c>
      <c r="N13" s="18" t="n">
        <v>2</v>
      </c>
      <c r="O13" s="18" t="n">
        <v>1</v>
      </c>
      <c r="P13" s="18" t="n">
        <v>1</v>
      </c>
      <c r="Q13" s="23" t="str">
        <f aca="false">IF(K13=0,"TIDAK ADA PETUGAS",IF(M13=0,"TIDAK ADA YANG LAYAK",IF(AND(M13&lt;=2,J13&gt;=10),"TERBATAS","ADA")))</f>
        <v>ADA</v>
      </c>
      <c r="R13" s="20" t="s">
        <v>608</v>
      </c>
    </row>
    <row r="14" customFormat="false" ht="30" hidden="false" customHeight="true" outlineLevel="0" collapsed="false">
      <c r="A14" s="20" t="s">
        <v>609</v>
      </c>
      <c r="B14" s="20" t="s">
        <v>601</v>
      </c>
      <c r="C14" s="20" t="s">
        <v>440</v>
      </c>
      <c r="D14" s="21" t="n">
        <v>5716</v>
      </c>
      <c r="E14" s="21" t="n">
        <v>150</v>
      </c>
      <c r="F14" s="21" t="n">
        <v>1555</v>
      </c>
      <c r="G14" s="21" t="n">
        <v>1</v>
      </c>
      <c r="H14" s="21" t="n">
        <v>1</v>
      </c>
      <c r="I14" s="18" t="n">
        <v>13</v>
      </c>
      <c r="J14" s="18" t="n">
        <v>0</v>
      </c>
      <c r="K14" s="18" t="n">
        <v>9</v>
      </c>
      <c r="L14" s="18" t="n">
        <v>5</v>
      </c>
      <c r="M14" s="18" t="n">
        <v>3</v>
      </c>
      <c r="N14" s="18" t="n">
        <v>1</v>
      </c>
      <c r="O14" s="18" t="n">
        <v>2</v>
      </c>
      <c r="P14" s="18" t="n">
        <v>0</v>
      </c>
      <c r="Q14" s="23" t="str">
        <f aca="false">IF(K14=0,"TIDAK ADA PETUGAS",IF(M14=0,"TIDAK ADA YANG LAYAK",IF(AND(M14&lt;=2,J14&gt;=10),"TERBATAS","ADA")))</f>
        <v>ADA</v>
      </c>
      <c r="R14" s="20" t="s">
        <v>610</v>
      </c>
    </row>
    <row r="15" customFormat="false" ht="30" hidden="false" customHeight="true" outlineLevel="0" collapsed="false">
      <c r="A15" s="20" t="s">
        <v>611</v>
      </c>
      <c r="B15" s="20" t="s">
        <v>230</v>
      </c>
      <c r="C15" s="20" t="s">
        <v>231</v>
      </c>
      <c r="D15" s="21" t="n">
        <v>1868</v>
      </c>
      <c r="E15" s="21" t="n">
        <v>527</v>
      </c>
      <c r="F15" s="21" t="n">
        <v>510</v>
      </c>
      <c r="G15" s="21" t="n">
        <v>1</v>
      </c>
      <c r="H15" s="21" t="n">
        <v>0</v>
      </c>
      <c r="I15" s="18" t="n">
        <v>6</v>
      </c>
      <c r="J15" s="18" t="n">
        <v>2</v>
      </c>
      <c r="K15" s="18" t="n">
        <v>3</v>
      </c>
      <c r="L15" s="18" t="n">
        <v>1</v>
      </c>
      <c r="M15" s="18" t="n">
        <v>0</v>
      </c>
      <c r="N15" s="18" t="n">
        <v>0</v>
      </c>
      <c r="O15" s="18" t="n">
        <v>1</v>
      </c>
      <c r="P15" s="18" t="n">
        <v>0</v>
      </c>
      <c r="Q15" s="23" t="str">
        <f aca="false">IF(K15=0,"TIDAK ADA PETUGAS",IF(M15=0,"TIDAK ADA YANG LAYAK",IF(AND(M15&lt;=2,J15&gt;=10),"TERBATAS","ADA")))</f>
        <v>TIDAK ADA YANG LAYAK</v>
      </c>
      <c r="R15" s="20" t="s">
        <v>612</v>
      </c>
    </row>
    <row r="16" customFormat="false" ht="18" hidden="false" customHeight="true" outlineLevel="0" collapsed="false">
      <c r="A16" s="20" t="s">
        <v>613</v>
      </c>
      <c r="B16" s="20" t="s">
        <v>140</v>
      </c>
      <c r="C16" s="20" t="s">
        <v>141</v>
      </c>
      <c r="D16" s="21" t="n">
        <v>13608</v>
      </c>
      <c r="E16" s="21" t="n">
        <v>150</v>
      </c>
      <c r="F16" s="21" t="n">
        <v>3628</v>
      </c>
      <c r="G16" s="21" t="n">
        <v>2</v>
      </c>
      <c r="H16" s="21" t="n">
        <v>0</v>
      </c>
      <c r="I16" s="18" t="n">
        <v>37</v>
      </c>
      <c r="J16" s="18" t="n">
        <v>11</v>
      </c>
      <c r="K16" s="18" t="n">
        <v>16</v>
      </c>
      <c r="L16" s="18" t="n">
        <v>5</v>
      </c>
      <c r="M16" s="18" t="n">
        <v>3</v>
      </c>
      <c r="N16" s="18" t="n">
        <v>2</v>
      </c>
      <c r="O16" s="18" t="n">
        <v>2</v>
      </c>
      <c r="P16" s="18" t="n">
        <v>1</v>
      </c>
      <c r="Q16" s="23" t="str">
        <f aca="false">IF(K16=0,"TIDAK ADA PETUGAS",IF(M16=0,"TIDAK ADA YANG LAYAK",IF(AND(M16&lt;=2,J16&gt;=10),"TERBATAS","ADA")))</f>
        <v>ADA</v>
      </c>
      <c r="R16" s="20"/>
    </row>
    <row r="17" customFormat="false" ht="30" hidden="false" customHeight="true" outlineLevel="0" collapsed="false">
      <c r="A17" s="20" t="s">
        <v>614</v>
      </c>
      <c r="B17" s="20" t="s">
        <v>59</v>
      </c>
      <c r="C17" s="20" t="s">
        <v>77</v>
      </c>
      <c r="D17" s="21" t="n">
        <v>24802</v>
      </c>
      <c r="E17" s="21" t="n">
        <v>150</v>
      </c>
      <c r="F17" s="21" t="n">
        <v>6564</v>
      </c>
      <c r="G17" s="21" t="n">
        <v>2</v>
      </c>
      <c r="H17" s="21" t="n">
        <v>2</v>
      </c>
      <c r="I17" s="18" t="n">
        <v>55</v>
      </c>
      <c r="J17" s="18" t="n">
        <v>11</v>
      </c>
      <c r="K17" s="18" t="n">
        <v>23</v>
      </c>
      <c r="L17" s="18" t="n">
        <v>5</v>
      </c>
      <c r="M17" s="18" t="n">
        <v>3</v>
      </c>
      <c r="N17" s="18" t="n">
        <v>0</v>
      </c>
      <c r="O17" s="18" t="n">
        <v>3</v>
      </c>
      <c r="P17" s="18" t="n">
        <v>1</v>
      </c>
      <c r="Q17" s="23" t="str">
        <f aca="false">IF(K17=0,"TIDAK ADA PETUGAS",IF(M17=0,"TIDAK ADA YANG LAYAK",IF(AND(M17&lt;=2,J17&gt;=10),"TERBATAS","ADA")))</f>
        <v>ADA</v>
      </c>
      <c r="R17" s="20" t="s">
        <v>615</v>
      </c>
    </row>
    <row r="18" customFormat="false" ht="30" hidden="false" customHeight="true" outlineLevel="0" collapsed="false">
      <c r="A18" s="20" t="s">
        <v>616</v>
      </c>
      <c r="B18" s="20" t="s">
        <v>230</v>
      </c>
      <c r="C18" s="20" t="s">
        <v>244</v>
      </c>
      <c r="D18" s="21" t="n">
        <v>2333</v>
      </c>
      <c r="E18" s="21" t="n">
        <v>685</v>
      </c>
      <c r="F18" s="21" t="n">
        <v>630</v>
      </c>
      <c r="G18" s="21" t="n">
        <v>2</v>
      </c>
      <c r="H18" s="21" t="n">
        <v>0</v>
      </c>
      <c r="I18" s="18" t="n">
        <v>10</v>
      </c>
      <c r="J18" s="18" t="n">
        <v>4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23" t="str">
        <f aca="false">IF(K18=0,"TIDAK ADA PETUGAS",IF(M18=0,"TIDAK ADA YANG LAYAK",IF(AND(M18&lt;=2,J18&gt;=10),"TERBATAS","ADA")))</f>
        <v>TIDAK ADA PETUGAS</v>
      </c>
      <c r="R18" s="20" t="s">
        <v>617</v>
      </c>
    </row>
    <row r="19" customFormat="false" ht="18" hidden="false" customHeight="true" outlineLevel="0" collapsed="false">
      <c r="A19" s="20" t="s">
        <v>618</v>
      </c>
      <c r="B19" s="20" t="s">
        <v>221</v>
      </c>
      <c r="C19" s="20" t="s">
        <v>310</v>
      </c>
      <c r="D19" s="21" t="n">
        <v>24119</v>
      </c>
      <c r="E19" s="21" t="n">
        <v>6852</v>
      </c>
      <c r="F19" s="21" t="n">
        <v>5981</v>
      </c>
      <c r="G19" s="21" t="n">
        <v>3</v>
      </c>
      <c r="H19" s="21" t="n">
        <v>0</v>
      </c>
      <c r="I19" s="18" t="n">
        <v>60</v>
      </c>
      <c r="J19" s="18" t="n">
        <v>18</v>
      </c>
      <c r="K19" s="18" t="n">
        <v>37</v>
      </c>
      <c r="L19" s="18" t="n">
        <v>14</v>
      </c>
      <c r="M19" s="18" t="n">
        <v>6</v>
      </c>
      <c r="N19" s="18" t="n">
        <v>10</v>
      </c>
      <c r="O19" s="18" t="n">
        <v>0</v>
      </c>
      <c r="P19" s="18" t="n">
        <v>12</v>
      </c>
      <c r="Q19" s="23" t="str">
        <f aca="false">IF(K19=0,"TIDAK ADA PETUGAS",IF(M19=0,"TIDAK ADA YANG LAYAK",IF(AND(M19&lt;=2,J19&gt;=10),"TERBATAS","ADA")))</f>
        <v>ADA</v>
      </c>
      <c r="R19" s="20"/>
    </row>
    <row r="20" customFormat="false" ht="30" hidden="false" customHeight="true" outlineLevel="0" collapsed="false">
      <c r="A20" s="20" t="s">
        <v>619</v>
      </c>
      <c r="B20" s="20" t="s">
        <v>140</v>
      </c>
      <c r="C20" s="20" t="s">
        <v>566</v>
      </c>
      <c r="D20" s="21" t="n">
        <v>10902</v>
      </c>
      <c r="E20" s="21" t="n">
        <v>150</v>
      </c>
      <c r="F20" s="21" t="n">
        <v>2823</v>
      </c>
      <c r="G20" s="21" t="n">
        <v>4</v>
      </c>
      <c r="H20" s="21" t="n">
        <v>0</v>
      </c>
      <c r="I20" s="18" t="n">
        <v>29</v>
      </c>
      <c r="J20" s="18" t="n">
        <v>5</v>
      </c>
      <c r="K20" s="18" t="n">
        <v>8</v>
      </c>
      <c r="L20" s="18" t="n">
        <v>1</v>
      </c>
      <c r="M20" s="18" t="n">
        <v>0</v>
      </c>
      <c r="N20" s="18" t="n">
        <v>1</v>
      </c>
      <c r="O20" s="18" t="n">
        <v>0</v>
      </c>
      <c r="P20" s="18" t="n">
        <v>0</v>
      </c>
      <c r="Q20" s="23" t="str">
        <f aca="false">IF(K20=0,"TIDAK ADA PETUGAS",IF(M20=0,"TIDAK ADA YANG LAYAK",IF(AND(M20&lt;=2,J20&gt;=10),"TERBATAS","ADA")))</f>
        <v>TIDAK ADA YANG LAYAK</v>
      </c>
      <c r="R20" s="20" t="s">
        <v>620</v>
      </c>
    </row>
    <row r="21" customFormat="false" ht="30" hidden="false" customHeight="true" outlineLevel="0" collapsed="false">
      <c r="A21" s="20" t="s">
        <v>621</v>
      </c>
      <c r="B21" s="20" t="s">
        <v>59</v>
      </c>
      <c r="C21" s="20" t="s">
        <v>60</v>
      </c>
      <c r="D21" s="21" t="n">
        <v>22909</v>
      </c>
      <c r="E21" s="21" t="n">
        <v>150</v>
      </c>
      <c r="F21" s="21" t="n">
        <v>4455</v>
      </c>
      <c r="G21" s="21" t="n">
        <v>4</v>
      </c>
      <c r="H21" s="21" t="n">
        <v>41</v>
      </c>
      <c r="I21" s="18" t="n">
        <v>55</v>
      </c>
      <c r="J21" s="18" t="n">
        <v>1</v>
      </c>
      <c r="K21" s="18" t="n">
        <v>22</v>
      </c>
      <c r="L21" s="18" t="n">
        <v>2</v>
      </c>
      <c r="M21" s="18" t="n">
        <v>1</v>
      </c>
      <c r="N21" s="18" t="n">
        <v>0</v>
      </c>
      <c r="O21" s="18" t="n">
        <v>2</v>
      </c>
      <c r="P21" s="18" t="n">
        <v>0</v>
      </c>
      <c r="Q21" s="23" t="str">
        <f aca="false">IF(K21=0,"TIDAK ADA PETUGAS",IF(M21=0,"TIDAK ADA YANG LAYAK",IF(AND(M21&lt;=2,J21&gt;=10),"TERBATAS","ADA")))</f>
        <v>ADA</v>
      </c>
      <c r="R21" s="20" t="s">
        <v>622</v>
      </c>
    </row>
    <row r="22" customFormat="false" ht="18" hidden="false" customHeight="true" outlineLevel="0" collapsed="false">
      <c r="A22" s="20" t="s">
        <v>623</v>
      </c>
      <c r="B22" s="20" t="s">
        <v>193</v>
      </c>
      <c r="C22" s="20" t="s">
        <v>382</v>
      </c>
      <c r="D22" s="21" t="n">
        <v>10458</v>
      </c>
      <c r="E22" s="21" t="n">
        <v>150</v>
      </c>
      <c r="F22" s="21" t="n">
        <v>2715</v>
      </c>
      <c r="G22" s="21" t="n">
        <v>6</v>
      </c>
      <c r="H22" s="21" t="n">
        <v>0</v>
      </c>
      <c r="I22" s="18" t="n">
        <v>26</v>
      </c>
      <c r="J22" s="18" t="n">
        <v>7</v>
      </c>
      <c r="K22" s="18" t="n">
        <v>14</v>
      </c>
      <c r="L22" s="18" t="n">
        <v>5</v>
      </c>
      <c r="M22" s="18" t="n">
        <v>3</v>
      </c>
      <c r="N22" s="18" t="n">
        <v>3</v>
      </c>
      <c r="O22" s="18" t="n">
        <v>1</v>
      </c>
      <c r="P22" s="18" t="n">
        <v>3</v>
      </c>
      <c r="Q22" s="23" t="str">
        <f aca="false">IF(K22=0,"TIDAK ADA PETUGAS",IF(M22=0,"TIDAK ADA YANG LAYAK",IF(AND(M22&lt;=2,J22&gt;=10),"TERBATAS","ADA")))</f>
        <v>ADA</v>
      </c>
      <c r="R22" s="20"/>
    </row>
    <row r="23" customFormat="false" ht="30" hidden="false" customHeight="true" outlineLevel="0" collapsed="false">
      <c r="A23" s="20" t="s">
        <v>624</v>
      </c>
      <c r="B23" s="20" t="s">
        <v>221</v>
      </c>
      <c r="C23" s="20" t="s">
        <v>222</v>
      </c>
      <c r="D23" s="21" t="n">
        <v>3625</v>
      </c>
      <c r="E23" s="21" t="n">
        <v>903</v>
      </c>
      <c r="F23" s="21" t="n">
        <v>943</v>
      </c>
      <c r="G23" s="21" t="n">
        <v>17</v>
      </c>
      <c r="H23" s="21" t="n">
        <v>6</v>
      </c>
      <c r="I23" s="18" t="n">
        <v>8</v>
      </c>
      <c r="J23" s="18" t="n">
        <v>4</v>
      </c>
      <c r="K23" s="18" t="n">
        <v>4</v>
      </c>
      <c r="L23" s="18" t="n">
        <v>1</v>
      </c>
      <c r="M23" s="18" t="n">
        <v>0</v>
      </c>
      <c r="N23" s="18" t="n">
        <v>0</v>
      </c>
      <c r="O23" s="18" t="n">
        <v>0</v>
      </c>
      <c r="P23" s="18" t="n">
        <v>0</v>
      </c>
      <c r="Q23" s="23" t="str">
        <f aca="false">IF(K23=0,"TIDAK ADA PETUGAS",IF(M23=0,"TIDAK ADA YANG LAYAK",IF(AND(M23&lt;=2,J23&gt;=10),"TERBATAS","ADA")))</f>
        <v>TIDAK ADA YANG LAYAK</v>
      </c>
      <c r="R23" s="20" t="s">
        <v>625</v>
      </c>
    </row>
    <row r="24" customFormat="false" ht="18" hidden="false" customHeight="true" outlineLevel="0" collapsed="false">
      <c r="A24" s="20" t="s">
        <v>626</v>
      </c>
      <c r="B24" s="20" t="s">
        <v>193</v>
      </c>
      <c r="C24" s="20" t="s">
        <v>349</v>
      </c>
      <c r="D24" s="21" t="n">
        <v>7276</v>
      </c>
      <c r="E24" s="21" t="n">
        <v>150</v>
      </c>
      <c r="F24" s="21" t="n">
        <v>1980</v>
      </c>
      <c r="G24" s="21" t="n">
        <v>20</v>
      </c>
      <c r="H24" s="21" t="n">
        <v>0</v>
      </c>
      <c r="I24" s="18" t="n">
        <v>21</v>
      </c>
      <c r="J24" s="18" t="n">
        <v>3</v>
      </c>
      <c r="K24" s="18" t="n">
        <v>10</v>
      </c>
      <c r="L24" s="18" t="n">
        <v>4</v>
      </c>
      <c r="M24" s="18" t="n">
        <v>3</v>
      </c>
      <c r="N24" s="18" t="n">
        <v>3</v>
      </c>
      <c r="O24" s="18" t="n">
        <v>0</v>
      </c>
      <c r="P24" s="18" t="n">
        <v>3</v>
      </c>
      <c r="Q24" s="23" t="str">
        <f aca="false">IF(K24=0,"TIDAK ADA PETUGAS",IF(M24=0,"TIDAK ADA YANG LAYAK",IF(AND(M24&lt;=2,J24&gt;=10),"TERBATAS","ADA")))</f>
        <v>ADA</v>
      </c>
      <c r="R24" s="20"/>
    </row>
    <row r="25" customFormat="false" ht="18" hidden="false" customHeight="true" outlineLevel="0" collapsed="false">
      <c r="A25" s="20" t="s">
        <v>627</v>
      </c>
      <c r="B25" s="20" t="s">
        <v>59</v>
      </c>
      <c r="C25" s="20" t="s">
        <v>438</v>
      </c>
      <c r="D25" s="21" t="n">
        <v>12247</v>
      </c>
      <c r="E25" s="21" t="n">
        <v>150</v>
      </c>
      <c r="F25" s="21" t="n">
        <v>3163</v>
      </c>
      <c r="G25" s="21" t="n">
        <v>28</v>
      </c>
      <c r="H25" s="21" t="n">
        <v>18</v>
      </c>
      <c r="I25" s="18" t="n">
        <v>26</v>
      </c>
      <c r="J25" s="18" t="n">
        <v>12</v>
      </c>
      <c r="K25" s="18" t="n">
        <v>9</v>
      </c>
      <c r="L25" s="18" t="n">
        <v>7</v>
      </c>
      <c r="M25" s="18" t="n">
        <v>5</v>
      </c>
      <c r="N25" s="18" t="n">
        <v>2</v>
      </c>
      <c r="O25" s="18" t="n">
        <v>1</v>
      </c>
      <c r="P25" s="18" t="n">
        <v>2</v>
      </c>
      <c r="Q25" s="23" t="str">
        <f aca="false">IF(K25=0,"TIDAK ADA PETUGAS",IF(M25=0,"TIDAK ADA YANG LAYAK",IF(AND(M25&lt;=2,J25&gt;=10),"TERBATAS","ADA")))</f>
        <v>ADA</v>
      </c>
      <c r="R25" s="20"/>
    </row>
    <row r="26" customFormat="false" ht="18" hidden="false" customHeight="true" outlineLevel="0" collapsed="false">
      <c r="A26" s="20" t="s">
        <v>628</v>
      </c>
      <c r="B26" s="20" t="s">
        <v>266</v>
      </c>
      <c r="C26" s="20" t="s">
        <v>376</v>
      </c>
      <c r="D26" s="21" t="n">
        <v>1535</v>
      </c>
      <c r="E26" s="21" t="n">
        <v>484</v>
      </c>
      <c r="F26" s="21" t="n">
        <v>451</v>
      </c>
      <c r="G26" s="21" t="n">
        <v>55</v>
      </c>
      <c r="H26" s="21" t="n">
        <v>0</v>
      </c>
      <c r="I26" s="18" t="n">
        <v>5</v>
      </c>
      <c r="J26" s="18" t="n">
        <v>3</v>
      </c>
      <c r="K26" s="18" t="n">
        <v>3</v>
      </c>
      <c r="L26" s="18" t="n">
        <v>3</v>
      </c>
      <c r="M26" s="18" t="n">
        <v>2</v>
      </c>
      <c r="N26" s="18" t="n">
        <v>2</v>
      </c>
      <c r="O26" s="18" t="n">
        <v>0</v>
      </c>
      <c r="P26" s="18" t="n">
        <v>3</v>
      </c>
      <c r="Q26" s="23" t="str">
        <f aca="false">IF(K26=0,"TIDAK ADA PETUGAS",IF(M26=0,"TIDAK ADA YANG LAYAK",IF(AND(M26&lt;=2,J26&gt;=10),"TERBATAS","ADA")))</f>
        <v>ADA</v>
      </c>
      <c r="R26" s="20"/>
    </row>
    <row r="27" customFormat="false" ht="18" hidden="false" customHeight="true" outlineLevel="0" collapsed="false">
      <c r="A27" s="20" t="s">
        <v>629</v>
      </c>
      <c r="B27" s="20" t="s">
        <v>266</v>
      </c>
      <c r="C27" s="20" t="s">
        <v>364</v>
      </c>
      <c r="D27" s="21" t="n">
        <v>8072</v>
      </c>
      <c r="E27" s="21" t="n">
        <v>1892</v>
      </c>
      <c r="F27" s="21" t="n">
        <v>2108</v>
      </c>
      <c r="G27" s="21" t="n">
        <v>64</v>
      </c>
      <c r="H27" s="21" t="n">
        <v>63</v>
      </c>
      <c r="I27" s="18" t="n">
        <v>17</v>
      </c>
      <c r="J27" s="18" t="n">
        <v>9</v>
      </c>
      <c r="K27" s="18" t="n">
        <v>13</v>
      </c>
      <c r="L27" s="18" t="n">
        <v>7</v>
      </c>
      <c r="M27" s="18" t="n">
        <v>1</v>
      </c>
      <c r="N27" s="18" t="n">
        <v>4</v>
      </c>
      <c r="O27" s="18" t="n">
        <v>2</v>
      </c>
      <c r="P27" s="18" t="n">
        <v>4</v>
      </c>
      <c r="Q27" s="23" t="str">
        <f aca="false">IF(K27=0,"TIDAK ADA PETUGAS",IF(M27=0,"TIDAK ADA YANG LAYAK",IF(AND(M27&lt;=2,J27&gt;=10),"TERBATAS","ADA")))</f>
        <v>ADA</v>
      </c>
      <c r="R27" s="20"/>
    </row>
    <row r="28" customFormat="false" ht="30" hidden="false" customHeight="true" outlineLevel="0" collapsed="false">
      <c r="A28" s="20" t="s">
        <v>630</v>
      </c>
      <c r="B28" s="20" t="s">
        <v>631</v>
      </c>
      <c r="C28" s="20" t="s">
        <v>444</v>
      </c>
      <c r="D28" s="21" t="n">
        <v>7123</v>
      </c>
      <c r="E28" s="21" t="n">
        <v>300</v>
      </c>
      <c r="F28" s="21" t="n">
        <v>2047</v>
      </c>
      <c r="G28" s="21" t="n">
        <v>97</v>
      </c>
      <c r="H28" s="21" t="n">
        <v>0</v>
      </c>
      <c r="I28" s="18" t="n">
        <v>19</v>
      </c>
      <c r="J28" s="18" t="n">
        <v>2</v>
      </c>
      <c r="K28" s="18" t="n">
        <v>8</v>
      </c>
      <c r="L28" s="18" t="n">
        <v>1</v>
      </c>
      <c r="M28" s="18" t="n">
        <v>0</v>
      </c>
      <c r="N28" s="18" t="n">
        <v>1</v>
      </c>
      <c r="O28" s="18" t="n">
        <v>1</v>
      </c>
      <c r="P28" s="18" t="n">
        <v>0</v>
      </c>
      <c r="Q28" s="23" t="str">
        <f aca="false">IF(K28=0,"TIDAK ADA PETUGAS",IF(M28=0,"TIDAK ADA YANG LAYAK",IF(AND(M28&lt;=2,J28&gt;=10),"TERBATAS","ADA")))</f>
        <v>TIDAK ADA YANG LAYAK</v>
      </c>
      <c r="R28" s="20" t="s">
        <v>632</v>
      </c>
    </row>
    <row r="29" customFormat="false" ht="30" hidden="false" customHeight="true" outlineLevel="0" collapsed="false">
      <c r="A29" s="20" t="s">
        <v>633</v>
      </c>
      <c r="B29" s="20" t="s">
        <v>634</v>
      </c>
      <c r="C29" s="20" t="s">
        <v>358</v>
      </c>
      <c r="D29" s="21" t="n">
        <v>11175</v>
      </c>
      <c r="E29" s="21" t="n">
        <v>2457</v>
      </c>
      <c r="F29" s="21" t="n">
        <v>2565</v>
      </c>
      <c r="G29" s="21" t="n">
        <v>133</v>
      </c>
      <c r="H29" s="21" t="n">
        <v>7</v>
      </c>
      <c r="I29" s="18" t="n">
        <v>30</v>
      </c>
      <c r="J29" s="18" t="n">
        <v>30</v>
      </c>
      <c r="K29" s="18" t="n">
        <v>7</v>
      </c>
      <c r="L29" s="18" t="n">
        <v>6</v>
      </c>
      <c r="M29" s="18" t="n">
        <v>2</v>
      </c>
      <c r="N29" s="18" t="n">
        <v>3</v>
      </c>
      <c r="O29" s="18" t="n">
        <v>1</v>
      </c>
      <c r="P29" s="18" t="n">
        <v>4</v>
      </c>
      <c r="Q29" s="23" t="str">
        <f aca="false">IF(K29=0,"TIDAK ADA PETUGAS",IF(M29=0,"TIDAK ADA YANG LAYAK",IF(AND(M29&lt;=2,J29&gt;=10),"TERBATAS","ADA")))</f>
        <v>TERBATAS</v>
      </c>
      <c r="R29" s="20" t="s">
        <v>635</v>
      </c>
    </row>
    <row r="30" customFormat="false" ht="18" hidden="false" customHeight="true" outlineLevel="0" collapsed="false">
      <c r="A30" s="20" t="s">
        <v>636</v>
      </c>
      <c r="B30" s="20" t="s">
        <v>634</v>
      </c>
      <c r="C30" s="20" t="s">
        <v>400</v>
      </c>
      <c r="D30" s="21" t="n">
        <v>2310</v>
      </c>
      <c r="E30" s="21" t="n">
        <v>624</v>
      </c>
      <c r="F30" s="21" t="n">
        <v>579</v>
      </c>
      <c r="G30" s="21" t="n">
        <v>145</v>
      </c>
      <c r="H30" s="21" t="n">
        <v>64</v>
      </c>
      <c r="I30" s="18" t="n">
        <v>6</v>
      </c>
      <c r="J30" s="18" t="n">
        <v>6</v>
      </c>
      <c r="K30" s="18" t="n">
        <v>5</v>
      </c>
      <c r="L30" s="18" t="n">
        <v>3</v>
      </c>
      <c r="M30" s="18" t="n">
        <v>1</v>
      </c>
      <c r="N30" s="18" t="n">
        <v>3</v>
      </c>
      <c r="O30" s="18" t="n">
        <v>1</v>
      </c>
      <c r="P30" s="18" t="n">
        <v>2</v>
      </c>
      <c r="Q30" s="23" t="str">
        <f aca="false">IF(K30=0,"TIDAK ADA PETUGAS",IF(M30=0,"TIDAK ADA YANG LAYAK",IF(AND(M30&lt;=2,J30&gt;=10),"TERBATAS","ADA")))</f>
        <v>ADA</v>
      </c>
      <c r="R30" s="20"/>
    </row>
    <row r="31" customFormat="false" ht="30" hidden="false" customHeight="true" outlineLevel="0" collapsed="false">
      <c r="A31" s="20" t="s">
        <v>637</v>
      </c>
      <c r="B31" s="20" t="s">
        <v>266</v>
      </c>
      <c r="C31" s="20" t="s">
        <v>367</v>
      </c>
      <c r="D31" s="21" t="n">
        <v>5735</v>
      </c>
      <c r="E31" s="21" t="n">
        <v>1571</v>
      </c>
      <c r="F31" s="21" t="n">
        <v>1522</v>
      </c>
      <c r="G31" s="21" t="n">
        <v>326</v>
      </c>
      <c r="H31" s="21" t="n">
        <v>0</v>
      </c>
      <c r="I31" s="18" t="n">
        <v>23</v>
      </c>
      <c r="J31" s="18" t="n">
        <v>23</v>
      </c>
      <c r="K31" s="18" t="n">
        <v>8</v>
      </c>
      <c r="L31" s="18" t="n">
        <v>2</v>
      </c>
      <c r="M31" s="18" t="n">
        <v>1</v>
      </c>
      <c r="N31" s="18" t="n">
        <v>1</v>
      </c>
      <c r="O31" s="18" t="n">
        <v>1</v>
      </c>
      <c r="P31" s="18" t="n">
        <v>1</v>
      </c>
      <c r="Q31" s="23" t="str">
        <f aca="false">IF(K31=0,"TIDAK ADA PETUGAS",IF(M31=0,"TIDAK ADA YANG LAYAK",IF(AND(M31&lt;=2,J31&gt;=10),"TERBATAS","ADA")))</f>
        <v>TERBATAS</v>
      </c>
      <c r="R31" s="20" t="s">
        <v>638</v>
      </c>
    </row>
    <row r="32" customFormat="false" ht="30" hidden="false" customHeight="true" outlineLevel="0" collapsed="false">
      <c r="A32" s="20" t="s">
        <v>639</v>
      </c>
      <c r="B32" s="20" t="s">
        <v>266</v>
      </c>
      <c r="C32" s="20" t="s">
        <v>267</v>
      </c>
      <c r="D32" s="21" t="n">
        <v>4731</v>
      </c>
      <c r="E32" s="21" t="n">
        <v>1266</v>
      </c>
      <c r="F32" s="21" t="n">
        <v>1198</v>
      </c>
      <c r="G32" s="21" t="n">
        <v>326</v>
      </c>
      <c r="H32" s="21" t="n">
        <v>20</v>
      </c>
      <c r="I32" s="18" t="n">
        <v>15</v>
      </c>
      <c r="J32" s="18" t="n">
        <v>12</v>
      </c>
      <c r="K32" s="18" t="n">
        <v>2</v>
      </c>
      <c r="L32" s="18" t="n">
        <v>1</v>
      </c>
      <c r="M32" s="18" t="n">
        <v>0</v>
      </c>
      <c r="N32" s="18" t="n">
        <v>1</v>
      </c>
      <c r="O32" s="18" t="n">
        <v>0</v>
      </c>
      <c r="P32" s="18" t="n">
        <v>0</v>
      </c>
      <c r="Q32" s="23" t="str">
        <f aca="false">IF(K32=0,"TIDAK ADA PETUGAS",IF(M32=0,"TIDAK ADA YANG LAYAK",IF(AND(M32&lt;=2,J32&gt;=10),"TERBATAS","ADA")))</f>
        <v>TIDAK ADA YANG LAYAK</v>
      </c>
      <c r="R32" s="20" t="s">
        <v>640</v>
      </c>
    </row>
    <row r="33" customFormat="false" ht="30" hidden="false" customHeight="true" outlineLevel="0" collapsed="false">
      <c r="A33" s="20" t="s">
        <v>641</v>
      </c>
      <c r="B33" s="20" t="s">
        <v>221</v>
      </c>
      <c r="C33" s="20" t="s">
        <v>340</v>
      </c>
      <c r="D33" s="21" t="n">
        <v>15123</v>
      </c>
      <c r="E33" s="21" t="n">
        <v>4581</v>
      </c>
      <c r="F33" s="21" t="n">
        <v>3972</v>
      </c>
      <c r="G33" s="21" t="n">
        <v>500</v>
      </c>
      <c r="H33" s="21" t="n">
        <v>0</v>
      </c>
      <c r="I33" s="18" t="n">
        <v>36</v>
      </c>
      <c r="J33" s="18" t="n">
        <v>27</v>
      </c>
      <c r="K33" s="18" t="n">
        <v>16</v>
      </c>
      <c r="L33" s="18" t="n">
        <v>7</v>
      </c>
      <c r="M33" s="18" t="n">
        <v>2</v>
      </c>
      <c r="N33" s="18" t="n">
        <v>4</v>
      </c>
      <c r="O33" s="18" t="n">
        <v>1</v>
      </c>
      <c r="P33" s="18" t="n">
        <v>6</v>
      </c>
      <c r="Q33" s="23" t="str">
        <f aca="false">IF(K33=0,"TIDAK ADA PETUGAS",IF(M33=0,"TIDAK ADA YANG LAYAK",IF(AND(M33&lt;=2,J33&gt;=10),"TERBATAS","ADA")))</f>
        <v>TERBATAS</v>
      </c>
      <c r="R33" s="20" t="s">
        <v>642</v>
      </c>
    </row>
  </sheetData>
  <autoFilter ref="A4:R33"/>
  <conditionalFormatting sqref="Q5:Q33">
    <cfRule type="expression" priority="2" aboveAverage="0" equalAverage="0" bottom="0" percent="0" rank="0" text="" dxfId="7">
      <formula>LEFT(Q5,5)="TIDAK"</formula>
    </cfRule>
    <cfRule type="expression" priority="3" aboveAverage="0" equalAverage="0" bottom="0" percent="0" rank="0" text="" dxfId="8">
      <formula>Q5="TERBATAS"</formula>
    </cfRule>
    <cfRule type="expression" priority="4" aboveAverage="0" equalAverage="0" bottom="0" percent="0" rank="0" text="" dxfId="9">
      <formula>Q5="ADA"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52"/>
    <col collapsed="false" customWidth="true" hidden="false" outlineLevel="0" max="16" min="16" style="1" width="16"/>
    <col collapsed="false" customWidth="true" hidden="false" outlineLevel="0" max="17" min="17" style="1" width="12"/>
    <col collapsed="false" customWidth="true" hidden="false" outlineLevel="0" max="18" min="18" style="1" width="18"/>
    <col collapsed="false" customWidth="true" hidden="false" outlineLevel="0" max="19" min="19" style="1" width="28"/>
    <col collapsed="false" customWidth="true" hidden="false" outlineLevel="0" max="20" min="20" style="1" width="40"/>
    <col collapsed="false" customWidth="true" hidden="false" outlineLevel="0" max="21" min="21" style="0" width="30"/>
    <col collapsed="false" customWidth="true" hidden="false" outlineLevel="0" max="22" min="22" style="0" width="18"/>
  </cols>
  <sheetData>
    <row r="1" customFormat="false" ht="31.5" hidden="false" customHeight="true" outlineLevel="0" collapsed="false">
      <c r="A1" s="35" t="s">
        <v>39</v>
      </c>
      <c r="B1" s="35" t="s">
        <v>36</v>
      </c>
      <c r="C1" s="35" t="s">
        <v>37</v>
      </c>
      <c r="D1" s="35" t="s">
        <v>643</v>
      </c>
      <c r="E1" s="35" t="s">
        <v>3</v>
      </c>
      <c r="F1" s="35" t="s">
        <v>644</v>
      </c>
      <c r="G1" s="35" t="s">
        <v>645</v>
      </c>
      <c r="H1" s="35" t="s">
        <v>646</v>
      </c>
      <c r="I1" s="35" t="s">
        <v>40</v>
      </c>
      <c r="J1" s="35" t="s">
        <v>647</v>
      </c>
      <c r="K1" s="35" t="s">
        <v>648</v>
      </c>
      <c r="L1" s="35" t="s">
        <v>649</v>
      </c>
      <c r="M1" s="35" t="s">
        <v>650</v>
      </c>
      <c r="N1" s="35" t="s">
        <v>651</v>
      </c>
      <c r="O1" s="35" t="s">
        <v>652</v>
      </c>
      <c r="P1" s="35" t="s">
        <v>653</v>
      </c>
      <c r="Q1" s="35" t="s">
        <v>580</v>
      </c>
      <c r="R1" s="35" t="s">
        <v>654</v>
      </c>
      <c r="S1" s="35" t="s">
        <v>285</v>
      </c>
      <c r="T1" s="35" t="s">
        <v>655</v>
      </c>
    </row>
    <row r="2" customFormat="false" ht="15" hidden="false" customHeight="true" outlineLevel="0" collapsed="false">
      <c r="A2" s="36" t="s">
        <v>656</v>
      </c>
      <c r="B2" s="37" t="s">
        <v>631</v>
      </c>
      <c r="C2" s="37" t="s">
        <v>444</v>
      </c>
      <c r="D2" s="37" t="s">
        <v>657</v>
      </c>
      <c r="E2" s="36" t="s">
        <v>62</v>
      </c>
      <c r="F2" s="38" t="s">
        <v>11</v>
      </c>
      <c r="G2" s="36" t="s">
        <v>68</v>
      </c>
      <c r="H2" s="36" t="s">
        <v>658</v>
      </c>
      <c r="I2" s="37" t="n">
        <v>114</v>
      </c>
      <c r="J2" s="37"/>
      <c r="K2" s="37" t="n">
        <v>0</v>
      </c>
      <c r="L2" s="37" t="n">
        <v>0</v>
      </c>
      <c r="M2" s="37"/>
      <c r="N2" s="37"/>
      <c r="O2" s="37" t="s">
        <v>659</v>
      </c>
      <c r="P2" s="37" t="s">
        <v>660</v>
      </c>
      <c r="Q2" s="37" t="s">
        <v>630</v>
      </c>
      <c r="R2" s="36" t="str">
        <f aca="false">IF(H2="Ya",IF(M2&lt;&gt;"","SUDAH PLOTTING","BELUM PLOTTING"),"-")</f>
        <v>-</v>
      </c>
      <c r="S2" s="37" t="s">
        <v>35</v>
      </c>
      <c r="T2" s="37"/>
      <c r="U2" s="17" t="s">
        <v>661</v>
      </c>
      <c r="V2" s="17" t="s">
        <v>662</v>
      </c>
    </row>
    <row r="3" customFormat="false" ht="15" hidden="false" customHeight="true" outlineLevel="0" collapsed="false">
      <c r="A3" s="36" t="s">
        <v>663</v>
      </c>
      <c r="B3" s="37" t="s">
        <v>631</v>
      </c>
      <c r="C3" s="37" t="s">
        <v>444</v>
      </c>
      <c r="D3" s="37" t="s">
        <v>664</v>
      </c>
      <c r="E3" s="36" t="s">
        <v>62</v>
      </c>
      <c r="F3" s="38" t="s">
        <v>11</v>
      </c>
      <c r="G3" s="36" t="s">
        <v>68</v>
      </c>
      <c r="H3" s="36" t="s">
        <v>658</v>
      </c>
      <c r="I3" s="37" t="n">
        <v>128</v>
      </c>
      <c r="J3" s="37"/>
      <c r="K3" s="37" t="n">
        <v>0</v>
      </c>
      <c r="L3" s="37" t="n">
        <v>0</v>
      </c>
      <c r="M3" s="37"/>
      <c r="N3" s="37"/>
      <c r="O3" s="37" t="s">
        <v>659</v>
      </c>
      <c r="P3" s="37" t="s">
        <v>665</v>
      </c>
      <c r="Q3" s="37" t="s">
        <v>630</v>
      </c>
      <c r="R3" s="36" t="str">
        <f aca="false">IF(H3="Ya",IF(M3&lt;&gt;"","SUDAH PLOTTING","BELUM PLOTTING"),"-")</f>
        <v>-</v>
      </c>
      <c r="S3" s="37"/>
      <c r="T3" s="37"/>
    </row>
    <row r="4" customFormat="false" ht="15" hidden="false" customHeight="true" outlineLevel="0" collapsed="false">
      <c r="A4" s="36" t="s">
        <v>666</v>
      </c>
      <c r="B4" s="37" t="s">
        <v>631</v>
      </c>
      <c r="C4" s="37" t="s">
        <v>444</v>
      </c>
      <c r="D4" s="37" t="s">
        <v>667</v>
      </c>
      <c r="E4" s="36" t="s">
        <v>62</v>
      </c>
      <c r="F4" s="38" t="s">
        <v>11</v>
      </c>
      <c r="G4" s="36" t="s">
        <v>68</v>
      </c>
      <c r="H4" s="36" t="s">
        <v>658</v>
      </c>
      <c r="I4" s="37" t="n">
        <v>233</v>
      </c>
      <c r="J4" s="37"/>
      <c r="K4" s="37" t="n">
        <v>0</v>
      </c>
      <c r="L4" s="37" t="n">
        <v>0</v>
      </c>
      <c r="M4" s="37"/>
      <c r="N4" s="37"/>
      <c r="O4" s="37" t="s">
        <v>659</v>
      </c>
      <c r="P4" s="37" t="s">
        <v>668</v>
      </c>
      <c r="Q4" s="37" t="s">
        <v>630</v>
      </c>
      <c r="R4" s="36" t="str">
        <f aca="false">IF(H4="Ya",IF(M4&lt;&gt;"","SUDAH PLOTTING","BELUM PLOTTING"),"-")</f>
        <v>-</v>
      </c>
      <c r="S4" s="37"/>
      <c r="T4" s="37"/>
    </row>
    <row r="5" customFormat="false" ht="15" hidden="false" customHeight="true" outlineLevel="0" collapsed="false">
      <c r="A5" s="36" t="s">
        <v>669</v>
      </c>
      <c r="B5" s="37" t="s">
        <v>631</v>
      </c>
      <c r="C5" s="37" t="s">
        <v>444</v>
      </c>
      <c r="D5" s="37" t="s">
        <v>670</v>
      </c>
      <c r="E5" s="36" t="s">
        <v>79</v>
      </c>
      <c r="F5" s="38" t="s">
        <v>11</v>
      </c>
      <c r="G5" s="36" t="s">
        <v>68</v>
      </c>
      <c r="H5" s="36" t="s">
        <v>658</v>
      </c>
      <c r="I5" s="37" t="n">
        <v>112</v>
      </c>
      <c r="J5" s="37"/>
      <c r="K5" s="37" t="n">
        <v>0</v>
      </c>
      <c r="L5" s="37" t="n">
        <v>0</v>
      </c>
      <c r="M5" s="37"/>
      <c r="N5" s="37"/>
      <c r="O5" s="37" t="s">
        <v>659</v>
      </c>
      <c r="P5" s="37" t="s">
        <v>671</v>
      </c>
      <c r="Q5" s="37" t="s">
        <v>630</v>
      </c>
      <c r="R5" s="36" t="str">
        <f aca="false">IF(H5="Ya",IF(M5&lt;&gt;"","SUDAH PLOTTING","BELUM PLOTTING"),"-")</f>
        <v>-</v>
      </c>
      <c r="S5" s="37"/>
      <c r="T5" s="37"/>
    </row>
    <row r="6" customFormat="false" ht="15" hidden="false" customHeight="true" outlineLevel="0" collapsed="false">
      <c r="A6" s="36" t="s">
        <v>672</v>
      </c>
      <c r="B6" s="37" t="s">
        <v>631</v>
      </c>
      <c r="C6" s="37" t="s">
        <v>444</v>
      </c>
      <c r="D6" s="37" t="s">
        <v>670</v>
      </c>
      <c r="E6" s="36" t="s">
        <v>88</v>
      </c>
      <c r="F6" s="38" t="s">
        <v>11</v>
      </c>
      <c r="G6" s="36" t="s">
        <v>68</v>
      </c>
      <c r="H6" s="36" t="s">
        <v>658</v>
      </c>
      <c r="I6" s="37" t="n">
        <v>121</v>
      </c>
      <c r="J6" s="37"/>
      <c r="K6" s="37" t="n">
        <v>0</v>
      </c>
      <c r="L6" s="37" t="n">
        <v>0</v>
      </c>
      <c r="M6" s="37"/>
      <c r="N6" s="37"/>
      <c r="O6" s="37" t="s">
        <v>659</v>
      </c>
      <c r="P6" s="37" t="s">
        <v>671</v>
      </c>
      <c r="Q6" s="37" t="s">
        <v>630</v>
      </c>
      <c r="R6" s="36" t="str">
        <f aca="false">IF(H6="Ya",IF(M6&lt;&gt;"","SUDAH PLOTTING","BELUM PLOTTING"),"-")</f>
        <v>-</v>
      </c>
      <c r="S6" s="37"/>
      <c r="T6" s="37"/>
    </row>
    <row r="7" customFormat="false" ht="15" hidden="false" customHeight="true" outlineLevel="0" collapsed="false">
      <c r="A7" s="36" t="s">
        <v>673</v>
      </c>
      <c r="B7" s="37" t="s">
        <v>631</v>
      </c>
      <c r="C7" s="37" t="s">
        <v>444</v>
      </c>
      <c r="D7" s="37" t="s">
        <v>674</v>
      </c>
      <c r="E7" s="36" t="s">
        <v>79</v>
      </c>
      <c r="F7" s="38" t="s">
        <v>11</v>
      </c>
      <c r="G7" s="36" t="s">
        <v>68</v>
      </c>
      <c r="H7" s="36" t="s">
        <v>658</v>
      </c>
      <c r="I7" s="37" t="n">
        <v>133</v>
      </c>
      <c r="J7" s="37"/>
      <c r="K7" s="37" t="n">
        <v>0</v>
      </c>
      <c r="L7" s="37" t="n">
        <v>0</v>
      </c>
      <c r="M7" s="37"/>
      <c r="N7" s="37"/>
      <c r="O7" s="37" t="s">
        <v>659</v>
      </c>
      <c r="P7" s="37" t="s">
        <v>675</v>
      </c>
      <c r="Q7" s="37" t="s">
        <v>630</v>
      </c>
      <c r="R7" s="36" t="str">
        <f aca="false">IF(H7="Ya",IF(M7&lt;&gt;"","SUDAH PLOTTING","BELUM PLOTTING"),"-")</f>
        <v>-</v>
      </c>
      <c r="S7" s="37"/>
      <c r="T7" s="37"/>
    </row>
    <row r="8" customFormat="false" ht="15" hidden="false" customHeight="true" outlineLevel="0" collapsed="false">
      <c r="A8" s="36" t="s">
        <v>676</v>
      </c>
      <c r="B8" s="37" t="s">
        <v>631</v>
      </c>
      <c r="C8" s="37" t="s">
        <v>444</v>
      </c>
      <c r="D8" s="37" t="s">
        <v>674</v>
      </c>
      <c r="E8" s="36" t="s">
        <v>88</v>
      </c>
      <c r="F8" s="38" t="s">
        <v>11</v>
      </c>
      <c r="G8" s="36" t="s">
        <v>68</v>
      </c>
      <c r="H8" s="36" t="s">
        <v>658</v>
      </c>
      <c r="I8" s="37" t="n">
        <v>137</v>
      </c>
      <c r="J8" s="37"/>
      <c r="K8" s="37" t="n">
        <v>0</v>
      </c>
      <c r="L8" s="37" t="n">
        <v>0</v>
      </c>
      <c r="M8" s="37"/>
      <c r="N8" s="37"/>
      <c r="O8" s="37" t="s">
        <v>659</v>
      </c>
      <c r="P8" s="37" t="s">
        <v>675</v>
      </c>
      <c r="Q8" s="37" t="s">
        <v>630</v>
      </c>
      <c r="R8" s="36" t="str">
        <f aca="false">IF(H8="Ya",IF(M8&lt;&gt;"","SUDAH PLOTTING","BELUM PLOTTING"),"-")</f>
        <v>-</v>
      </c>
      <c r="S8" s="37"/>
      <c r="T8" s="37"/>
    </row>
    <row r="9" customFormat="false" ht="15" hidden="false" customHeight="true" outlineLevel="0" collapsed="false">
      <c r="A9" s="36" t="s">
        <v>677</v>
      </c>
      <c r="B9" s="37" t="s">
        <v>631</v>
      </c>
      <c r="C9" s="37" t="s">
        <v>444</v>
      </c>
      <c r="D9" s="37" t="s">
        <v>678</v>
      </c>
      <c r="E9" s="36" t="s">
        <v>79</v>
      </c>
      <c r="F9" s="38" t="s">
        <v>11</v>
      </c>
      <c r="G9" s="36" t="s">
        <v>68</v>
      </c>
      <c r="H9" s="36" t="s">
        <v>658</v>
      </c>
      <c r="I9" s="37" t="n">
        <v>154</v>
      </c>
      <c r="J9" s="37"/>
      <c r="K9" s="37" t="n">
        <v>0</v>
      </c>
      <c r="L9" s="37" t="n">
        <v>0</v>
      </c>
      <c r="M9" s="37"/>
      <c r="N9" s="37"/>
      <c r="O9" s="37" t="s">
        <v>659</v>
      </c>
      <c r="P9" s="37" t="s">
        <v>679</v>
      </c>
      <c r="Q9" s="37" t="s">
        <v>630</v>
      </c>
      <c r="R9" s="36" t="str">
        <f aca="false">IF(H9="Ya",IF(M9&lt;&gt;"","SUDAH PLOTTING","BELUM PLOTTING"),"-")</f>
        <v>-</v>
      </c>
      <c r="S9" s="37"/>
      <c r="T9" s="37"/>
    </row>
    <row r="10" customFormat="false" ht="15" hidden="false" customHeight="true" outlineLevel="0" collapsed="false">
      <c r="A10" s="36" t="s">
        <v>680</v>
      </c>
      <c r="B10" s="37" t="s">
        <v>631</v>
      </c>
      <c r="C10" s="37" t="s">
        <v>444</v>
      </c>
      <c r="D10" s="37" t="s">
        <v>678</v>
      </c>
      <c r="E10" s="36" t="s">
        <v>88</v>
      </c>
      <c r="F10" s="38" t="s">
        <v>11</v>
      </c>
      <c r="G10" s="36" t="s">
        <v>68</v>
      </c>
      <c r="H10" s="36" t="s">
        <v>658</v>
      </c>
      <c r="I10" s="37" t="n">
        <v>158</v>
      </c>
      <c r="J10" s="37"/>
      <c r="K10" s="37" t="n">
        <v>0</v>
      </c>
      <c r="L10" s="37" t="n">
        <v>0</v>
      </c>
      <c r="M10" s="37"/>
      <c r="N10" s="37"/>
      <c r="O10" s="37" t="s">
        <v>659</v>
      </c>
      <c r="P10" s="37" t="s">
        <v>679</v>
      </c>
      <c r="Q10" s="37" t="s">
        <v>630</v>
      </c>
      <c r="R10" s="36" t="str">
        <f aca="false">IF(H10="Ya",IF(M10&lt;&gt;"","SUDAH PLOTTING","BELUM PLOTTING"),"-")</f>
        <v>-</v>
      </c>
      <c r="S10" s="37"/>
      <c r="T10" s="37"/>
    </row>
    <row r="11" customFormat="false" ht="15" hidden="false" customHeight="true" outlineLevel="0" collapsed="false">
      <c r="A11" s="36" t="s">
        <v>681</v>
      </c>
      <c r="B11" s="37" t="s">
        <v>631</v>
      </c>
      <c r="C11" s="37" t="s">
        <v>444</v>
      </c>
      <c r="D11" s="37" t="s">
        <v>682</v>
      </c>
      <c r="E11" s="36" t="s">
        <v>79</v>
      </c>
      <c r="F11" s="38" t="s">
        <v>11</v>
      </c>
      <c r="G11" s="36" t="s">
        <v>68</v>
      </c>
      <c r="H11" s="36" t="s">
        <v>658</v>
      </c>
      <c r="I11" s="37" t="n">
        <v>131</v>
      </c>
      <c r="J11" s="37"/>
      <c r="K11" s="37" t="n">
        <v>0</v>
      </c>
      <c r="L11" s="37" t="n">
        <v>0</v>
      </c>
      <c r="M11" s="37"/>
      <c r="N11" s="37"/>
      <c r="O11" s="37" t="s">
        <v>659</v>
      </c>
      <c r="P11" s="37" t="s">
        <v>683</v>
      </c>
      <c r="Q11" s="37" t="s">
        <v>630</v>
      </c>
      <c r="R11" s="36" t="str">
        <f aca="false">IF(H11="Ya",IF(M11&lt;&gt;"","SUDAH PLOTTING","BELUM PLOTTING"),"-")</f>
        <v>-</v>
      </c>
      <c r="S11" s="37"/>
      <c r="T11" s="37"/>
    </row>
    <row r="12" customFormat="false" ht="15" hidden="false" customHeight="true" outlineLevel="0" collapsed="false">
      <c r="A12" s="36" t="s">
        <v>684</v>
      </c>
      <c r="B12" s="37" t="s">
        <v>631</v>
      </c>
      <c r="C12" s="37" t="s">
        <v>444</v>
      </c>
      <c r="D12" s="37" t="s">
        <v>682</v>
      </c>
      <c r="E12" s="36" t="s">
        <v>88</v>
      </c>
      <c r="F12" s="38" t="s">
        <v>11</v>
      </c>
      <c r="G12" s="36" t="s">
        <v>68</v>
      </c>
      <c r="H12" s="36" t="s">
        <v>658</v>
      </c>
      <c r="I12" s="37" t="n">
        <v>167</v>
      </c>
      <c r="J12" s="37"/>
      <c r="K12" s="37" t="n">
        <v>0</v>
      </c>
      <c r="L12" s="37" t="n">
        <v>0</v>
      </c>
      <c r="M12" s="37"/>
      <c r="N12" s="37"/>
      <c r="O12" s="37" t="s">
        <v>659</v>
      </c>
      <c r="P12" s="37" t="s">
        <v>683</v>
      </c>
      <c r="Q12" s="37" t="s">
        <v>630</v>
      </c>
      <c r="R12" s="36" t="str">
        <f aca="false">IF(H12="Ya",IF(M12&lt;&gt;"","SUDAH PLOTTING","BELUM PLOTTING"),"-")</f>
        <v>-</v>
      </c>
      <c r="S12" s="37"/>
      <c r="T12" s="37"/>
    </row>
    <row r="13" customFormat="false" ht="15" hidden="false" customHeight="true" outlineLevel="0" collapsed="false">
      <c r="A13" s="36" t="s">
        <v>685</v>
      </c>
      <c r="B13" s="37" t="s">
        <v>631</v>
      </c>
      <c r="C13" s="37" t="s">
        <v>444</v>
      </c>
      <c r="D13" s="37" t="s">
        <v>686</v>
      </c>
      <c r="E13" s="36" t="s">
        <v>62</v>
      </c>
      <c r="F13" s="38" t="s">
        <v>11</v>
      </c>
      <c r="G13" s="36" t="s">
        <v>68</v>
      </c>
      <c r="H13" s="36" t="s">
        <v>658</v>
      </c>
      <c r="I13" s="37" t="n">
        <v>135</v>
      </c>
      <c r="J13" s="37"/>
      <c r="K13" s="37" t="n">
        <v>0</v>
      </c>
      <c r="L13" s="37" t="n">
        <v>0</v>
      </c>
      <c r="M13" s="37"/>
      <c r="N13" s="37"/>
      <c r="O13" s="37" t="s">
        <v>659</v>
      </c>
      <c r="P13" s="37" t="s">
        <v>687</v>
      </c>
      <c r="Q13" s="37" t="s">
        <v>630</v>
      </c>
      <c r="R13" s="36" t="str">
        <f aca="false">IF(H13="Ya",IF(M13&lt;&gt;"","SUDAH PLOTTING","BELUM PLOTTING"),"-")</f>
        <v>-</v>
      </c>
      <c r="S13" s="37"/>
      <c r="T13" s="37"/>
    </row>
    <row r="14" customFormat="false" ht="15" hidden="false" customHeight="true" outlineLevel="0" collapsed="false">
      <c r="A14" s="36" t="s">
        <v>688</v>
      </c>
      <c r="B14" s="37" t="s">
        <v>631</v>
      </c>
      <c r="C14" s="37" t="s">
        <v>444</v>
      </c>
      <c r="D14" s="37" t="s">
        <v>689</v>
      </c>
      <c r="E14" s="36" t="s">
        <v>62</v>
      </c>
      <c r="F14" s="39" t="s">
        <v>7</v>
      </c>
      <c r="G14" s="36" t="s">
        <v>68</v>
      </c>
      <c r="H14" s="36" t="s">
        <v>68</v>
      </c>
      <c r="I14" s="37" t="n">
        <v>208</v>
      </c>
      <c r="J14" s="37"/>
      <c r="K14" s="37" t="n">
        <v>1</v>
      </c>
      <c r="L14" s="37" t="n">
        <v>0</v>
      </c>
      <c r="M14" s="37" t="s">
        <v>690</v>
      </c>
      <c r="N14" s="37"/>
      <c r="O14" s="37"/>
      <c r="P14" s="37" t="s">
        <v>691</v>
      </c>
      <c r="Q14" s="37" t="s">
        <v>630</v>
      </c>
      <c r="R14" s="36" t="str">
        <f aca="false">IF(H14="Ya",IF(M14&lt;&gt;"","SUDAH PLOTTING","BELUM PLOTTING"),"-")</f>
        <v>SUDAH PLOTTING</v>
      </c>
      <c r="S14" s="37" t="s">
        <v>58</v>
      </c>
      <c r="T14" s="37"/>
      <c r="U14" s="40" t="s">
        <v>692</v>
      </c>
      <c r="V14" s="41" t="s">
        <v>658</v>
      </c>
    </row>
    <row r="15" customFormat="false" ht="15" hidden="false" customHeight="true" outlineLevel="0" collapsed="false">
      <c r="A15" s="36" t="s">
        <v>693</v>
      </c>
      <c r="B15" s="37" t="s">
        <v>631</v>
      </c>
      <c r="C15" s="37" t="s">
        <v>444</v>
      </c>
      <c r="D15" s="37" t="s">
        <v>694</v>
      </c>
      <c r="E15" s="36" t="s">
        <v>79</v>
      </c>
      <c r="F15" s="38" t="s">
        <v>11</v>
      </c>
      <c r="G15" s="36" t="s">
        <v>68</v>
      </c>
      <c r="H15" s="36" t="s">
        <v>658</v>
      </c>
      <c r="I15" s="37" t="n">
        <v>215</v>
      </c>
      <c r="J15" s="37"/>
      <c r="K15" s="37" t="n">
        <v>0</v>
      </c>
      <c r="L15" s="37" t="n">
        <v>0</v>
      </c>
      <c r="M15" s="37"/>
      <c r="N15" s="37"/>
      <c r="O15" s="37" t="s">
        <v>659</v>
      </c>
      <c r="P15" s="37" t="s">
        <v>695</v>
      </c>
      <c r="Q15" s="37" t="s">
        <v>630</v>
      </c>
      <c r="R15" s="36" t="str">
        <f aca="false">IF(H15="Ya",IF(M15&lt;&gt;"","SUDAH PLOTTING","BELUM PLOTTING"),"-")</f>
        <v>-</v>
      </c>
      <c r="S15" s="37"/>
      <c r="T15" s="37"/>
    </row>
    <row r="16" customFormat="false" ht="15" hidden="false" customHeight="true" outlineLevel="0" collapsed="false">
      <c r="A16" s="36" t="s">
        <v>696</v>
      </c>
      <c r="B16" s="37" t="s">
        <v>631</v>
      </c>
      <c r="C16" s="37" t="s">
        <v>444</v>
      </c>
      <c r="D16" s="37" t="s">
        <v>694</v>
      </c>
      <c r="E16" s="36" t="s">
        <v>88</v>
      </c>
      <c r="F16" s="38" t="s">
        <v>11</v>
      </c>
      <c r="G16" s="36" t="s">
        <v>68</v>
      </c>
      <c r="H16" s="36" t="s">
        <v>658</v>
      </c>
      <c r="I16" s="37" t="n">
        <v>128</v>
      </c>
      <c r="J16" s="37"/>
      <c r="K16" s="37" t="n">
        <v>0</v>
      </c>
      <c r="L16" s="37" t="n">
        <v>0</v>
      </c>
      <c r="M16" s="37"/>
      <c r="N16" s="37"/>
      <c r="O16" s="37" t="s">
        <v>659</v>
      </c>
      <c r="P16" s="37" t="s">
        <v>695</v>
      </c>
      <c r="Q16" s="37" t="s">
        <v>630</v>
      </c>
      <c r="R16" s="36" t="str">
        <f aca="false">IF(H16="Ya",IF(M16&lt;&gt;"","SUDAH PLOTTING","BELUM PLOTTING"),"-")</f>
        <v>-</v>
      </c>
      <c r="S16" s="37"/>
      <c r="T16" s="37"/>
    </row>
    <row r="17" customFormat="false" ht="15" hidden="false" customHeight="true" outlineLevel="0" collapsed="false">
      <c r="A17" s="36" t="s">
        <v>697</v>
      </c>
      <c r="B17" s="37" t="s">
        <v>631</v>
      </c>
      <c r="C17" s="37" t="s">
        <v>444</v>
      </c>
      <c r="D17" s="37" t="s">
        <v>698</v>
      </c>
      <c r="E17" s="36" t="s">
        <v>62</v>
      </c>
      <c r="F17" s="38" t="s">
        <v>11</v>
      </c>
      <c r="G17" s="36" t="s">
        <v>68</v>
      </c>
      <c r="H17" s="36" t="s">
        <v>658</v>
      </c>
      <c r="I17" s="37" t="n">
        <v>179</v>
      </c>
      <c r="J17" s="37"/>
      <c r="K17" s="37" t="n">
        <v>0</v>
      </c>
      <c r="L17" s="37" t="n">
        <v>0</v>
      </c>
      <c r="M17" s="37"/>
      <c r="N17" s="37"/>
      <c r="O17" s="37" t="s">
        <v>659</v>
      </c>
      <c r="P17" s="37" t="s">
        <v>699</v>
      </c>
      <c r="Q17" s="37" t="s">
        <v>630</v>
      </c>
      <c r="R17" s="36" t="str">
        <f aca="false">IF(H17="Ya",IF(M17&lt;&gt;"","SUDAH PLOTTING","BELUM PLOTTING"),"-")</f>
        <v>-</v>
      </c>
      <c r="S17" s="37"/>
      <c r="T17" s="37"/>
    </row>
    <row r="18" customFormat="false" ht="15" hidden="false" customHeight="true" outlineLevel="0" collapsed="false">
      <c r="A18" s="36" t="s">
        <v>700</v>
      </c>
      <c r="B18" s="37" t="s">
        <v>631</v>
      </c>
      <c r="C18" s="37" t="s">
        <v>444</v>
      </c>
      <c r="D18" s="37" t="s">
        <v>701</v>
      </c>
      <c r="E18" s="36" t="s">
        <v>62</v>
      </c>
      <c r="F18" s="39" t="s">
        <v>7</v>
      </c>
      <c r="G18" s="36" t="s">
        <v>68</v>
      </c>
      <c r="H18" s="36" t="s">
        <v>68</v>
      </c>
      <c r="I18" s="37" t="n">
        <v>148</v>
      </c>
      <c r="J18" s="37"/>
      <c r="K18" s="37" t="n">
        <v>1</v>
      </c>
      <c r="L18" s="37" t="n">
        <v>0</v>
      </c>
      <c r="M18" s="37" t="s">
        <v>690</v>
      </c>
      <c r="N18" s="37"/>
      <c r="O18" s="37"/>
      <c r="P18" s="37" t="s">
        <v>702</v>
      </c>
      <c r="Q18" s="37" t="s">
        <v>630</v>
      </c>
      <c r="R18" s="36" t="str">
        <f aca="false">IF(H18="Ya",IF(M18&lt;&gt;"","SUDAH PLOTTING","BELUM PLOTTING"),"-")</f>
        <v>SUDAH PLOTTING</v>
      </c>
      <c r="S18" s="37" t="s">
        <v>58</v>
      </c>
      <c r="T18" s="37"/>
      <c r="U18" s="40" t="s">
        <v>692</v>
      </c>
      <c r="V18" s="41" t="s">
        <v>658</v>
      </c>
    </row>
    <row r="19" customFormat="false" ht="15" hidden="false" customHeight="true" outlineLevel="0" collapsed="false">
      <c r="A19" s="36" t="s">
        <v>703</v>
      </c>
      <c r="B19" s="37" t="s">
        <v>631</v>
      </c>
      <c r="C19" s="37" t="s">
        <v>444</v>
      </c>
      <c r="D19" s="37" t="s">
        <v>704</v>
      </c>
      <c r="E19" s="36" t="s">
        <v>62</v>
      </c>
      <c r="F19" s="38" t="s">
        <v>11</v>
      </c>
      <c r="G19" s="36" t="s">
        <v>68</v>
      </c>
      <c r="H19" s="36" t="s">
        <v>658</v>
      </c>
      <c r="I19" s="37" t="n">
        <v>88</v>
      </c>
      <c r="J19" s="37"/>
      <c r="K19" s="37" t="n">
        <v>0</v>
      </c>
      <c r="L19" s="37" t="n">
        <v>0</v>
      </c>
      <c r="M19" s="37"/>
      <c r="N19" s="37"/>
      <c r="O19" s="37" t="s">
        <v>659</v>
      </c>
      <c r="P19" s="37" t="s">
        <v>705</v>
      </c>
      <c r="Q19" s="37" t="s">
        <v>630</v>
      </c>
      <c r="R19" s="36" t="str">
        <f aca="false">IF(H19="Ya",IF(M19&lt;&gt;"","SUDAH PLOTTING","BELUM PLOTTING"),"-")</f>
        <v>-</v>
      </c>
      <c r="S19" s="37"/>
      <c r="T19" s="37"/>
    </row>
    <row r="20" customFormat="false" ht="15" hidden="false" customHeight="true" outlineLevel="0" collapsed="false">
      <c r="A20" s="36" t="s">
        <v>706</v>
      </c>
      <c r="B20" s="37" t="s">
        <v>631</v>
      </c>
      <c r="C20" s="37" t="s">
        <v>444</v>
      </c>
      <c r="D20" s="37" t="s">
        <v>707</v>
      </c>
      <c r="E20" s="36" t="s">
        <v>62</v>
      </c>
      <c r="F20" s="38" t="s">
        <v>11</v>
      </c>
      <c r="G20" s="36" t="s">
        <v>68</v>
      </c>
      <c r="H20" s="36" t="s">
        <v>658</v>
      </c>
      <c r="I20" s="37" t="n">
        <v>76</v>
      </c>
      <c r="J20" s="37"/>
      <c r="K20" s="37" t="n">
        <v>0</v>
      </c>
      <c r="L20" s="37" t="n">
        <v>0</v>
      </c>
      <c r="M20" s="37"/>
      <c r="N20" s="37"/>
      <c r="O20" s="37" t="s">
        <v>659</v>
      </c>
      <c r="P20" s="37" t="s">
        <v>708</v>
      </c>
      <c r="Q20" s="37" t="s">
        <v>630</v>
      </c>
      <c r="R20" s="36" t="str">
        <f aca="false">IF(H20="Ya",IF(M20&lt;&gt;"","SUDAH PLOTTING","BELUM PLOTTING"),"-")</f>
        <v>-</v>
      </c>
      <c r="S20" s="37"/>
      <c r="T20" s="37"/>
    </row>
    <row r="21" customFormat="false" ht="15" hidden="false" customHeight="true" outlineLevel="0" collapsed="false">
      <c r="A21" s="36" t="s">
        <v>709</v>
      </c>
      <c r="B21" s="37" t="s">
        <v>59</v>
      </c>
      <c r="C21" s="37" t="s">
        <v>60</v>
      </c>
      <c r="D21" s="37" t="s">
        <v>710</v>
      </c>
      <c r="E21" s="36" t="s">
        <v>79</v>
      </c>
      <c r="F21" s="38" t="s">
        <v>11</v>
      </c>
      <c r="G21" s="36" t="s">
        <v>68</v>
      </c>
      <c r="H21" s="36" t="s">
        <v>658</v>
      </c>
      <c r="I21" s="37" t="n">
        <v>152</v>
      </c>
      <c r="J21" s="37"/>
      <c r="K21" s="37" t="n">
        <v>0</v>
      </c>
      <c r="L21" s="37" t="n">
        <v>0</v>
      </c>
      <c r="M21" s="37"/>
      <c r="N21" s="37"/>
      <c r="O21" s="37" t="s">
        <v>659</v>
      </c>
      <c r="P21" s="37" t="s">
        <v>711</v>
      </c>
      <c r="Q21" s="37" t="s">
        <v>621</v>
      </c>
      <c r="R21" s="36" t="str">
        <f aca="false">IF(H21="Ya",IF(M21&lt;&gt;"","SUDAH PLOTTING","BELUM PLOTTING"),"-")</f>
        <v>-</v>
      </c>
      <c r="S21" s="37"/>
      <c r="T21" s="37"/>
    </row>
    <row r="22" customFormat="false" ht="15" hidden="false" customHeight="true" outlineLevel="0" collapsed="false">
      <c r="A22" s="36" t="s">
        <v>712</v>
      </c>
      <c r="B22" s="37" t="s">
        <v>59</v>
      </c>
      <c r="C22" s="37" t="s">
        <v>60</v>
      </c>
      <c r="D22" s="37" t="s">
        <v>710</v>
      </c>
      <c r="E22" s="36" t="s">
        <v>88</v>
      </c>
      <c r="F22" s="38" t="s">
        <v>11</v>
      </c>
      <c r="G22" s="36" t="s">
        <v>68</v>
      </c>
      <c r="H22" s="36" t="s">
        <v>658</v>
      </c>
      <c r="I22" s="37" t="n">
        <v>148</v>
      </c>
      <c r="J22" s="37"/>
      <c r="K22" s="37" t="n">
        <v>0</v>
      </c>
      <c r="L22" s="37" t="n">
        <v>0</v>
      </c>
      <c r="M22" s="37"/>
      <c r="N22" s="37"/>
      <c r="O22" s="37" t="s">
        <v>659</v>
      </c>
      <c r="P22" s="37" t="s">
        <v>711</v>
      </c>
      <c r="Q22" s="37" t="s">
        <v>621</v>
      </c>
      <c r="R22" s="36" t="str">
        <f aca="false">IF(H22="Ya",IF(M22&lt;&gt;"","SUDAH PLOTTING","BELUM PLOTTING"),"-")</f>
        <v>-</v>
      </c>
      <c r="S22" s="37"/>
      <c r="T22" s="37"/>
    </row>
    <row r="23" customFormat="false" ht="15" hidden="false" customHeight="true" outlineLevel="0" collapsed="false">
      <c r="A23" s="36" t="s">
        <v>713</v>
      </c>
      <c r="B23" s="37" t="s">
        <v>59</v>
      </c>
      <c r="C23" s="37" t="s">
        <v>60</v>
      </c>
      <c r="D23" s="37" t="s">
        <v>710</v>
      </c>
      <c r="E23" s="36" t="s">
        <v>92</v>
      </c>
      <c r="F23" s="38" t="s">
        <v>11</v>
      </c>
      <c r="G23" s="36" t="s">
        <v>68</v>
      </c>
      <c r="H23" s="36" t="s">
        <v>658</v>
      </c>
      <c r="I23" s="37" t="n">
        <v>139</v>
      </c>
      <c r="J23" s="37"/>
      <c r="K23" s="37" t="n">
        <v>0</v>
      </c>
      <c r="L23" s="37" t="n">
        <v>0</v>
      </c>
      <c r="M23" s="37"/>
      <c r="N23" s="37"/>
      <c r="O23" s="37" t="s">
        <v>659</v>
      </c>
      <c r="P23" s="37" t="s">
        <v>711</v>
      </c>
      <c r="Q23" s="37" t="s">
        <v>621</v>
      </c>
      <c r="R23" s="36" t="str">
        <f aca="false">IF(H23="Ya",IF(M23&lt;&gt;"","SUDAH PLOTTING","BELUM PLOTTING"),"-")</f>
        <v>-</v>
      </c>
      <c r="S23" s="37"/>
      <c r="T23" s="37"/>
    </row>
    <row r="24" customFormat="false" ht="15" hidden="false" customHeight="true" outlineLevel="0" collapsed="false">
      <c r="A24" s="36" t="s">
        <v>714</v>
      </c>
      <c r="B24" s="37" t="s">
        <v>59</v>
      </c>
      <c r="C24" s="37" t="s">
        <v>60</v>
      </c>
      <c r="D24" s="37" t="s">
        <v>710</v>
      </c>
      <c r="E24" s="36" t="s">
        <v>97</v>
      </c>
      <c r="F24" s="38" t="s">
        <v>11</v>
      </c>
      <c r="G24" s="36" t="s">
        <v>68</v>
      </c>
      <c r="H24" s="36" t="s">
        <v>658</v>
      </c>
      <c r="I24" s="37" t="n">
        <v>136</v>
      </c>
      <c r="J24" s="37"/>
      <c r="K24" s="37" t="n">
        <v>0</v>
      </c>
      <c r="L24" s="37" t="n">
        <v>0</v>
      </c>
      <c r="M24" s="37"/>
      <c r="N24" s="37"/>
      <c r="O24" s="37" t="s">
        <v>659</v>
      </c>
      <c r="P24" s="37" t="s">
        <v>711</v>
      </c>
      <c r="Q24" s="37" t="s">
        <v>621</v>
      </c>
      <c r="R24" s="36" t="str">
        <f aca="false">IF(H24="Ya",IF(M24&lt;&gt;"","SUDAH PLOTTING","BELUM PLOTTING"),"-")</f>
        <v>-</v>
      </c>
      <c r="S24" s="37"/>
      <c r="T24" s="37"/>
    </row>
    <row r="25" customFormat="false" ht="15" hidden="false" customHeight="true" outlineLevel="0" collapsed="false">
      <c r="A25" s="36" t="s">
        <v>715</v>
      </c>
      <c r="B25" s="37" t="s">
        <v>59</v>
      </c>
      <c r="C25" s="37" t="s">
        <v>60</v>
      </c>
      <c r="D25" s="37" t="s">
        <v>710</v>
      </c>
      <c r="E25" s="36" t="s">
        <v>103</v>
      </c>
      <c r="F25" s="38" t="s">
        <v>11</v>
      </c>
      <c r="G25" s="36" t="s">
        <v>68</v>
      </c>
      <c r="H25" s="36" t="s">
        <v>658</v>
      </c>
      <c r="I25" s="37" t="n">
        <v>127</v>
      </c>
      <c r="J25" s="37"/>
      <c r="K25" s="37" t="n">
        <v>0</v>
      </c>
      <c r="L25" s="37" t="n">
        <v>0</v>
      </c>
      <c r="M25" s="37"/>
      <c r="N25" s="37"/>
      <c r="O25" s="37" t="s">
        <v>659</v>
      </c>
      <c r="P25" s="37" t="s">
        <v>711</v>
      </c>
      <c r="Q25" s="37" t="s">
        <v>621</v>
      </c>
      <c r="R25" s="36" t="str">
        <f aca="false">IF(H25="Ya",IF(M25&lt;&gt;"","SUDAH PLOTTING","BELUM PLOTTING"),"-")</f>
        <v>-</v>
      </c>
      <c r="S25" s="37"/>
      <c r="T25" s="37"/>
    </row>
    <row r="26" customFormat="false" ht="15" hidden="false" customHeight="true" outlineLevel="0" collapsed="false">
      <c r="A26" s="36" t="s">
        <v>716</v>
      </c>
      <c r="B26" s="37" t="s">
        <v>59</v>
      </c>
      <c r="C26" s="37" t="s">
        <v>60</v>
      </c>
      <c r="D26" s="37" t="s">
        <v>710</v>
      </c>
      <c r="E26" s="36" t="s">
        <v>111</v>
      </c>
      <c r="F26" s="38" t="s">
        <v>11</v>
      </c>
      <c r="G26" s="36" t="s">
        <v>68</v>
      </c>
      <c r="H26" s="36" t="s">
        <v>658</v>
      </c>
      <c r="I26" s="37" t="n">
        <v>132</v>
      </c>
      <c r="J26" s="37"/>
      <c r="K26" s="37" t="n">
        <v>0</v>
      </c>
      <c r="L26" s="37" t="n">
        <v>0</v>
      </c>
      <c r="M26" s="37"/>
      <c r="N26" s="37"/>
      <c r="O26" s="37" t="s">
        <v>659</v>
      </c>
      <c r="P26" s="37" t="s">
        <v>711</v>
      </c>
      <c r="Q26" s="37" t="s">
        <v>621</v>
      </c>
      <c r="R26" s="36" t="str">
        <f aca="false">IF(H26="Ya",IF(M26&lt;&gt;"","SUDAH PLOTTING","BELUM PLOTTING"),"-")</f>
        <v>-</v>
      </c>
      <c r="S26" s="37"/>
      <c r="T26" s="37"/>
    </row>
    <row r="27" customFormat="false" ht="15" hidden="false" customHeight="true" outlineLevel="0" collapsed="false">
      <c r="A27" s="36" t="s">
        <v>717</v>
      </c>
      <c r="B27" s="37" t="s">
        <v>59</v>
      </c>
      <c r="C27" s="37" t="s">
        <v>60</v>
      </c>
      <c r="D27" s="37" t="s">
        <v>710</v>
      </c>
      <c r="E27" s="36" t="s">
        <v>166</v>
      </c>
      <c r="F27" s="38" t="s">
        <v>11</v>
      </c>
      <c r="G27" s="36" t="s">
        <v>68</v>
      </c>
      <c r="H27" s="36" t="s">
        <v>658</v>
      </c>
      <c r="I27" s="37" t="n">
        <v>125</v>
      </c>
      <c r="J27" s="37"/>
      <c r="K27" s="37" t="n">
        <v>0</v>
      </c>
      <c r="L27" s="37" t="n">
        <v>0</v>
      </c>
      <c r="M27" s="37"/>
      <c r="N27" s="37"/>
      <c r="O27" s="37" t="s">
        <v>659</v>
      </c>
      <c r="P27" s="37" t="s">
        <v>711</v>
      </c>
      <c r="Q27" s="37" t="s">
        <v>621</v>
      </c>
      <c r="R27" s="36" t="str">
        <f aca="false">IF(H27="Ya",IF(M27&lt;&gt;"","SUDAH PLOTTING","BELUM PLOTTING"),"-")</f>
        <v>-</v>
      </c>
      <c r="S27" s="37"/>
      <c r="T27" s="37"/>
    </row>
    <row r="28" customFormat="false" ht="15" hidden="false" customHeight="true" outlineLevel="0" collapsed="false">
      <c r="A28" s="36" t="s">
        <v>718</v>
      </c>
      <c r="B28" s="37" t="s">
        <v>59</v>
      </c>
      <c r="C28" s="37" t="s">
        <v>60</v>
      </c>
      <c r="D28" s="37" t="s">
        <v>710</v>
      </c>
      <c r="E28" s="36" t="s">
        <v>719</v>
      </c>
      <c r="F28" s="38" t="s">
        <v>11</v>
      </c>
      <c r="G28" s="36" t="s">
        <v>68</v>
      </c>
      <c r="H28" s="36" t="s">
        <v>658</v>
      </c>
      <c r="I28" s="37" t="n">
        <v>114</v>
      </c>
      <c r="J28" s="37"/>
      <c r="K28" s="37" t="n">
        <v>0</v>
      </c>
      <c r="L28" s="37" t="n">
        <v>0</v>
      </c>
      <c r="M28" s="37"/>
      <c r="N28" s="37"/>
      <c r="O28" s="37" t="s">
        <v>659</v>
      </c>
      <c r="P28" s="37" t="s">
        <v>711</v>
      </c>
      <c r="Q28" s="37" t="s">
        <v>621</v>
      </c>
      <c r="R28" s="36" t="str">
        <f aca="false">IF(H28="Ya",IF(M28&lt;&gt;"","SUDAH PLOTTING","BELUM PLOTTING"),"-")</f>
        <v>-</v>
      </c>
      <c r="S28" s="37"/>
      <c r="T28" s="37"/>
    </row>
    <row r="29" customFormat="false" ht="15" hidden="false" customHeight="true" outlineLevel="0" collapsed="false">
      <c r="A29" s="36" t="s">
        <v>720</v>
      </c>
      <c r="B29" s="37" t="s">
        <v>59</v>
      </c>
      <c r="C29" s="37" t="s">
        <v>60</v>
      </c>
      <c r="D29" s="37" t="s">
        <v>710</v>
      </c>
      <c r="E29" s="36" t="s">
        <v>721</v>
      </c>
      <c r="F29" s="38" t="s">
        <v>11</v>
      </c>
      <c r="G29" s="36" t="s">
        <v>68</v>
      </c>
      <c r="H29" s="36" t="s">
        <v>658</v>
      </c>
      <c r="I29" s="37" t="n">
        <v>200</v>
      </c>
      <c r="J29" s="37"/>
      <c r="K29" s="37" t="n">
        <v>0</v>
      </c>
      <c r="L29" s="37" t="n">
        <v>0</v>
      </c>
      <c r="M29" s="37"/>
      <c r="N29" s="37"/>
      <c r="O29" s="37" t="s">
        <v>659</v>
      </c>
      <c r="P29" s="37" t="s">
        <v>711</v>
      </c>
      <c r="Q29" s="37" t="s">
        <v>621</v>
      </c>
      <c r="R29" s="36" t="str">
        <f aca="false">IF(H29="Ya",IF(M29&lt;&gt;"","SUDAH PLOTTING","BELUM PLOTTING"),"-")</f>
        <v>-</v>
      </c>
      <c r="S29" s="37"/>
      <c r="T29" s="37"/>
    </row>
    <row r="30" customFormat="false" ht="15" hidden="false" customHeight="true" outlineLevel="0" collapsed="false">
      <c r="A30" s="36" t="s">
        <v>722</v>
      </c>
      <c r="B30" s="37" t="s">
        <v>59</v>
      </c>
      <c r="C30" s="37" t="s">
        <v>60</v>
      </c>
      <c r="D30" s="37" t="s">
        <v>710</v>
      </c>
      <c r="E30" s="36" t="s">
        <v>723</v>
      </c>
      <c r="F30" s="38" t="s">
        <v>11</v>
      </c>
      <c r="G30" s="36" t="s">
        <v>68</v>
      </c>
      <c r="H30" s="36" t="s">
        <v>658</v>
      </c>
      <c r="I30" s="37" t="n">
        <v>188</v>
      </c>
      <c r="J30" s="37"/>
      <c r="K30" s="37" t="n">
        <v>0</v>
      </c>
      <c r="L30" s="37" t="n">
        <v>0</v>
      </c>
      <c r="M30" s="37"/>
      <c r="N30" s="37"/>
      <c r="O30" s="37" t="s">
        <v>659</v>
      </c>
      <c r="P30" s="37" t="s">
        <v>711</v>
      </c>
      <c r="Q30" s="37" t="s">
        <v>621</v>
      </c>
      <c r="R30" s="36" t="str">
        <f aca="false">IF(H30="Ya",IF(M30&lt;&gt;"","SUDAH PLOTTING","BELUM PLOTTING"),"-")</f>
        <v>-</v>
      </c>
      <c r="S30" s="37"/>
      <c r="T30" s="37"/>
    </row>
    <row r="31" customFormat="false" ht="15" hidden="false" customHeight="true" outlineLevel="0" collapsed="false">
      <c r="A31" s="36" t="s">
        <v>724</v>
      </c>
      <c r="B31" s="37" t="s">
        <v>59</v>
      </c>
      <c r="C31" s="37" t="s">
        <v>60</v>
      </c>
      <c r="D31" s="37" t="s">
        <v>710</v>
      </c>
      <c r="E31" s="36" t="s">
        <v>725</v>
      </c>
      <c r="F31" s="38" t="s">
        <v>11</v>
      </c>
      <c r="G31" s="36" t="s">
        <v>68</v>
      </c>
      <c r="H31" s="36" t="s">
        <v>658</v>
      </c>
      <c r="I31" s="37" t="n">
        <v>113</v>
      </c>
      <c r="J31" s="37"/>
      <c r="K31" s="37" t="n">
        <v>0</v>
      </c>
      <c r="L31" s="37" t="n">
        <v>0</v>
      </c>
      <c r="M31" s="37"/>
      <c r="N31" s="37"/>
      <c r="O31" s="37" t="s">
        <v>659</v>
      </c>
      <c r="P31" s="37" t="s">
        <v>711</v>
      </c>
      <c r="Q31" s="37" t="s">
        <v>621</v>
      </c>
      <c r="R31" s="36" t="str">
        <f aca="false">IF(H31="Ya",IF(M31&lt;&gt;"","SUDAH PLOTTING","BELUM PLOTTING"),"-")</f>
        <v>-</v>
      </c>
      <c r="S31" s="37"/>
      <c r="T31" s="37"/>
    </row>
    <row r="32" customFormat="false" ht="15" hidden="false" customHeight="true" outlineLevel="0" collapsed="false">
      <c r="A32" s="36" t="s">
        <v>726</v>
      </c>
      <c r="B32" s="37" t="s">
        <v>59</v>
      </c>
      <c r="C32" s="37" t="s">
        <v>60</v>
      </c>
      <c r="D32" s="37" t="s">
        <v>710</v>
      </c>
      <c r="E32" s="36" t="s">
        <v>727</v>
      </c>
      <c r="F32" s="38" t="s">
        <v>11</v>
      </c>
      <c r="G32" s="36" t="s">
        <v>68</v>
      </c>
      <c r="H32" s="36" t="s">
        <v>658</v>
      </c>
      <c r="I32" s="37" t="n">
        <v>210</v>
      </c>
      <c r="J32" s="37"/>
      <c r="K32" s="37" t="n">
        <v>0</v>
      </c>
      <c r="L32" s="37" t="n">
        <v>0</v>
      </c>
      <c r="M32" s="37"/>
      <c r="N32" s="37"/>
      <c r="O32" s="37" t="s">
        <v>659</v>
      </c>
      <c r="P32" s="37" t="s">
        <v>711</v>
      </c>
      <c r="Q32" s="37" t="s">
        <v>621</v>
      </c>
      <c r="R32" s="36" t="str">
        <f aca="false">IF(H32="Ya",IF(M32&lt;&gt;"","SUDAH PLOTTING","BELUM PLOTTING"),"-")</f>
        <v>-</v>
      </c>
      <c r="S32" s="37"/>
      <c r="T32" s="37"/>
    </row>
    <row r="33" customFormat="false" ht="15" hidden="false" customHeight="true" outlineLevel="0" collapsed="false">
      <c r="A33" s="36" t="s">
        <v>728</v>
      </c>
      <c r="B33" s="37" t="s">
        <v>59</v>
      </c>
      <c r="C33" s="37" t="s">
        <v>60</v>
      </c>
      <c r="D33" s="37" t="s">
        <v>710</v>
      </c>
      <c r="E33" s="36" t="s">
        <v>729</v>
      </c>
      <c r="F33" s="38" t="s">
        <v>11</v>
      </c>
      <c r="G33" s="36" t="s">
        <v>68</v>
      </c>
      <c r="H33" s="36" t="s">
        <v>658</v>
      </c>
      <c r="I33" s="37" t="n">
        <v>138</v>
      </c>
      <c r="J33" s="37"/>
      <c r="K33" s="37" t="n">
        <v>0</v>
      </c>
      <c r="L33" s="37" t="n">
        <v>0</v>
      </c>
      <c r="M33" s="37"/>
      <c r="N33" s="37"/>
      <c r="O33" s="37" t="s">
        <v>659</v>
      </c>
      <c r="P33" s="37" t="s">
        <v>711</v>
      </c>
      <c r="Q33" s="37" t="s">
        <v>621</v>
      </c>
      <c r="R33" s="36" t="str">
        <f aca="false">IF(H33="Ya",IF(M33&lt;&gt;"","SUDAH PLOTTING","BELUM PLOTTING"),"-")</f>
        <v>-</v>
      </c>
      <c r="S33" s="37"/>
      <c r="T33" s="37"/>
    </row>
    <row r="34" customFormat="false" ht="15" hidden="false" customHeight="true" outlineLevel="0" collapsed="false">
      <c r="A34" s="36" t="s">
        <v>730</v>
      </c>
      <c r="B34" s="37" t="s">
        <v>59</v>
      </c>
      <c r="C34" s="37" t="s">
        <v>60</v>
      </c>
      <c r="D34" s="37" t="s">
        <v>710</v>
      </c>
      <c r="E34" s="36" t="s">
        <v>731</v>
      </c>
      <c r="F34" s="38" t="s">
        <v>11</v>
      </c>
      <c r="G34" s="36" t="s">
        <v>68</v>
      </c>
      <c r="H34" s="36" t="s">
        <v>658</v>
      </c>
      <c r="I34" s="37" t="n">
        <v>98</v>
      </c>
      <c r="J34" s="37"/>
      <c r="K34" s="37" t="n">
        <v>0</v>
      </c>
      <c r="L34" s="37" t="n">
        <v>0</v>
      </c>
      <c r="M34" s="37"/>
      <c r="N34" s="37"/>
      <c r="O34" s="37" t="s">
        <v>659</v>
      </c>
      <c r="P34" s="37" t="s">
        <v>711</v>
      </c>
      <c r="Q34" s="37" t="s">
        <v>621</v>
      </c>
      <c r="R34" s="36" t="str">
        <f aca="false">IF(H34="Ya",IF(M34&lt;&gt;"","SUDAH PLOTTING","BELUM PLOTTING"),"-")</f>
        <v>-</v>
      </c>
      <c r="S34" s="37"/>
      <c r="T34" s="37"/>
    </row>
    <row r="35" customFormat="false" ht="15" hidden="false" customHeight="true" outlineLevel="0" collapsed="false">
      <c r="A35" s="36" t="s">
        <v>732</v>
      </c>
      <c r="B35" s="37" t="s">
        <v>59</v>
      </c>
      <c r="C35" s="37" t="s">
        <v>60</v>
      </c>
      <c r="D35" s="37" t="s">
        <v>710</v>
      </c>
      <c r="E35" s="36" t="s">
        <v>733</v>
      </c>
      <c r="F35" s="38" t="s">
        <v>11</v>
      </c>
      <c r="G35" s="36" t="s">
        <v>68</v>
      </c>
      <c r="H35" s="36" t="s">
        <v>658</v>
      </c>
      <c r="I35" s="37" t="n">
        <v>154</v>
      </c>
      <c r="J35" s="37"/>
      <c r="K35" s="37" t="n">
        <v>0</v>
      </c>
      <c r="L35" s="37" t="n">
        <v>0</v>
      </c>
      <c r="M35" s="37"/>
      <c r="N35" s="37"/>
      <c r="O35" s="37" t="s">
        <v>659</v>
      </c>
      <c r="P35" s="37" t="s">
        <v>711</v>
      </c>
      <c r="Q35" s="37" t="s">
        <v>621</v>
      </c>
      <c r="R35" s="36" t="str">
        <f aca="false">IF(H35="Ya",IF(M35&lt;&gt;"","SUDAH PLOTTING","BELUM PLOTTING"),"-")</f>
        <v>-</v>
      </c>
      <c r="S35" s="37"/>
      <c r="T35" s="37"/>
    </row>
    <row r="36" customFormat="false" ht="15" hidden="false" customHeight="true" outlineLevel="0" collapsed="false">
      <c r="A36" s="36" t="s">
        <v>734</v>
      </c>
      <c r="B36" s="37" t="s">
        <v>59</v>
      </c>
      <c r="C36" s="37" t="s">
        <v>60</v>
      </c>
      <c r="D36" s="37" t="s">
        <v>710</v>
      </c>
      <c r="E36" s="36" t="s">
        <v>735</v>
      </c>
      <c r="F36" s="38" t="s">
        <v>11</v>
      </c>
      <c r="G36" s="36" t="s">
        <v>68</v>
      </c>
      <c r="H36" s="36" t="s">
        <v>658</v>
      </c>
      <c r="I36" s="37" t="n">
        <v>128</v>
      </c>
      <c r="J36" s="37"/>
      <c r="K36" s="37" t="n">
        <v>0</v>
      </c>
      <c r="L36" s="37" t="n">
        <v>0</v>
      </c>
      <c r="M36" s="37"/>
      <c r="N36" s="37"/>
      <c r="O36" s="37" t="s">
        <v>659</v>
      </c>
      <c r="P36" s="37" t="s">
        <v>711</v>
      </c>
      <c r="Q36" s="37" t="s">
        <v>621</v>
      </c>
      <c r="R36" s="36" t="str">
        <f aca="false">IF(H36="Ya",IF(M36&lt;&gt;"","SUDAH PLOTTING","BELUM PLOTTING"),"-")</f>
        <v>-</v>
      </c>
      <c r="S36" s="37"/>
      <c r="T36" s="37"/>
    </row>
    <row r="37" customFormat="false" ht="15" hidden="false" customHeight="true" outlineLevel="0" collapsed="false">
      <c r="A37" s="36" t="s">
        <v>736</v>
      </c>
      <c r="B37" s="37" t="s">
        <v>59</v>
      </c>
      <c r="C37" s="37" t="s">
        <v>60</v>
      </c>
      <c r="D37" s="37" t="s">
        <v>710</v>
      </c>
      <c r="E37" s="36" t="s">
        <v>737</v>
      </c>
      <c r="F37" s="38" t="s">
        <v>11</v>
      </c>
      <c r="G37" s="36" t="s">
        <v>68</v>
      </c>
      <c r="H37" s="36" t="s">
        <v>658</v>
      </c>
      <c r="I37" s="37" t="n">
        <v>156</v>
      </c>
      <c r="J37" s="37"/>
      <c r="K37" s="37" t="n">
        <v>0</v>
      </c>
      <c r="L37" s="37" t="n">
        <v>0</v>
      </c>
      <c r="M37" s="37"/>
      <c r="N37" s="37"/>
      <c r="O37" s="37" t="s">
        <v>659</v>
      </c>
      <c r="P37" s="37" t="s">
        <v>711</v>
      </c>
      <c r="Q37" s="37" t="s">
        <v>621</v>
      </c>
      <c r="R37" s="36" t="str">
        <f aca="false">IF(H37="Ya",IF(M37&lt;&gt;"","SUDAH PLOTTING","BELUM PLOTTING"),"-")</f>
        <v>-</v>
      </c>
      <c r="S37" s="37"/>
      <c r="T37" s="37"/>
    </row>
    <row r="38" customFormat="false" ht="15" hidden="false" customHeight="true" outlineLevel="0" collapsed="false">
      <c r="A38" s="36" t="s">
        <v>738</v>
      </c>
      <c r="B38" s="37" t="s">
        <v>59</v>
      </c>
      <c r="C38" s="37" t="s">
        <v>60</v>
      </c>
      <c r="D38" s="37" t="s">
        <v>710</v>
      </c>
      <c r="E38" s="36" t="s">
        <v>739</v>
      </c>
      <c r="F38" s="38" t="s">
        <v>11</v>
      </c>
      <c r="G38" s="36" t="s">
        <v>68</v>
      </c>
      <c r="H38" s="36" t="s">
        <v>658</v>
      </c>
      <c r="I38" s="37" t="n">
        <v>186</v>
      </c>
      <c r="J38" s="37"/>
      <c r="K38" s="37" t="n">
        <v>0</v>
      </c>
      <c r="L38" s="37" t="n">
        <v>0</v>
      </c>
      <c r="M38" s="37"/>
      <c r="N38" s="37"/>
      <c r="O38" s="37" t="s">
        <v>659</v>
      </c>
      <c r="P38" s="37" t="s">
        <v>711</v>
      </c>
      <c r="Q38" s="37" t="s">
        <v>621</v>
      </c>
      <c r="R38" s="36" t="str">
        <f aca="false">IF(H38="Ya",IF(M38&lt;&gt;"","SUDAH PLOTTING","BELUM PLOTTING"),"-")</f>
        <v>-</v>
      </c>
      <c r="S38" s="37"/>
      <c r="T38" s="37"/>
    </row>
    <row r="39" customFormat="false" ht="15" hidden="false" customHeight="true" outlineLevel="0" collapsed="false">
      <c r="A39" s="36" t="s">
        <v>740</v>
      </c>
      <c r="B39" s="37" t="s">
        <v>59</v>
      </c>
      <c r="C39" s="37" t="s">
        <v>60</v>
      </c>
      <c r="D39" s="37" t="s">
        <v>741</v>
      </c>
      <c r="E39" s="36" t="s">
        <v>79</v>
      </c>
      <c r="F39" s="38" t="s">
        <v>11</v>
      </c>
      <c r="G39" s="36" t="s">
        <v>68</v>
      </c>
      <c r="H39" s="36" t="s">
        <v>658</v>
      </c>
      <c r="I39" s="37" t="n">
        <v>219</v>
      </c>
      <c r="J39" s="37"/>
      <c r="K39" s="37" t="n">
        <v>0</v>
      </c>
      <c r="L39" s="37" t="n">
        <v>0</v>
      </c>
      <c r="M39" s="37"/>
      <c r="N39" s="37"/>
      <c r="O39" s="37" t="s">
        <v>659</v>
      </c>
      <c r="P39" s="37" t="s">
        <v>742</v>
      </c>
      <c r="Q39" s="37" t="s">
        <v>621</v>
      </c>
      <c r="R39" s="36" t="str">
        <f aca="false">IF(H39="Ya",IF(M39&lt;&gt;"","SUDAH PLOTTING","BELUM PLOTTING"),"-")</f>
        <v>-</v>
      </c>
      <c r="S39" s="37"/>
      <c r="T39" s="37"/>
    </row>
    <row r="40" customFormat="false" ht="15" hidden="false" customHeight="true" outlineLevel="0" collapsed="false">
      <c r="A40" s="36" t="s">
        <v>743</v>
      </c>
      <c r="B40" s="37" t="s">
        <v>59</v>
      </c>
      <c r="C40" s="37" t="s">
        <v>60</v>
      </c>
      <c r="D40" s="37" t="s">
        <v>741</v>
      </c>
      <c r="E40" s="36" t="s">
        <v>88</v>
      </c>
      <c r="F40" s="38" t="s">
        <v>11</v>
      </c>
      <c r="G40" s="36" t="s">
        <v>68</v>
      </c>
      <c r="H40" s="36" t="s">
        <v>658</v>
      </c>
      <c r="I40" s="37" t="n">
        <v>143</v>
      </c>
      <c r="J40" s="37"/>
      <c r="K40" s="37" t="n">
        <v>0</v>
      </c>
      <c r="L40" s="37" t="n">
        <v>0</v>
      </c>
      <c r="M40" s="37"/>
      <c r="N40" s="37"/>
      <c r="O40" s="37" t="s">
        <v>659</v>
      </c>
      <c r="P40" s="37" t="s">
        <v>742</v>
      </c>
      <c r="Q40" s="37" t="s">
        <v>621</v>
      </c>
      <c r="R40" s="36" t="str">
        <f aca="false">IF(H40="Ya",IF(M40&lt;&gt;"","SUDAH PLOTTING","BELUM PLOTTING"),"-")</f>
        <v>-</v>
      </c>
      <c r="S40" s="37"/>
      <c r="T40" s="37"/>
    </row>
    <row r="41" customFormat="false" ht="15" hidden="false" customHeight="true" outlineLevel="0" collapsed="false">
      <c r="A41" s="36" t="s">
        <v>744</v>
      </c>
      <c r="B41" s="37" t="s">
        <v>59</v>
      </c>
      <c r="C41" s="37" t="s">
        <v>60</v>
      </c>
      <c r="D41" s="37" t="s">
        <v>741</v>
      </c>
      <c r="E41" s="36" t="s">
        <v>92</v>
      </c>
      <c r="F41" s="38" t="s">
        <v>11</v>
      </c>
      <c r="G41" s="36" t="s">
        <v>68</v>
      </c>
      <c r="H41" s="36" t="s">
        <v>658</v>
      </c>
      <c r="I41" s="37" t="n">
        <v>175</v>
      </c>
      <c r="J41" s="37"/>
      <c r="K41" s="37" t="n">
        <v>0</v>
      </c>
      <c r="L41" s="37" t="n">
        <v>0</v>
      </c>
      <c r="M41" s="37"/>
      <c r="N41" s="37"/>
      <c r="O41" s="37" t="s">
        <v>659</v>
      </c>
      <c r="P41" s="37" t="s">
        <v>742</v>
      </c>
      <c r="Q41" s="37" t="s">
        <v>621</v>
      </c>
      <c r="R41" s="36" t="str">
        <f aca="false">IF(H41="Ya",IF(M41&lt;&gt;"","SUDAH PLOTTING","BELUM PLOTTING"),"-")</f>
        <v>-</v>
      </c>
      <c r="S41" s="37"/>
      <c r="T41" s="37"/>
    </row>
    <row r="42" customFormat="false" ht="15" hidden="false" customHeight="true" outlineLevel="0" collapsed="false">
      <c r="A42" s="36" t="s">
        <v>745</v>
      </c>
      <c r="B42" s="37" t="s">
        <v>59</v>
      </c>
      <c r="C42" s="37" t="s">
        <v>60</v>
      </c>
      <c r="D42" s="37" t="s">
        <v>741</v>
      </c>
      <c r="E42" s="36" t="s">
        <v>97</v>
      </c>
      <c r="F42" s="38" t="s">
        <v>11</v>
      </c>
      <c r="G42" s="36" t="s">
        <v>68</v>
      </c>
      <c r="H42" s="36" t="s">
        <v>658</v>
      </c>
      <c r="I42" s="37" t="n">
        <v>174</v>
      </c>
      <c r="J42" s="37"/>
      <c r="K42" s="37" t="n">
        <v>0</v>
      </c>
      <c r="L42" s="37" t="n">
        <v>0</v>
      </c>
      <c r="M42" s="37"/>
      <c r="N42" s="37"/>
      <c r="O42" s="37" t="s">
        <v>659</v>
      </c>
      <c r="P42" s="37" t="s">
        <v>742</v>
      </c>
      <c r="Q42" s="37" t="s">
        <v>621</v>
      </c>
      <c r="R42" s="36" t="str">
        <f aca="false">IF(H42="Ya",IF(M42&lt;&gt;"","SUDAH PLOTTING","BELUM PLOTTING"),"-")</f>
        <v>-</v>
      </c>
      <c r="S42" s="37"/>
      <c r="T42" s="37"/>
    </row>
    <row r="43" customFormat="false" ht="15" hidden="false" customHeight="true" outlineLevel="0" collapsed="false">
      <c r="A43" s="36" t="s">
        <v>746</v>
      </c>
      <c r="B43" s="37" t="s">
        <v>59</v>
      </c>
      <c r="C43" s="37" t="s">
        <v>60</v>
      </c>
      <c r="D43" s="37" t="s">
        <v>741</v>
      </c>
      <c r="E43" s="36" t="s">
        <v>103</v>
      </c>
      <c r="F43" s="38" t="s">
        <v>11</v>
      </c>
      <c r="G43" s="36" t="s">
        <v>68</v>
      </c>
      <c r="H43" s="36" t="s">
        <v>658</v>
      </c>
      <c r="I43" s="37" t="n">
        <v>125</v>
      </c>
      <c r="J43" s="37"/>
      <c r="K43" s="37" t="n">
        <v>0</v>
      </c>
      <c r="L43" s="37" t="n">
        <v>0</v>
      </c>
      <c r="M43" s="37"/>
      <c r="N43" s="37"/>
      <c r="O43" s="37" t="s">
        <v>659</v>
      </c>
      <c r="P43" s="37" t="s">
        <v>742</v>
      </c>
      <c r="Q43" s="37" t="s">
        <v>621</v>
      </c>
      <c r="R43" s="36" t="str">
        <f aca="false">IF(H43="Ya",IF(M43&lt;&gt;"","SUDAH PLOTTING","BELUM PLOTTING"),"-")</f>
        <v>-</v>
      </c>
      <c r="S43" s="37"/>
      <c r="T43" s="37"/>
    </row>
    <row r="44" customFormat="false" ht="15" hidden="false" customHeight="true" outlineLevel="0" collapsed="false">
      <c r="A44" s="36" t="s">
        <v>747</v>
      </c>
      <c r="B44" s="37" t="s">
        <v>59</v>
      </c>
      <c r="C44" s="37" t="s">
        <v>60</v>
      </c>
      <c r="D44" s="37" t="s">
        <v>741</v>
      </c>
      <c r="E44" s="36" t="s">
        <v>111</v>
      </c>
      <c r="F44" s="38" t="s">
        <v>11</v>
      </c>
      <c r="G44" s="36" t="s">
        <v>68</v>
      </c>
      <c r="H44" s="36" t="s">
        <v>658</v>
      </c>
      <c r="I44" s="37" t="n">
        <v>186</v>
      </c>
      <c r="J44" s="37"/>
      <c r="K44" s="37" t="n">
        <v>0</v>
      </c>
      <c r="L44" s="37" t="n">
        <v>0</v>
      </c>
      <c r="M44" s="37"/>
      <c r="N44" s="37"/>
      <c r="O44" s="37" t="s">
        <v>659</v>
      </c>
      <c r="P44" s="37" t="s">
        <v>742</v>
      </c>
      <c r="Q44" s="37" t="s">
        <v>621</v>
      </c>
      <c r="R44" s="36" t="str">
        <f aca="false">IF(H44="Ya",IF(M44&lt;&gt;"","SUDAH PLOTTING","BELUM PLOTTING"),"-")</f>
        <v>-</v>
      </c>
      <c r="S44" s="37"/>
      <c r="T44" s="37"/>
    </row>
    <row r="45" customFormat="false" ht="15" hidden="false" customHeight="true" outlineLevel="0" collapsed="false">
      <c r="A45" s="36" t="s">
        <v>748</v>
      </c>
      <c r="B45" s="37" t="s">
        <v>59</v>
      </c>
      <c r="C45" s="37" t="s">
        <v>60</v>
      </c>
      <c r="D45" s="37" t="s">
        <v>741</v>
      </c>
      <c r="E45" s="36" t="s">
        <v>166</v>
      </c>
      <c r="F45" s="38" t="s">
        <v>11</v>
      </c>
      <c r="G45" s="36" t="s">
        <v>68</v>
      </c>
      <c r="H45" s="36" t="s">
        <v>658</v>
      </c>
      <c r="I45" s="37" t="n">
        <v>113</v>
      </c>
      <c r="J45" s="37"/>
      <c r="K45" s="37" t="n">
        <v>0</v>
      </c>
      <c r="L45" s="37" t="n">
        <v>0</v>
      </c>
      <c r="M45" s="37"/>
      <c r="N45" s="37"/>
      <c r="O45" s="37" t="s">
        <v>659</v>
      </c>
      <c r="P45" s="37" t="s">
        <v>742</v>
      </c>
      <c r="Q45" s="37" t="s">
        <v>621</v>
      </c>
      <c r="R45" s="36" t="str">
        <f aca="false">IF(H45="Ya",IF(M45&lt;&gt;"","SUDAH PLOTTING","BELUM PLOTTING"),"-")</f>
        <v>-</v>
      </c>
      <c r="S45" s="37"/>
      <c r="T45" s="37"/>
    </row>
    <row r="46" customFormat="false" ht="15" hidden="false" customHeight="true" outlineLevel="0" collapsed="false">
      <c r="A46" s="36" t="s">
        <v>63</v>
      </c>
      <c r="B46" s="37" t="s">
        <v>59</v>
      </c>
      <c r="C46" s="37" t="s">
        <v>60</v>
      </c>
      <c r="D46" s="37" t="s">
        <v>61</v>
      </c>
      <c r="E46" s="36" t="s">
        <v>62</v>
      </c>
      <c r="F46" s="39" t="s">
        <v>7</v>
      </c>
      <c r="G46" s="36" t="s">
        <v>68</v>
      </c>
      <c r="H46" s="36" t="s">
        <v>68</v>
      </c>
      <c r="I46" s="37" t="n">
        <v>64</v>
      </c>
      <c r="J46" s="37" t="n">
        <v>4</v>
      </c>
      <c r="K46" s="37" t="n">
        <v>0</v>
      </c>
      <c r="L46" s="37" t="n">
        <v>0</v>
      </c>
      <c r="M46" s="37"/>
      <c r="N46" s="37" t="n">
        <v>4</v>
      </c>
      <c r="O46" s="37" t="s">
        <v>749</v>
      </c>
      <c r="P46" s="37" t="s">
        <v>750</v>
      </c>
      <c r="Q46" s="37" t="s">
        <v>621</v>
      </c>
      <c r="R46" s="36" t="str">
        <f aca="false">IF(H46="Ya",IF(M46&lt;&gt;"","SUDAH PLOTTING","BELUM PLOTTING"),"-")</f>
        <v>BELUM PLOTTING</v>
      </c>
      <c r="S46" s="37" t="s">
        <v>58</v>
      </c>
      <c r="T46" s="37" t="s">
        <v>751</v>
      </c>
      <c r="U46" s="40" t="s">
        <v>752</v>
      </c>
      <c r="V46" s="40" t="s">
        <v>68</v>
      </c>
    </row>
    <row r="47" customFormat="false" ht="15" hidden="false" customHeight="true" outlineLevel="0" collapsed="false">
      <c r="A47" s="36" t="s">
        <v>753</v>
      </c>
      <c r="B47" s="37" t="s">
        <v>59</v>
      </c>
      <c r="C47" s="37" t="s">
        <v>60</v>
      </c>
      <c r="D47" s="37" t="s">
        <v>754</v>
      </c>
      <c r="E47" s="36" t="s">
        <v>79</v>
      </c>
      <c r="F47" s="38" t="s">
        <v>11</v>
      </c>
      <c r="G47" s="36" t="s">
        <v>68</v>
      </c>
      <c r="H47" s="36" t="s">
        <v>658</v>
      </c>
      <c r="I47" s="37" t="n">
        <v>201</v>
      </c>
      <c r="J47" s="37"/>
      <c r="K47" s="37" t="n">
        <v>0</v>
      </c>
      <c r="L47" s="37" t="n">
        <v>0</v>
      </c>
      <c r="M47" s="37"/>
      <c r="N47" s="37"/>
      <c r="O47" s="37" t="s">
        <v>659</v>
      </c>
      <c r="P47" s="37" t="s">
        <v>755</v>
      </c>
      <c r="Q47" s="37" t="s">
        <v>621</v>
      </c>
      <c r="R47" s="36" t="str">
        <f aca="false">IF(H47="Ya",IF(M47&lt;&gt;"","SUDAH PLOTTING","BELUM PLOTTING"),"-")</f>
        <v>-</v>
      </c>
      <c r="S47" s="37"/>
      <c r="T47" s="37"/>
    </row>
    <row r="48" customFormat="false" ht="15" hidden="false" customHeight="true" outlineLevel="0" collapsed="false">
      <c r="A48" s="36" t="s">
        <v>756</v>
      </c>
      <c r="B48" s="37" t="s">
        <v>59</v>
      </c>
      <c r="C48" s="37" t="s">
        <v>60</v>
      </c>
      <c r="D48" s="37" t="s">
        <v>754</v>
      </c>
      <c r="E48" s="36" t="s">
        <v>88</v>
      </c>
      <c r="F48" s="38" t="s">
        <v>11</v>
      </c>
      <c r="G48" s="36" t="s">
        <v>68</v>
      </c>
      <c r="H48" s="36" t="s">
        <v>658</v>
      </c>
      <c r="I48" s="37" t="n">
        <v>213</v>
      </c>
      <c r="J48" s="37"/>
      <c r="K48" s="37" t="n">
        <v>0</v>
      </c>
      <c r="L48" s="37" t="n">
        <v>0</v>
      </c>
      <c r="M48" s="37"/>
      <c r="N48" s="37"/>
      <c r="O48" s="37" t="s">
        <v>659</v>
      </c>
      <c r="P48" s="37" t="s">
        <v>755</v>
      </c>
      <c r="Q48" s="37" t="s">
        <v>621</v>
      </c>
      <c r="R48" s="36" t="str">
        <f aca="false">IF(H48="Ya",IF(M48&lt;&gt;"","SUDAH PLOTTING","BELUM PLOTTING"),"-")</f>
        <v>-</v>
      </c>
      <c r="S48" s="37"/>
      <c r="T48" s="37"/>
    </row>
    <row r="49" customFormat="false" ht="15" hidden="false" customHeight="true" outlineLevel="0" collapsed="false">
      <c r="A49" s="36" t="s">
        <v>757</v>
      </c>
      <c r="B49" s="37" t="s">
        <v>59</v>
      </c>
      <c r="C49" s="37" t="s">
        <v>60</v>
      </c>
      <c r="D49" s="37" t="s">
        <v>754</v>
      </c>
      <c r="E49" s="36" t="s">
        <v>92</v>
      </c>
      <c r="F49" s="38" t="s">
        <v>11</v>
      </c>
      <c r="G49" s="36" t="s">
        <v>68</v>
      </c>
      <c r="H49" s="36" t="s">
        <v>658</v>
      </c>
      <c r="I49" s="37" t="n">
        <v>130</v>
      </c>
      <c r="J49" s="37"/>
      <c r="K49" s="37" t="n">
        <v>0</v>
      </c>
      <c r="L49" s="37" t="n">
        <v>0</v>
      </c>
      <c r="M49" s="37"/>
      <c r="N49" s="37"/>
      <c r="O49" s="37" t="s">
        <v>659</v>
      </c>
      <c r="P49" s="37" t="s">
        <v>755</v>
      </c>
      <c r="Q49" s="37" t="s">
        <v>621</v>
      </c>
      <c r="R49" s="36" t="str">
        <f aca="false">IF(H49="Ya",IF(M49&lt;&gt;"","SUDAH PLOTTING","BELUM PLOTTING"),"-")</f>
        <v>-</v>
      </c>
      <c r="S49" s="37"/>
      <c r="T49" s="37"/>
    </row>
    <row r="50" customFormat="false" ht="15" hidden="false" customHeight="true" outlineLevel="0" collapsed="false">
      <c r="A50" s="36" t="s">
        <v>758</v>
      </c>
      <c r="B50" s="37" t="s">
        <v>59</v>
      </c>
      <c r="C50" s="37" t="s">
        <v>60</v>
      </c>
      <c r="D50" s="37" t="s">
        <v>754</v>
      </c>
      <c r="E50" s="36" t="s">
        <v>97</v>
      </c>
      <c r="F50" s="38" t="s">
        <v>11</v>
      </c>
      <c r="G50" s="36" t="s">
        <v>68</v>
      </c>
      <c r="H50" s="36" t="s">
        <v>658</v>
      </c>
      <c r="I50" s="37" t="n">
        <v>121</v>
      </c>
      <c r="J50" s="37"/>
      <c r="K50" s="37" t="n">
        <v>0</v>
      </c>
      <c r="L50" s="37" t="n">
        <v>0</v>
      </c>
      <c r="M50" s="37"/>
      <c r="N50" s="37"/>
      <c r="O50" s="37" t="s">
        <v>659</v>
      </c>
      <c r="P50" s="37" t="s">
        <v>755</v>
      </c>
      <c r="Q50" s="37" t="s">
        <v>621</v>
      </c>
      <c r="R50" s="36" t="str">
        <f aca="false">IF(H50="Ya",IF(M50&lt;&gt;"","SUDAH PLOTTING","BELUM PLOTTING"),"-")</f>
        <v>-</v>
      </c>
      <c r="S50" s="37"/>
      <c r="T50" s="37"/>
    </row>
    <row r="51" customFormat="false" ht="15" hidden="false" customHeight="true" outlineLevel="0" collapsed="false">
      <c r="A51" s="36" t="s">
        <v>759</v>
      </c>
      <c r="B51" s="37" t="s">
        <v>59</v>
      </c>
      <c r="C51" s="37" t="s">
        <v>60</v>
      </c>
      <c r="D51" s="37" t="s">
        <v>754</v>
      </c>
      <c r="E51" s="36" t="s">
        <v>103</v>
      </c>
      <c r="F51" s="38" t="s">
        <v>11</v>
      </c>
      <c r="G51" s="36" t="s">
        <v>68</v>
      </c>
      <c r="H51" s="36" t="s">
        <v>658</v>
      </c>
      <c r="I51" s="37" t="n">
        <v>211</v>
      </c>
      <c r="J51" s="37"/>
      <c r="K51" s="37" t="n">
        <v>0</v>
      </c>
      <c r="L51" s="37" t="n">
        <v>0</v>
      </c>
      <c r="M51" s="37"/>
      <c r="N51" s="37"/>
      <c r="O51" s="37" t="s">
        <v>659</v>
      </c>
      <c r="P51" s="37" t="s">
        <v>755</v>
      </c>
      <c r="Q51" s="37" t="s">
        <v>621</v>
      </c>
      <c r="R51" s="36" t="str">
        <f aca="false">IF(H51="Ya",IF(M51&lt;&gt;"","SUDAH PLOTTING","BELUM PLOTTING"),"-")</f>
        <v>-</v>
      </c>
      <c r="S51" s="37"/>
      <c r="T51" s="37"/>
    </row>
    <row r="52" customFormat="false" ht="15" hidden="false" customHeight="true" outlineLevel="0" collapsed="false">
      <c r="A52" s="36" t="s">
        <v>760</v>
      </c>
      <c r="B52" s="37" t="s">
        <v>59</v>
      </c>
      <c r="C52" s="37" t="s">
        <v>60</v>
      </c>
      <c r="D52" s="37" t="s">
        <v>754</v>
      </c>
      <c r="E52" s="36" t="s">
        <v>111</v>
      </c>
      <c r="F52" s="38" t="s">
        <v>11</v>
      </c>
      <c r="G52" s="36" t="s">
        <v>68</v>
      </c>
      <c r="H52" s="36" t="s">
        <v>658</v>
      </c>
      <c r="I52" s="37" t="n">
        <v>173</v>
      </c>
      <c r="J52" s="37"/>
      <c r="K52" s="37" t="n">
        <v>0</v>
      </c>
      <c r="L52" s="37" t="n">
        <v>0</v>
      </c>
      <c r="M52" s="37"/>
      <c r="N52" s="37"/>
      <c r="O52" s="37" t="s">
        <v>659</v>
      </c>
      <c r="P52" s="37" t="s">
        <v>755</v>
      </c>
      <c r="Q52" s="37" t="s">
        <v>621</v>
      </c>
      <c r="R52" s="36" t="str">
        <f aca="false">IF(H52="Ya",IF(M52&lt;&gt;"","SUDAH PLOTTING","BELUM PLOTTING"),"-")</f>
        <v>-</v>
      </c>
      <c r="S52" s="37"/>
      <c r="T52" s="37"/>
    </row>
    <row r="53" customFormat="false" ht="15" hidden="false" customHeight="true" outlineLevel="0" collapsed="false">
      <c r="A53" s="36" t="s">
        <v>761</v>
      </c>
      <c r="B53" s="37" t="s">
        <v>59</v>
      </c>
      <c r="C53" s="37" t="s">
        <v>60</v>
      </c>
      <c r="D53" s="37" t="s">
        <v>754</v>
      </c>
      <c r="E53" s="36" t="s">
        <v>166</v>
      </c>
      <c r="F53" s="38" t="s">
        <v>11</v>
      </c>
      <c r="G53" s="36" t="s">
        <v>68</v>
      </c>
      <c r="H53" s="36" t="s">
        <v>658</v>
      </c>
      <c r="I53" s="37" t="n">
        <v>178</v>
      </c>
      <c r="J53" s="37"/>
      <c r="K53" s="37" t="n">
        <v>0</v>
      </c>
      <c r="L53" s="37" t="n">
        <v>0</v>
      </c>
      <c r="M53" s="37"/>
      <c r="N53" s="37"/>
      <c r="O53" s="37" t="s">
        <v>659</v>
      </c>
      <c r="P53" s="37" t="s">
        <v>755</v>
      </c>
      <c r="Q53" s="37" t="s">
        <v>621</v>
      </c>
      <c r="R53" s="36" t="str">
        <f aca="false">IF(H53="Ya",IF(M53&lt;&gt;"","SUDAH PLOTTING","BELUM PLOTTING"),"-")</f>
        <v>-</v>
      </c>
      <c r="S53" s="37"/>
      <c r="T53" s="37"/>
    </row>
    <row r="54" customFormat="false" ht="15" hidden="false" customHeight="true" outlineLevel="0" collapsed="false">
      <c r="A54" s="36" t="s">
        <v>762</v>
      </c>
      <c r="B54" s="37" t="s">
        <v>59</v>
      </c>
      <c r="C54" s="37" t="s">
        <v>60</v>
      </c>
      <c r="D54" s="37" t="s">
        <v>754</v>
      </c>
      <c r="E54" s="36" t="s">
        <v>719</v>
      </c>
      <c r="F54" s="38" t="s">
        <v>11</v>
      </c>
      <c r="G54" s="36" t="s">
        <v>68</v>
      </c>
      <c r="H54" s="36" t="s">
        <v>658</v>
      </c>
      <c r="I54" s="37" t="n">
        <v>195</v>
      </c>
      <c r="J54" s="37"/>
      <c r="K54" s="37" t="n">
        <v>0</v>
      </c>
      <c r="L54" s="37" t="n">
        <v>0</v>
      </c>
      <c r="M54" s="37"/>
      <c r="N54" s="37"/>
      <c r="O54" s="37" t="s">
        <v>659</v>
      </c>
      <c r="P54" s="37" t="s">
        <v>755</v>
      </c>
      <c r="Q54" s="37" t="s">
        <v>621</v>
      </c>
      <c r="R54" s="36" t="str">
        <f aca="false">IF(H54="Ya",IF(M54&lt;&gt;"","SUDAH PLOTTING","BELUM PLOTTING"),"-")</f>
        <v>-</v>
      </c>
      <c r="S54" s="37"/>
      <c r="T54" s="37"/>
    </row>
    <row r="55" customFormat="false" ht="15" hidden="false" customHeight="true" outlineLevel="0" collapsed="false">
      <c r="A55" s="36" t="s">
        <v>763</v>
      </c>
      <c r="B55" s="37" t="s">
        <v>59</v>
      </c>
      <c r="C55" s="37" t="s">
        <v>60</v>
      </c>
      <c r="D55" s="37" t="s">
        <v>764</v>
      </c>
      <c r="E55" s="36" t="s">
        <v>79</v>
      </c>
      <c r="F55" s="38" t="s">
        <v>11</v>
      </c>
      <c r="G55" s="36" t="s">
        <v>68</v>
      </c>
      <c r="H55" s="36" t="s">
        <v>658</v>
      </c>
      <c r="I55" s="37" t="n">
        <v>145</v>
      </c>
      <c r="J55" s="37"/>
      <c r="K55" s="37" t="n">
        <v>0</v>
      </c>
      <c r="L55" s="37" t="n">
        <v>0</v>
      </c>
      <c r="M55" s="37"/>
      <c r="N55" s="37"/>
      <c r="O55" s="37" t="s">
        <v>659</v>
      </c>
      <c r="P55" s="37" t="s">
        <v>765</v>
      </c>
      <c r="Q55" s="37" t="s">
        <v>621</v>
      </c>
      <c r="R55" s="36" t="str">
        <f aca="false">IF(H55="Ya",IF(M55&lt;&gt;"","SUDAH PLOTTING","BELUM PLOTTING"),"-")</f>
        <v>-</v>
      </c>
      <c r="S55" s="37"/>
      <c r="T55" s="37"/>
    </row>
    <row r="56" customFormat="false" ht="15" hidden="false" customHeight="true" outlineLevel="0" collapsed="false">
      <c r="A56" s="36" t="s">
        <v>766</v>
      </c>
      <c r="B56" s="37" t="s">
        <v>59</v>
      </c>
      <c r="C56" s="37" t="s">
        <v>60</v>
      </c>
      <c r="D56" s="37" t="s">
        <v>764</v>
      </c>
      <c r="E56" s="36" t="s">
        <v>88</v>
      </c>
      <c r="F56" s="38" t="s">
        <v>11</v>
      </c>
      <c r="G56" s="36" t="s">
        <v>68</v>
      </c>
      <c r="H56" s="36" t="s">
        <v>658</v>
      </c>
      <c r="I56" s="37" t="n">
        <v>184</v>
      </c>
      <c r="J56" s="37"/>
      <c r="K56" s="37" t="n">
        <v>0</v>
      </c>
      <c r="L56" s="37" t="n">
        <v>0</v>
      </c>
      <c r="M56" s="37"/>
      <c r="N56" s="37"/>
      <c r="O56" s="37" t="s">
        <v>659</v>
      </c>
      <c r="P56" s="37" t="s">
        <v>765</v>
      </c>
      <c r="Q56" s="37" t="s">
        <v>621</v>
      </c>
      <c r="R56" s="36" t="str">
        <f aca="false">IF(H56="Ya",IF(M56&lt;&gt;"","SUDAH PLOTTING","BELUM PLOTTING"),"-")</f>
        <v>-</v>
      </c>
      <c r="S56" s="37"/>
      <c r="T56" s="37"/>
    </row>
    <row r="57" customFormat="false" ht="15" hidden="false" customHeight="true" outlineLevel="0" collapsed="false">
      <c r="A57" s="36" t="s">
        <v>767</v>
      </c>
      <c r="B57" s="37" t="s">
        <v>59</v>
      </c>
      <c r="C57" s="37" t="s">
        <v>60</v>
      </c>
      <c r="D57" s="37" t="s">
        <v>764</v>
      </c>
      <c r="E57" s="36" t="s">
        <v>92</v>
      </c>
      <c r="F57" s="38" t="s">
        <v>11</v>
      </c>
      <c r="G57" s="36" t="s">
        <v>68</v>
      </c>
      <c r="H57" s="36" t="s">
        <v>658</v>
      </c>
      <c r="I57" s="37" t="n">
        <v>175</v>
      </c>
      <c r="J57" s="37"/>
      <c r="K57" s="37" t="n">
        <v>0</v>
      </c>
      <c r="L57" s="37" t="n">
        <v>0</v>
      </c>
      <c r="M57" s="37"/>
      <c r="N57" s="37"/>
      <c r="O57" s="37" t="s">
        <v>659</v>
      </c>
      <c r="P57" s="37" t="s">
        <v>765</v>
      </c>
      <c r="Q57" s="37" t="s">
        <v>621</v>
      </c>
      <c r="R57" s="36" t="str">
        <f aca="false">IF(H57="Ya",IF(M57&lt;&gt;"","SUDAH PLOTTING","BELUM PLOTTING"),"-")</f>
        <v>-</v>
      </c>
      <c r="S57" s="37"/>
      <c r="T57" s="37"/>
    </row>
    <row r="58" customFormat="false" ht="15" hidden="false" customHeight="true" outlineLevel="0" collapsed="false">
      <c r="A58" s="36" t="s">
        <v>768</v>
      </c>
      <c r="B58" s="37" t="s">
        <v>59</v>
      </c>
      <c r="C58" s="37" t="s">
        <v>60</v>
      </c>
      <c r="D58" s="37" t="s">
        <v>764</v>
      </c>
      <c r="E58" s="36" t="s">
        <v>97</v>
      </c>
      <c r="F58" s="38" t="s">
        <v>11</v>
      </c>
      <c r="G58" s="36" t="s">
        <v>68</v>
      </c>
      <c r="H58" s="36" t="s">
        <v>658</v>
      </c>
      <c r="I58" s="37" t="n">
        <v>169</v>
      </c>
      <c r="J58" s="37"/>
      <c r="K58" s="37" t="n">
        <v>0</v>
      </c>
      <c r="L58" s="37" t="n">
        <v>0</v>
      </c>
      <c r="M58" s="37"/>
      <c r="N58" s="37"/>
      <c r="O58" s="37" t="s">
        <v>659</v>
      </c>
      <c r="P58" s="37" t="s">
        <v>765</v>
      </c>
      <c r="Q58" s="37" t="s">
        <v>621</v>
      </c>
      <c r="R58" s="36" t="str">
        <f aca="false">IF(H58="Ya",IF(M58&lt;&gt;"","SUDAH PLOTTING","BELUM PLOTTING"),"-")</f>
        <v>-</v>
      </c>
      <c r="S58" s="37"/>
      <c r="T58" s="37"/>
    </row>
    <row r="59" customFormat="false" ht="15" hidden="false" customHeight="true" outlineLevel="0" collapsed="false">
      <c r="A59" s="36" t="s">
        <v>769</v>
      </c>
      <c r="B59" s="37" t="s">
        <v>59</v>
      </c>
      <c r="C59" s="37" t="s">
        <v>60</v>
      </c>
      <c r="D59" s="37" t="s">
        <v>770</v>
      </c>
      <c r="E59" s="36" t="s">
        <v>62</v>
      </c>
      <c r="F59" s="38" t="s">
        <v>11</v>
      </c>
      <c r="G59" s="36" t="s">
        <v>68</v>
      </c>
      <c r="H59" s="36" t="s">
        <v>658</v>
      </c>
      <c r="I59" s="37" t="n">
        <v>156</v>
      </c>
      <c r="J59" s="37"/>
      <c r="K59" s="37" t="n">
        <v>0</v>
      </c>
      <c r="L59" s="37" t="n">
        <v>0</v>
      </c>
      <c r="M59" s="37"/>
      <c r="N59" s="37"/>
      <c r="O59" s="37" t="s">
        <v>659</v>
      </c>
      <c r="P59" s="37" t="s">
        <v>771</v>
      </c>
      <c r="Q59" s="37" t="s">
        <v>621</v>
      </c>
      <c r="R59" s="36" t="str">
        <f aca="false">IF(H59="Ya",IF(M59&lt;&gt;"","SUDAH PLOTTING","BELUM PLOTTING"),"-")</f>
        <v>-</v>
      </c>
      <c r="S59" s="37"/>
      <c r="T59" s="37"/>
    </row>
    <row r="60" customFormat="false" ht="15" hidden="false" customHeight="true" outlineLevel="0" collapsed="false">
      <c r="A60" s="36" t="s">
        <v>772</v>
      </c>
      <c r="B60" s="37" t="s">
        <v>59</v>
      </c>
      <c r="C60" s="37" t="s">
        <v>60</v>
      </c>
      <c r="D60" s="37" t="s">
        <v>773</v>
      </c>
      <c r="E60" s="36" t="s">
        <v>79</v>
      </c>
      <c r="F60" s="38" t="s">
        <v>11</v>
      </c>
      <c r="G60" s="36" t="s">
        <v>68</v>
      </c>
      <c r="H60" s="36" t="s">
        <v>658</v>
      </c>
      <c r="I60" s="37" t="n">
        <v>161</v>
      </c>
      <c r="J60" s="37"/>
      <c r="K60" s="37" t="n">
        <v>0</v>
      </c>
      <c r="L60" s="37" t="n">
        <v>0</v>
      </c>
      <c r="M60" s="37"/>
      <c r="N60" s="37"/>
      <c r="O60" s="37" t="s">
        <v>659</v>
      </c>
      <c r="P60" s="37" t="s">
        <v>774</v>
      </c>
      <c r="Q60" s="37" t="s">
        <v>621</v>
      </c>
      <c r="R60" s="36" t="str">
        <f aca="false">IF(H60="Ya",IF(M60&lt;&gt;"","SUDAH PLOTTING","BELUM PLOTTING"),"-")</f>
        <v>-</v>
      </c>
      <c r="S60" s="37"/>
      <c r="T60" s="37"/>
    </row>
    <row r="61" customFormat="false" ht="15" hidden="false" customHeight="true" outlineLevel="0" collapsed="false">
      <c r="A61" s="36" t="s">
        <v>775</v>
      </c>
      <c r="B61" s="37" t="s">
        <v>59</v>
      </c>
      <c r="C61" s="37" t="s">
        <v>60</v>
      </c>
      <c r="D61" s="37" t="s">
        <v>773</v>
      </c>
      <c r="E61" s="36" t="s">
        <v>88</v>
      </c>
      <c r="F61" s="38" t="s">
        <v>11</v>
      </c>
      <c r="G61" s="36" t="s">
        <v>68</v>
      </c>
      <c r="H61" s="36" t="s">
        <v>658</v>
      </c>
      <c r="I61" s="37" t="n">
        <v>185</v>
      </c>
      <c r="J61" s="37"/>
      <c r="K61" s="37" t="n">
        <v>0</v>
      </c>
      <c r="L61" s="37" t="n">
        <v>0</v>
      </c>
      <c r="M61" s="37"/>
      <c r="N61" s="37"/>
      <c r="O61" s="37" t="s">
        <v>659</v>
      </c>
      <c r="P61" s="37" t="s">
        <v>774</v>
      </c>
      <c r="Q61" s="37" t="s">
        <v>621</v>
      </c>
      <c r="R61" s="36" t="str">
        <f aca="false">IF(H61="Ya",IF(M61&lt;&gt;"","SUDAH PLOTTING","BELUM PLOTTING"),"-")</f>
        <v>-</v>
      </c>
      <c r="S61" s="37"/>
      <c r="T61" s="37"/>
    </row>
    <row r="62" customFormat="false" ht="15" hidden="false" customHeight="true" outlineLevel="0" collapsed="false">
      <c r="A62" s="36" t="s">
        <v>776</v>
      </c>
      <c r="B62" s="37" t="s">
        <v>59</v>
      </c>
      <c r="C62" s="37" t="s">
        <v>60</v>
      </c>
      <c r="D62" s="37" t="s">
        <v>773</v>
      </c>
      <c r="E62" s="36" t="s">
        <v>92</v>
      </c>
      <c r="F62" s="38" t="s">
        <v>11</v>
      </c>
      <c r="G62" s="36" t="s">
        <v>68</v>
      </c>
      <c r="H62" s="36" t="s">
        <v>658</v>
      </c>
      <c r="I62" s="37" t="n">
        <v>199</v>
      </c>
      <c r="J62" s="37"/>
      <c r="K62" s="37" t="n">
        <v>0</v>
      </c>
      <c r="L62" s="37" t="n">
        <v>0</v>
      </c>
      <c r="M62" s="37"/>
      <c r="N62" s="37"/>
      <c r="O62" s="37" t="s">
        <v>659</v>
      </c>
      <c r="P62" s="37" t="s">
        <v>774</v>
      </c>
      <c r="Q62" s="37" t="s">
        <v>621</v>
      </c>
      <c r="R62" s="36" t="str">
        <f aca="false">IF(H62="Ya",IF(M62&lt;&gt;"","SUDAH PLOTTING","BELUM PLOTTING"),"-")</f>
        <v>-</v>
      </c>
      <c r="S62" s="37"/>
      <c r="T62" s="37"/>
    </row>
    <row r="63" customFormat="false" ht="15" hidden="false" customHeight="true" outlineLevel="0" collapsed="false">
      <c r="A63" s="36" t="s">
        <v>777</v>
      </c>
      <c r="B63" s="37" t="s">
        <v>59</v>
      </c>
      <c r="C63" s="37" t="s">
        <v>60</v>
      </c>
      <c r="D63" s="37" t="s">
        <v>773</v>
      </c>
      <c r="E63" s="36" t="s">
        <v>97</v>
      </c>
      <c r="F63" s="38" t="s">
        <v>11</v>
      </c>
      <c r="G63" s="36" t="s">
        <v>68</v>
      </c>
      <c r="H63" s="36" t="s">
        <v>658</v>
      </c>
      <c r="I63" s="37" t="n">
        <v>114</v>
      </c>
      <c r="J63" s="37"/>
      <c r="K63" s="37" t="n">
        <v>0</v>
      </c>
      <c r="L63" s="37" t="n">
        <v>0</v>
      </c>
      <c r="M63" s="37"/>
      <c r="N63" s="37"/>
      <c r="O63" s="37" t="s">
        <v>659</v>
      </c>
      <c r="P63" s="37" t="s">
        <v>774</v>
      </c>
      <c r="Q63" s="37" t="s">
        <v>621</v>
      </c>
      <c r="R63" s="36" t="str">
        <f aca="false">IF(H63="Ya",IF(M63&lt;&gt;"","SUDAH PLOTTING","BELUM PLOTTING"),"-")</f>
        <v>-</v>
      </c>
      <c r="S63" s="37"/>
      <c r="T63" s="37"/>
    </row>
    <row r="64" customFormat="false" ht="15" hidden="false" customHeight="true" outlineLevel="0" collapsed="false">
      <c r="A64" s="36" t="s">
        <v>778</v>
      </c>
      <c r="B64" s="37" t="s">
        <v>59</v>
      </c>
      <c r="C64" s="37" t="s">
        <v>60</v>
      </c>
      <c r="D64" s="37" t="s">
        <v>773</v>
      </c>
      <c r="E64" s="36" t="s">
        <v>103</v>
      </c>
      <c r="F64" s="38" t="s">
        <v>11</v>
      </c>
      <c r="G64" s="36" t="s">
        <v>68</v>
      </c>
      <c r="H64" s="36" t="s">
        <v>658</v>
      </c>
      <c r="I64" s="37" t="n">
        <v>160</v>
      </c>
      <c r="J64" s="37"/>
      <c r="K64" s="37" t="n">
        <v>0</v>
      </c>
      <c r="L64" s="37" t="n">
        <v>0</v>
      </c>
      <c r="M64" s="37"/>
      <c r="N64" s="37"/>
      <c r="O64" s="37" t="s">
        <v>659</v>
      </c>
      <c r="P64" s="37" t="s">
        <v>774</v>
      </c>
      <c r="Q64" s="37" t="s">
        <v>621</v>
      </c>
      <c r="R64" s="36" t="str">
        <f aca="false">IF(H64="Ya",IF(M64&lt;&gt;"","SUDAH PLOTTING","BELUM PLOTTING"),"-")</f>
        <v>-</v>
      </c>
      <c r="S64" s="37"/>
      <c r="T64" s="37"/>
    </row>
    <row r="65" customFormat="false" ht="15" hidden="false" customHeight="true" outlineLevel="0" collapsed="false">
      <c r="A65" s="36" t="s">
        <v>779</v>
      </c>
      <c r="B65" s="37" t="s">
        <v>59</v>
      </c>
      <c r="C65" s="37" t="s">
        <v>60</v>
      </c>
      <c r="D65" s="37" t="s">
        <v>773</v>
      </c>
      <c r="E65" s="36" t="s">
        <v>111</v>
      </c>
      <c r="F65" s="38" t="s">
        <v>11</v>
      </c>
      <c r="G65" s="36" t="s">
        <v>68</v>
      </c>
      <c r="H65" s="36" t="s">
        <v>658</v>
      </c>
      <c r="I65" s="37" t="n">
        <v>154</v>
      </c>
      <c r="J65" s="37"/>
      <c r="K65" s="37" t="n">
        <v>0</v>
      </c>
      <c r="L65" s="37" t="n">
        <v>0</v>
      </c>
      <c r="M65" s="37"/>
      <c r="N65" s="37"/>
      <c r="O65" s="37" t="s">
        <v>659</v>
      </c>
      <c r="P65" s="37" t="s">
        <v>774</v>
      </c>
      <c r="Q65" s="37" t="s">
        <v>621</v>
      </c>
      <c r="R65" s="36" t="str">
        <f aca="false">IF(H65="Ya",IF(M65&lt;&gt;"","SUDAH PLOTTING","BELUM PLOTTING"),"-")</f>
        <v>-</v>
      </c>
      <c r="S65" s="37"/>
      <c r="T65" s="37"/>
    </row>
    <row r="66" customFormat="false" ht="15" hidden="false" customHeight="true" outlineLevel="0" collapsed="false">
      <c r="A66" s="36" t="s">
        <v>780</v>
      </c>
      <c r="B66" s="37" t="s">
        <v>59</v>
      </c>
      <c r="C66" s="37" t="s">
        <v>60</v>
      </c>
      <c r="D66" s="37" t="s">
        <v>781</v>
      </c>
      <c r="E66" s="36" t="s">
        <v>79</v>
      </c>
      <c r="F66" s="38" t="s">
        <v>11</v>
      </c>
      <c r="G66" s="36" t="s">
        <v>68</v>
      </c>
      <c r="H66" s="36" t="s">
        <v>658</v>
      </c>
      <c r="I66" s="37" t="n">
        <v>158</v>
      </c>
      <c r="J66" s="37"/>
      <c r="K66" s="37" t="n">
        <v>0</v>
      </c>
      <c r="L66" s="37" t="n">
        <v>0</v>
      </c>
      <c r="M66" s="37"/>
      <c r="N66" s="37"/>
      <c r="O66" s="37" t="s">
        <v>659</v>
      </c>
      <c r="P66" s="37" t="s">
        <v>782</v>
      </c>
      <c r="Q66" s="37" t="s">
        <v>621</v>
      </c>
      <c r="R66" s="36" t="str">
        <f aca="false">IF(H66="Ya",IF(M66&lt;&gt;"","SUDAH PLOTTING","BELUM PLOTTING"),"-")</f>
        <v>-</v>
      </c>
      <c r="S66" s="37"/>
      <c r="T66" s="37"/>
    </row>
    <row r="67" customFormat="false" ht="15" hidden="false" customHeight="true" outlineLevel="0" collapsed="false">
      <c r="A67" s="36" t="s">
        <v>783</v>
      </c>
      <c r="B67" s="37" t="s">
        <v>59</v>
      </c>
      <c r="C67" s="37" t="s">
        <v>60</v>
      </c>
      <c r="D67" s="37" t="s">
        <v>781</v>
      </c>
      <c r="E67" s="36" t="s">
        <v>88</v>
      </c>
      <c r="F67" s="38" t="s">
        <v>11</v>
      </c>
      <c r="G67" s="36" t="s">
        <v>68</v>
      </c>
      <c r="H67" s="36" t="s">
        <v>658</v>
      </c>
      <c r="I67" s="37" t="n">
        <v>162</v>
      </c>
      <c r="J67" s="37"/>
      <c r="K67" s="37" t="n">
        <v>0</v>
      </c>
      <c r="L67" s="37" t="n">
        <v>0</v>
      </c>
      <c r="M67" s="37"/>
      <c r="N67" s="37"/>
      <c r="O67" s="37" t="s">
        <v>659</v>
      </c>
      <c r="P67" s="37" t="s">
        <v>782</v>
      </c>
      <c r="Q67" s="37" t="s">
        <v>621</v>
      </c>
      <c r="R67" s="36" t="str">
        <f aca="false">IF(H67="Ya",IF(M67&lt;&gt;"","SUDAH PLOTTING","BELUM PLOTTING"),"-")</f>
        <v>-</v>
      </c>
      <c r="S67" s="37"/>
      <c r="T67" s="37"/>
    </row>
    <row r="68" customFormat="false" ht="15" hidden="false" customHeight="true" outlineLevel="0" collapsed="false">
      <c r="A68" s="36" t="s">
        <v>784</v>
      </c>
      <c r="B68" s="37" t="s">
        <v>59</v>
      </c>
      <c r="C68" s="37" t="s">
        <v>60</v>
      </c>
      <c r="D68" s="37" t="s">
        <v>781</v>
      </c>
      <c r="E68" s="36" t="s">
        <v>92</v>
      </c>
      <c r="F68" s="38" t="s">
        <v>11</v>
      </c>
      <c r="G68" s="36" t="s">
        <v>68</v>
      </c>
      <c r="H68" s="36" t="s">
        <v>658</v>
      </c>
      <c r="I68" s="37" t="n">
        <v>122</v>
      </c>
      <c r="J68" s="37"/>
      <c r="K68" s="37" t="n">
        <v>0</v>
      </c>
      <c r="L68" s="37" t="n">
        <v>0</v>
      </c>
      <c r="M68" s="37"/>
      <c r="N68" s="37"/>
      <c r="O68" s="37" t="s">
        <v>659</v>
      </c>
      <c r="P68" s="37" t="s">
        <v>782</v>
      </c>
      <c r="Q68" s="37" t="s">
        <v>621</v>
      </c>
      <c r="R68" s="36" t="str">
        <f aca="false">IF(H68="Ya",IF(M68&lt;&gt;"","SUDAH PLOTTING","BELUM PLOTTING"),"-")</f>
        <v>-</v>
      </c>
      <c r="S68" s="37"/>
      <c r="T68" s="37"/>
    </row>
    <row r="69" customFormat="false" ht="15" hidden="false" customHeight="true" outlineLevel="0" collapsed="false">
      <c r="A69" s="36" t="s">
        <v>785</v>
      </c>
      <c r="B69" s="37" t="s">
        <v>59</v>
      </c>
      <c r="C69" s="37" t="s">
        <v>60</v>
      </c>
      <c r="D69" s="37" t="s">
        <v>786</v>
      </c>
      <c r="E69" s="36" t="s">
        <v>79</v>
      </c>
      <c r="F69" s="38" t="s">
        <v>11</v>
      </c>
      <c r="G69" s="36" t="s">
        <v>68</v>
      </c>
      <c r="H69" s="36" t="s">
        <v>658</v>
      </c>
      <c r="I69" s="37" t="n">
        <v>151</v>
      </c>
      <c r="J69" s="37"/>
      <c r="K69" s="37" t="n">
        <v>0</v>
      </c>
      <c r="L69" s="37" t="n">
        <v>0</v>
      </c>
      <c r="M69" s="37"/>
      <c r="N69" s="37"/>
      <c r="O69" s="37" t="s">
        <v>659</v>
      </c>
      <c r="P69" s="37" t="s">
        <v>787</v>
      </c>
      <c r="Q69" s="37" t="s">
        <v>621</v>
      </c>
      <c r="R69" s="36" t="str">
        <f aca="false">IF(H69="Ya",IF(M69&lt;&gt;"","SUDAH PLOTTING","BELUM PLOTTING"),"-")</f>
        <v>-</v>
      </c>
      <c r="S69" s="37"/>
      <c r="T69" s="37"/>
    </row>
    <row r="70" customFormat="false" ht="15" hidden="false" customHeight="true" outlineLevel="0" collapsed="false">
      <c r="A70" s="36" t="s">
        <v>788</v>
      </c>
      <c r="B70" s="37" t="s">
        <v>59</v>
      </c>
      <c r="C70" s="37" t="s">
        <v>60</v>
      </c>
      <c r="D70" s="37" t="s">
        <v>786</v>
      </c>
      <c r="E70" s="36" t="s">
        <v>88</v>
      </c>
      <c r="F70" s="38" t="s">
        <v>11</v>
      </c>
      <c r="G70" s="36" t="s">
        <v>68</v>
      </c>
      <c r="H70" s="36" t="s">
        <v>658</v>
      </c>
      <c r="I70" s="37" t="n">
        <v>172</v>
      </c>
      <c r="J70" s="37"/>
      <c r="K70" s="37" t="n">
        <v>0</v>
      </c>
      <c r="L70" s="37" t="n">
        <v>0</v>
      </c>
      <c r="M70" s="37"/>
      <c r="N70" s="37"/>
      <c r="O70" s="37" t="s">
        <v>659</v>
      </c>
      <c r="P70" s="37" t="s">
        <v>787</v>
      </c>
      <c r="Q70" s="37" t="s">
        <v>621</v>
      </c>
      <c r="R70" s="36" t="str">
        <f aca="false">IF(H70="Ya",IF(M70&lt;&gt;"","SUDAH PLOTTING","BELUM PLOTTING"),"-")</f>
        <v>-</v>
      </c>
      <c r="S70" s="37"/>
      <c r="T70" s="37"/>
    </row>
    <row r="71" customFormat="false" ht="15" hidden="false" customHeight="true" outlineLevel="0" collapsed="false">
      <c r="A71" s="36" t="s">
        <v>789</v>
      </c>
      <c r="B71" s="37" t="s">
        <v>59</v>
      </c>
      <c r="C71" s="37" t="s">
        <v>60</v>
      </c>
      <c r="D71" s="37" t="s">
        <v>786</v>
      </c>
      <c r="E71" s="36" t="s">
        <v>92</v>
      </c>
      <c r="F71" s="38" t="s">
        <v>11</v>
      </c>
      <c r="G71" s="36" t="s">
        <v>68</v>
      </c>
      <c r="H71" s="36" t="s">
        <v>658</v>
      </c>
      <c r="I71" s="37" t="n">
        <v>184</v>
      </c>
      <c r="J71" s="37"/>
      <c r="K71" s="37" t="n">
        <v>0</v>
      </c>
      <c r="L71" s="37" t="n">
        <v>0</v>
      </c>
      <c r="M71" s="37"/>
      <c r="N71" s="37"/>
      <c r="O71" s="37" t="s">
        <v>659</v>
      </c>
      <c r="P71" s="37" t="s">
        <v>787</v>
      </c>
      <c r="Q71" s="37" t="s">
        <v>621</v>
      </c>
      <c r="R71" s="36" t="str">
        <f aca="false">IF(H71="Ya",IF(M71&lt;&gt;"","SUDAH PLOTTING","BELUM PLOTTING"),"-")</f>
        <v>-</v>
      </c>
      <c r="S71" s="37"/>
      <c r="T71" s="37"/>
    </row>
    <row r="72" customFormat="false" ht="15" hidden="false" customHeight="true" outlineLevel="0" collapsed="false">
      <c r="A72" s="36" t="s">
        <v>790</v>
      </c>
      <c r="B72" s="37" t="s">
        <v>59</v>
      </c>
      <c r="C72" s="37" t="s">
        <v>60</v>
      </c>
      <c r="D72" s="37" t="s">
        <v>791</v>
      </c>
      <c r="E72" s="36" t="s">
        <v>79</v>
      </c>
      <c r="F72" s="38" t="s">
        <v>11</v>
      </c>
      <c r="G72" s="36" t="s">
        <v>68</v>
      </c>
      <c r="H72" s="36" t="s">
        <v>658</v>
      </c>
      <c r="I72" s="37" t="n">
        <v>179</v>
      </c>
      <c r="J72" s="37"/>
      <c r="K72" s="37" t="n">
        <v>0</v>
      </c>
      <c r="L72" s="37" t="n">
        <v>0</v>
      </c>
      <c r="M72" s="37"/>
      <c r="N72" s="37"/>
      <c r="O72" s="37" t="s">
        <v>659</v>
      </c>
      <c r="P72" s="37" t="s">
        <v>792</v>
      </c>
      <c r="Q72" s="37" t="s">
        <v>621</v>
      </c>
      <c r="R72" s="36" t="str">
        <f aca="false">IF(H72="Ya",IF(M72&lt;&gt;"","SUDAH PLOTTING","BELUM PLOTTING"),"-")</f>
        <v>-</v>
      </c>
      <c r="S72" s="37"/>
      <c r="T72" s="37"/>
    </row>
    <row r="73" customFormat="false" ht="15" hidden="false" customHeight="true" outlineLevel="0" collapsed="false">
      <c r="A73" s="36" t="s">
        <v>793</v>
      </c>
      <c r="B73" s="37" t="s">
        <v>59</v>
      </c>
      <c r="C73" s="37" t="s">
        <v>60</v>
      </c>
      <c r="D73" s="37" t="s">
        <v>791</v>
      </c>
      <c r="E73" s="36" t="s">
        <v>88</v>
      </c>
      <c r="F73" s="38" t="s">
        <v>11</v>
      </c>
      <c r="G73" s="36" t="s">
        <v>68</v>
      </c>
      <c r="H73" s="36" t="s">
        <v>658</v>
      </c>
      <c r="I73" s="37" t="n">
        <v>134</v>
      </c>
      <c r="J73" s="37"/>
      <c r="K73" s="37" t="n">
        <v>0</v>
      </c>
      <c r="L73" s="37" t="n">
        <v>0</v>
      </c>
      <c r="M73" s="37"/>
      <c r="N73" s="37"/>
      <c r="O73" s="37" t="s">
        <v>659</v>
      </c>
      <c r="P73" s="37" t="s">
        <v>792</v>
      </c>
      <c r="Q73" s="37" t="s">
        <v>621</v>
      </c>
      <c r="R73" s="36" t="str">
        <f aca="false">IF(H73="Ya",IF(M73&lt;&gt;"","SUDAH PLOTTING","BELUM PLOTTING"),"-")</f>
        <v>-</v>
      </c>
      <c r="S73" s="37"/>
      <c r="T73" s="37"/>
    </row>
    <row r="74" customFormat="false" ht="15" hidden="false" customHeight="true" outlineLevel="0" collapsed="false">
      <c r="A74" s="36" t="s">
        <v>794</v>
      </c>
      <c r="B74" s="37" t="s">
        <v>59</v>
      </c>
      <c r="C74" s="37" t="s">
        <v>60</v>
      </c>
      <c r="D74" s="37" t="s">
        <v>791</v>
      </c>
      <c r="E74" s="36" t="s">
        <v>92</v>
      </c>
      <c r="F74" s="38" t="s">
        <v>11</v>
      </c>
      <c r="G74" s="36" t="s">
        <v>68</v>
      </c>
      <c r="H74" s="36" t="s">
        <v>658</v>
      </c>
      <c r="I74" s="37" t="n">
        <v>169</v>
      </c>
      <c r="J74" s="37"/>
      <c r="K74" s="37" t="n">
        <v>0</v>
      </c>
      <c r="L74" s="37" t="n">
        <v>0</v>
      </c>
      <c r="M74" s="37"/>
      <c r="N74" s="37"/>
      <c r="O74" s="37" t="s">
        <v>659</v>
      </c>
      <c r="P74" s="37" t="s">
        <v>792</v>
      </c>
      <c r="Q74" s="37" t="s">
        <v>621</v>
      </c>
      <c r="R74" s="36" t="str">
        <f aca="false">IF(H74="Ya",IF(M74&lt;&gt;"","SUDAH PLOTTING","BELUM PLOTTING"),"-")</f>
        <v>-</v>
      </c>
      <c r="S74" s="37"/>
      <c r="T74" s="37"/>
    </row>
    <row r="75" customFormat="false" ht="15" hidden="false" customHeight="true" outlineLevel="0" collapsed="false">
      <c r="A75" s="36" t="s">
        <v>795</v>
      </c>
      <c r="B75" s="37" t="s">
        <v>59</v>
      </c>
      <c r="C75" s="37" t="s">
        <v>60</v>
      </c>
      <c r="D75" s="37" t="s">
        <v>796</v>
      </c>
      <c r="E75" s="36" t="s">
        <v>62</v>
      </c>
      <c r="F75" s="38" t="s">
        <v>11</v>
      </c>
      <c r="G75" s="36" t="s">
        <v>68</v>
      </c>
      <c r="H75" s="36" t="s">
        <v>658</v>
      </c>
      <c r="I75" s="37" t="n">
        <v>0</v>
      </c>
      <c r="J75" s="37"/>
      <c r="K75" s="37" t="n">
        <v>0</v>
      </c>
      <c r="L75" s="37" t="n">
        <v>0</v>
      </c>
      <c r="M75" s="37"/>
      <c r="N75" s="37"/>
      <c r="O75" s="37" t="s">
        <v>659</v>
      </c>
      <c r="P75" s="37" t="s">
        <v>797</v>
      </c>
      <c r="Q75" s="37" t="s">
        <v>621</v>
      </c>
      <c r="R75" s="36" t="str">
        <f aca="false">IF(H75="Ya",IF(M75&lt;&gt;"","SUDAH PLOTTING","BELUM PLOTTING"),"-")</f>
        <v>-</v>
      </c>
      <c r="S75" s="37"/>
      <c r="T75" s="37"/>
    </row>
    <row r="76" customFormat="false" ht="15" hidden="false" customHeight="true" outlineLevel="0" collapsed="false">
      <c r="A76" s="36" t="s">
        <v>80</v>
      </c>
      <c r="B76" s="37" t="s">
        <v>59</v>
      </c>
      <c r="C76" s="37" t="s">
        <v>77</v>
      </c>
      <c r="D76" s="37" t="s">
        <v>78</v>
      </c>
      <c r="E76" s="36" t="s">
        <v>79</v>
      </c>
      <c r="F76" s="39" t="s">
        <v>7</v>
      </c>
      <c r="G76" s="36" t="s">
        <v>68</v>
      </c>
      <c r="H76" s="36" t="s">
        <v>68</v>
      </c>
      <c r="I76" s="37" t="n">
        <v>122</v>
      </c>
      <c r="J76" s="37" t="n">
        <v>0.17</v>
      </c>
      <c r="K76" s="37" t="n">
        <v>0</v>
      </c>
      <c r="L76" s="37" t="n">
        <v>0</v>
      </c>
      <c r="M76" s="37"/>
      <c r="N76" s="37" t="n">
        <v>1</v>
      </c>
      <c r="O76" s="37" t="s">
        <v>749</v>
      </c>
      <c r="P76" s="37" t="s">
        <v>798</v>
      </c>
      <c r="Q76" s="37" t="s">
        <v>614</v>
      </c>
      <c r="R76" s="36" t="str">
        <f aca="false">IF(H76="Ya",IF(M76&lt;&gt;"","SUDAH PLOTTING","BELUM PLOTTING"),"-")</f>
        <v>BELUM PLOTTING</v>
      </c>
      <c r="S76" s="37" t="s">
        <v>76</v>
      </c>
      <c r="T76" s="37" t="s">
        <v>799</v>
      </c>
      <c r="U76" s="40" t="s">
        <v>752</v>
      </c>
      <c r="V76" s="40" t="s">
        <v>68</v>
      </c>
    </row>
    <row r="77" customFormat="false" ht="15" hidden="false" customHeight="true" outlineLevel="0" collapsed="false">
      <c r="A77" s="36" t="s">
        <v>89</v>
      </c>
      <c r="B77" s="37" t="s">
        <v>59</v>
      </c>
      <c r="C77" s="37" t="s">
        <v>77</v>
      </c>
      <c r="D77" s="37" t="s">
        <v>78</v>
      </c>
      <c r="E77" s="36" t="s">
        <v>88</v>
      </c>
      <c r="F77" s="39" t="s">
        <v>7</v>
      </c>
      <c r="G77" s="36" t="s">
        <v>68</v>
      </c>
      <c r="H77" s="36" t="s">
        <v>68</v>
      </c>
      <c r="I77" s="37" t="n">
        <v>155</v>
      </c>
      <c r="J77" s="37" t="n">
        <v>0.17</v>
      </c>
      <c r="K77" s="37" t="n">
        <v>0</v>
      </c>
      <c r="L77" s="37" t="n">
        <v>0</v>
      </c>
      <c r="M77" s="37"/>
      <c r="N77" s="37" t="n">
        <v>1</v>
      </c>
      <c r="O77" s="37" t="s">
        <v>749</v>
      </c>
      <c r="P77" s="37" t="s">
        <v>798</v>
      </c>
      <c r="Q77" s="37" t="s">
        <v>614</v>
      </c>
      <c r="R77" s="36" t="str">
        <f aca="false">IF(H77="Ya",IF(M77&lt;&gt;"","SUDAH PLOTTING","BELUM PLOTTING"),"-")</f>
        <v>BELUM PLOTTING</v>
      </c>
      <c r="S77" s="37" t="s">
        <v>76</v>
      </c>
      <c r="T77" s="37" t="s">
        <v>800</v>
      </c>
      <c r="U77" s="40" t="s">
        <v>752</v>
      </c>
      <c r="V77" s="40" t="s">
        <v>68</v>
      </c>
    </row>
    <row r="78" customFormat="false" ht="15" hidden="false" customHeight="true" outlineLevel="0" collapsed="false">
      <c r="A78" s="36" t="s">
        <v>93</v>
      </c>
      <c r="B78" s="37" t="s">
        <v>59</v>
      </c>
      <c r="C78" s="37" t="s">
        <v>77</v>
      </c>
      <c r="D78" s="37" t="s">
        <v>78</v>
      </c>
      <c r="E78" s="36" t="s">
        <v>92</v>
      </c>
      <c r="F78" s="39" t="s">
        <v>7</v>
      </c>
      <c r="G78" s="36" t="s">
        <v>68</v>
      </c>
      <c r="H78" s="36" t="s">
        <v>68</v>
      </c>
      <c r="I78" s="37" t="n">
        <v>162</v>
      </c>
      <c r="J78" s="37" t="n">
        <v>0.17</v>
      </c>
      <c r="K78" s="37" t="n">
        <v>0</v>
      </c>
      <c r="L78" s="37" t="n">
        <v>0</v>
      </c>
      <c r="M78" s="37"/>
      <c r="N78" s="37" t="n">
        <v>1</v>
      </c>
      <c r="O78" s="37" t="s">
        <v>749</v>
      </c>
      <c r="P78" s="37" t="s">
        <v>798</v>
      </c>
      <c r="Q78" s="37" t="s">
        <v>614</v>
      </c>
      <c r="R78" s="36" t="str">
        <f aca="false">IF(H78="Ya",IF(M78&lt;&gt;"","SUDAH PLOTTING","BELUM PLOTTING"),"-")</f>
        <v>BELUM PLOTTING</v>
      </c>
      <c r="S78" s="37" t="s">
        <v>76</v>
      </c>
      <c r="T78" s="37" t="s">
        <v>801</v>
      </c>
      <c r="U78" s="40" t="s">
        <v>752</v>
      </c>
      <c r="V78" s="40" t="s">
        <v>68</v>
      </c>
    </row>
    <row r="79" customFormat="false" ht="15" hidden="false" customHeight="true" outlineLevel="0" collapsed="false">
      <c r="A79" s="36" t="s">
        <v>98</v>
      </c>
      <c r="B79" s="37" t="s">
        <v>59</v>
      </c>
      <c r="C79" s="37" t="s">
        <v>77</v>
      </c>
      <c r="D79" s="37" t="s">
        <v>78</v>
      </c>
      <c r="E79" s="36" t="s">
        <v>97</v>
      </c>
      <c r="F79" s="39" t="s">
        <v>7</v>
      </c>
      <c r="G79" s="36" t="s">
        <v>68</v>
      </c>
      <c r="H79" s="36" t="s">
        <v>68</v>
      </c>
      <c r="I79" s="37" t="n">
        <v>187</v>
      </c>
      <c r="J79" s="37" t="n">
        <v>0.17</v>
      </c>
      <c r="K79" s="37" t="n">
        <v>0</v>
      </c>
      <c r="L79" s="37" t="n">
        <v>0</v>
      </c>
      <c r="M79" s="37"/>
      <c r="N79" s="37" t="n">
        <v>1</v>
      </c>
      <c r="O79" s="37" t="s">
        <v>749</v>
      </c>
      <c r="P79" s="37" t="s">
        <v>798</v>
      </c>
      <c r="Q79" s="37" t="s">
        <v>614</v>
      </c>
      <c r="R79" s="36" t="str">
        <f aca="false">IF(H79="Ya",IF(M79&lt;&gt;"","SUDAH PLOTTING","BELUM PLOTTING"),"-")</f>
        <v>BELUM PLOTTING</v>
      </c>
      <c r="S79" s="37" t="s">
        <v>76</v>
      </c>
      <c r="T79" s="37" t="s">
        <v>802</v>
      </c>
      <c r="U79" s="40" t="s">
        <v>752</v>
      </c>
      <c r="V79" s="40" t="s">
        <v>68</v>
      </c>
    </row>
    <row r="80" customFormat="false" ht="15" hidden="false" customHeight="true" outlineLevel="0" collapsed="false">
      <c r="A80" s="36" t="s">
        <v>104</v>
      </c>
      <c r="B80" s="37" t="s">
        <v>59</v>
      </c>
      <c r="C80" s="37" t="s">
        <v>77</v>
      </c>
      <c r="D80" s="37" t="s">
        <v>78</v>
      </c>
      <c r="E80" s="36" t="s">
        <v>103</v>
      </c>
      <c r="F80" s="39" t="s">
        <v>7</v>
      </c>
      <c r="G80" s="36" t="s">
        <v>68</v>
      </c>
      <c r="H80" s="36" t="s">
        <v>68</v>
      </c>
      <c r="I80" s="37" t="n">
        <v>208</v>
      </c>
      <c r="J80" s="37" t="n">
        <v>0.17</v>
      </c>
      <c r="K80" s="37" t="n">
        <v>0</v>
      </c>
      <c r="L80" s="37" t="n">
        <v>0</v>
      </c>
      <c r="M80" s="37"/>
      <c r="N80" s="37" t="n">
        <v>1</v>
      </c>
      <c r="O80" s="37" t="s">
        <v>749</v>
      </c>
      <c r="P80" s="37" t="s">
        <v>798</v>
      </c>
      <c r="Q80" s="37" t="s">
        <v>614</v>
      </c>
      <c r="R80" s="36" t="str">
        <f aca="false">IF(H80="Ya",IF(M80&lt;&gt;"","SUDAH PLOTTING","BELUM PLOTTING"),"-")</f>
        <v>BELUM PLOTTING</v>
      </c>
      <c r="S80" s="37" t="s">
        <v>76</v>
      </c>
      <c r="T80" s="37" t="s">
        <v>803</v>
      </c>
      <c r="U80" s="40" t="s">
        <v>752</v>
      </c>
      <c r="V80" s="40" t="s">
        <v>68</v>
      </c>
    </row>
    <row r="81" customFormat="false" ht="15" hidden="false" customHeight="true" outlineLevel="0" collapsed="false">
      <c r="A81" s="36" t="s">
        <v>112</v>
      </c>
      <c r="B81" s="37" t="s">
        <v>59</v>
      </c>
      <c r="C81" s="37" t="s">
        <v>77</v>
      </c>
      <c r="D81" s="37" t="s">
        <v>78</v>
      </c>
      <c r="E81" s="36" t="s">
        <v>111</v>
      </c>
      <c r="F81" s="39" t="s">
        <v>7</v>
      </c>
      <c r="G81" s="36" t="s">
        <v>68</v>
      </c>
      <c r="H81" s="36" t="s">
        <v>68</v>
      </c>
      <c r="I81" s="37" t="n">
        <v>151</v>
      </c>
      <c r="J81" s="37" t="n">
        <v>0.17</v>
      </c>
      <c r="K81" s="37" t="n">
        <v>0</v>
      </c>
      <c r="L81" s="37" t="n">
        <v>0</v>
      </c>
      <c r="M81" s="37"/>
      <c r="N81" s="37" t="n">
        <v>1</v>
      </c>
      <c r="O81" s="37" t="s">
        <v>749</v>
      </c>
      <c r="P81" s="37" t="s">
        <v>798</v>
      </c>
      <c r="Q81" s="37" t="s">
        <v>614</v>
      </c>
      <c r="R81" s="36" t="str">
        <f aca="false">IF(H81="Ya",IF(M81&lt;&gt;"","SUDAH PLOTTING","BELUM PLOTTING"),"-")</f>
        <v>BELUM PLOTTING</v>
      </c>
      <c r="S81" s="37" t="s">
        <v>76</v>
      </c>
      <c r="T81" s="37" t="s">
        <v>804</v>
      </c>
      <c r="U81" s="40" t="s">
        <v>752</v>
      </c>
      <c r="V81" s="40" t="s">
        <v>68</v>
      </c>
    </row>
    <row r="82" customFormat="false" ht="15" hidden="false" customHeight="true" outlineLevel="0" collapsed="false">
      <c r="A82" s="36" t="s">
        <v>805</v>
      </c>
      <c r="B82" s="37" t="s">
        <v>59</v>
      </c>
      <c r="C82" s="37" t="s">
        <v>77</v>
      </c>
      <c r="D82" s="37" t="s">
        <v>806</v>
      </c>
      <c r="E82" s="36" t="s">
        <v>79</v>
      </c>
      <c r="F82" s="38" t="s">
        <v>11</v>
      </c>
      <c r="G82" s="36" t="s">
        <v>68</v>
      </c>
      <c r="H82" s="36" t="s">
        <v>658</v>
      </c>
      <c r="I82" s="37" t="n">
        <v>146</v>
      </c>
      <c r="J82" s="37"/>
      <c r="K82" s="37" t="n">
        <v>0</v>
      </c>
      <c r="L82" s="37" t="n">
        <v>0</v>
      </c>
      <c r="M82" s="37"/>
      <c r="N82" s="37"/>
      <c r="O82" s="37" t="s">
        <v>659</v>
      </c>
      <c r="P82" s="37" t="s">
        <v>807</v>
      </c>
      <c r="Q82" s="37" t="s">
        <v>614</v>
      </c>
      <c r="R82" s="36" t="str">
        <f aca="false">IF(H82="Ya",IF(M82&lt;&gt;"","SUDAH PLOTTING","BELUM PLOTTING"),"-")</f>
        <v>-</v>
      </c>
      <c r="S82" s="37"/>
      <c r="T82" s="37"/>
    </row>
    <row r="83" customFormat="false" ht="15" hidden="false" customHeight="true" outlineLevel="0" collapsed="false">
      <c r="A83" s="36" t="s">
        <v>808</v>
      </c>
      <c r="B83" s="37" t="s">
        <v>59</v>
      </c>
      <c r="C83" s="37" t="s">
        <v>77</v>
      </c>
      <c r="D83" s="37" t="s">
        <v>806</v>
      </c>
      <c r="E83" s="36" t="s">
        <v>88</v>
      </c>
      <c r="F83" s="38" t="s">
        <v>11</v>
      </c>
      <c r="G83" s="36" t="s">
        <v>68</v>
      </c>
      <c r="H83" s="36" t="s">
        <v>658</v>
      </c>
      <c r="I83" s="37" t="n">
        <v>139</v>
      </c>
      <c r="J83" s="37"/>
      <c r="K83" s="37" t="n">
        <v>0</v>
      </c>
      <c r="L83" s="37" t="n">
        <v>0</v>
      </c>
      <c r="M83" s="37"/>
      <c r="N83" s="37"/>
      <c r="O83" s="37" t="s">
        <v>659</v>
      </c>
      <c r="P83" s="37" t="s">
        <v>807</v>
      </c>
      <c r="Q83" s="37" t="s">
        <v>614</v>
      </c>
      <c r="R83" s="36" t="str">
        <f aca="false">IF(H83="Ya",IF(M83&lt;&gt;"","SUDAH PLOTTING","BELUM PLOTTING"),"-")</f>
        <v>-</v>
      </c>
      <c r="S83" s="37"/>
      <c r="T83" s="37"/>
    </row>
    <row r="84" customFormat="false" ht="15" hidden="false" customHeight="true" outlineLevel="0" collapsed="false">
      <c r="A84" s="36" t="s">
        <v>809</v>
      </c>
      <c r="B84" s="37" t="s">
        <v>59</v>
      </c>
      <c r="C84" s="37" t="s">
        <v>77</v>
      </c>
      <c r="D84" s="37" t="s">
        <v>806</v>
      </c>
      <c r="E84" s="36" t="s">
        <v>92</v>
      </c>
      <c r="F84" s="38" t="s">
        <v>11</v>
      </c>
      <c r="G84" s="36" t="s">
        <v>68</v>
      </c>
      <c r="H84" s="36" t="s">
        <v>658</v>
      </c>
      <c r="I84" s="37" t="n">
        <v>138</v>
      </c>
      <c r="J84" s="37"/>
      <c r="K84" s="37" t="n">
        <v>0</v>
      </c>
      <c r="L84" s="37" t="n">
        <v>0</v>
      </c>
      <c r="M84" s="37"/>
      <c r="N84" s="37"/>
      <c r="O84" s="37" t="s">
        <v>659</v>
      </c>
      <c r="P84" s="37" t="s">
        <v>807</v>
      </c>
      <c r="Q84" s="37" t="s">
        <v>614</v>
      </c>
      <c r="R84" s="36" t="str">
        <f aca="false">IF(H84="Ya",IF(M84&lt;&gt;"","SUDAH PLOTTING","BELUM PLOTTING"),"-")</f>
        <v>-</v>
      </c>
      <c r="S84" s="37"/>
      <c r="T84" s="37"/>
    </row>
    <row r="85" customFormat="false" ht="15" hidden="false" customHeight="true" outlineLevel="0" collapsed="false">
      <c r="A85" s="36" t="s">
        <v>810</v>
      </c>
      <c r="B85" s="37" t="s">
        <v>59</v>
      </c>
      <c r="C85" s="37" t="s">
        <v>77</v>
      </c>
      <c r="D85" s="37" t="s">
        <v>806</v>
      </c>
      <c r="E85" s="36" t="s">
        <v>97</v>
      </c>
      <c r="F85" s="38" t="s">
        <v>11</v>
      </c>
      <c r="G85" s="36" t="s">
        <v>68</v>
      </c>
      <c r="H85" s="36" t="s">
        <v>658</v>
      </c>
      <c r="I85" s="37" t="n">
        <v>230</v>
      </c>
      <c r="J85" s="37"/>
      <c r="K85" s="37" t="n">
        <v>0</v>
      </c>
      <c r="L85" s="37" t="n">
        <v>0</v>
      </c>
      <c r="M85" s="37"/>
      <c r="N85" s="37"/>
      <c r="O85" s="37" t="s">
        <v>659</v>
      </c>
      <c r="P85" s="37" t="s">
        <v>807</v>
      </c>
      <c r="Q85" s="37" t="s">
        <v>614</v>
      </c>
      <c r="R85" s="36" t="str">
        <f aca="false">IF(H85="Ya",IF(M85&lt;&gt;"","SUDAH PLOTTING","BELUM PLOTTING"),"-")</f>
        <v>-</v>
      </c>
      <c r="S85" s="37"/>
      <c r="T85" s="37"/>
    </row>
    <row r="86" customFormat="false" ht="15" hidden="false" customHeight="true" outlineLevel="0" collapsed="false">
      <c r="A86" s="36" t="s">
        <v>811</v>
      </c>
      <c r="B86" s="37" t="s">
        <v>59</v>
      </c>
      <c r="C86" s="37" t="s">
        <v>77</v>
      </c>
      <c r="D86" s="37" t="s">
        <v>812</v>
      </c>
      <c r="E86" s="36" t="s">
        <v>79</v>
      </c>
      <c r="F86" s="38" t="s">
        <v>11</v>
      </c>
      <c r="G86" s="36" t="s">
        <v>68</v>
      </c>
      <c r="H86" s="36" t="s">
        <v>658</v>
      </c>
      <c r="I86" s="37" t="n">
        <v>168</v>
      </c>
      <c r="J86" s="37"/>
      <c r="K86" s="37" t="n">
        <v>0</v>
      </c>
      <c r="L86" s="37" t="n">
        <v>0</v>
      </c>
      <c r="M86" s="37"/>
      <c r="N86" s="37"/>
      <c r="O86" s="37" t="s">
        <v>659</v>
      </c>
      <c r="P86" s="37" t="s">
        <v>813</v>
      </c>
      <c r="Q86" s="37" t="s">
        <v>614</v>
      </c>
      <c r="R86" s="36" t="str">
        <f aca="false">IF(H86="Ya",IF(M86&lt;&gt;"","SUDAH PLOTTING","BELUM PLOTTING"),"-")</f>
        <v>-</v>
      </c>
      <c r="S86" s="37"/>
      <c r="T86" s="37"/>
    </row>
    <row r="87" customFormat="false" ht="15" hidden="false" customHeight="true" outlineLevel="0" collapsed="false">
      <c r="A87" s="36" t="s">
        <v>814</v>
      </c>
      <c r="B87" s="37" t="s">
        <v>59</v>
      </c>
      <c r="C87" s="37" t="s">
        <v>77</v>
      </c>
      <c r="D87" s="37" t="s">
        <v>812</v>
      </c>
      <c r="E87" s="36" t="s">
        <v>88</v>
      </c>
      <c r="F87" s="38" t="s">
        <v>11</v>
      </c>
      <c r="G87" s="36" t="s">
        <v>68</v>
      </c>
      <c r="H87" s="36" t="s">
        <v>658</v>
      </c>
      <c r="I87" s="37" t="n">
        <v>169</v>
      </c>
      <c r="J87" s="37"/>
      <c r="K87" s="37" t="n">
        <v>0</v>
      </c>
      <c r="L87" s="37" t="n">
        <v>0</v>
      </c>
      <c r="M87" s="37"/>
      <c r="N87" s="37"/>
      <c r="O87" s="37" t="s">
        <v>659</v>
      </c>
      <c r="P87" s="37" t="s">
        <v>813</v>
      </c>
      <c r="Q87" s="37" t="s">
        <v>614</v>
      </c>
      <c r="R87" s="36" t="str">
        <f aca="false">IF(H87="Ya",IF(M87&lt;&gt;"","SUDAH PLOTTING","BELUM PLOTTING"),"-")</f>
        <v>-</v>
      </c>
      <c r="S87" s="37"/>
      <c r="T87" s="37"/>
    </row>
    <row r="88" customFormat="false" ht="15" hidden="false" customHeight="true" outlineLevel="0" collapsed="false">
      <c r="A88" s="36" t="s">
        <v>815</v>
      </c>
      <c r="B88" s="37" t="s">
        <v>59</v>
      </c>
      <c r="C88" s="37" t="s">
        <v>77</v>
      </c>
      <c r="D88" s="37" t="s">
        <v>812</v>
      </c>
      <c r="E88" s="36" t="s">
        <v>92</v>
      </c>
      <c r="F88" s="38" t="s">
        <v>11</v>
      </c>
      <c r="G88" s="36" t="s">
        <v>68</v>
      </c>
      <c r="H88" s="36" t="s">
        <v>658</v>
      </c>
      <c r="I88" s="37" t="n">
        <v>143</v>
      </c>
      <c r="J88" s="37"/>
      <c r="K88" s="37" t="n">
        <v>0</v>
      </c>
      <c r="L88" s="37" t="n">
        <v>0</v>
      </c>
      <c r="M88" s="37"/>
      <c r="N88" s="37"/>
      <c r="O88" s="37" t="s">
        <v>659</v>
      </c>
      <c r="P88" s="37" t="s">
        <v>813</v>
      </c>
      <c r="Q88" s="37" t="s">
        <v>614</v>
      </c>
      <c r="R88" s="36" t="str">
        <f aca="false">IF(H88="Ya",IF(M88&lt;&gt;"","SUDAH PLOTTING","BELUM PLOTTING"),"-")</f>
        <v>-</v>
      </c>
      <c r="S88" s="37"/>
      <c r="T88" s="37"/>
    </row>
    <row r="89" customFormat="false" ht="15" hidden="false" customHeight="true" outlineLevel="0" collapsed="false">
      <c r="A89" s="36" t="s">
        <v>816</v>
      </c>
      <c r="B89" s="37" t="s">
        <v>59</v>
      </c>
      <c r="C89" s="37" t="s">
        <v>77</v>
      </c>
      <c r="D89" s="37" t="s">
        <v>817</v>
      </c>
      <c r="E89" s="36" t="s">
        <v>79</v>
      </c>
      <c r="F89" s="38" t="s">
        <v>11</v>
      </c>
      <c r="G89" s="36" t="s">
        <v>68</v>
      </c>
      <c r="H89" s="36" t="s">
        <v>658</v>
      </c>
      <c r="I89" s="37" t="n">
        <v>146</v>
      </c>
      <c r="J89" s="37"/>
      <c r="K89" s="37" t="n">
        <v>0</v>
      </c>
      <c r="L89" s="37" t="n">
        <v>0</v>
      </c>
      <c r="M89" s="37"/>
      <c r="N89" s="37"/>
      <c r="O89" s="37" t="s">
        <v>659</v>
      </c>
      <c r="P89" s="37" t="s">
        <v>818</v>
      </c>
      <c r="Q89" s="37" t="s">
        <v>614</v>
      </c>
      <c r="R89" s="36" t="str">
        <f aca="false">IF(H89="Ya",IF(M89&lt;&gt;"","SUDAH PLOTTING","BELUM PLOTTING"),"-")</f>
        <v>-</v>
      </c>
      <c r="S89" s="37"/>
      <c r="T89" s="37"/>
    </row>
    <row r="90" customFormat="false" ht="15" hidden="false" customHeight="true" outlineLevel="0" collapsed="false">
      <c r="A90" s="36" t="s">
        <v>819</v>
      </c>
      <c r="B90" s="37" t="s">
        <v>59</v>
      </c>
      <c r="C90" s="37" t="s">
        <v>77</v>
      </c>
      <c r="D90" s="37" t="s">
        <v>817</v>
      </c>
      <c r="E90" s="36" t="s">
        <v>88</v>
      </c>
      <c r="F90" s="38" t="s">
        <v>11</v>
      </c>
      <c r="G90" s="36" t="s">
        <v>68</v>
      </c>
      <c r="H90" s="36" t="s">
        <v>658</v>
      </c>
      <c r="I90" s="37" t="n">
        <v>120</v>
      </c>
      <c r="J90" s="37"/>
      <c r="K90" s="37" t="n">
        <v>0</v>
      </c>
      <c r="L90" s="37" t="n">
        <v>0</v>
      </c>
      <c r="M90" s="37"/>
      <c r="N90" s="37"/>
      <c r="O90" s="37" t="s">
        <v>659</v>
      </c>
      <c r="P90" s="37" t="s">
        <v>818</v>
      </c>
      <c r="Q90" s="37" t="s">
        <v>614</v>
      </c>
      <c r="R90" s="36" t="str">
        <f aca="false">IF(H90="Ya",IF(M90&lt;&gt;"","SUDAH PLOTTING","BELUM PLOTTING"),"-")</f>
        <v>-</v>
      </c>
      <c r="S90" s="37"/>
      <c r="T90" s="37"/>
    </row>
    <row r="91" customFormat="false" ht="15" hidden="false" customHeight="true" outlineLevel="0" collapsed="false">
      <c r="A91" s="36" t="s">
        <v>820</v>
      </c>
      <c r="B91" s="37" t="s">
        <v>59</v>
      </c>
      <c r="C91" s="37" t="s">
        <v>77</v>
      </c>
      <c r="D91" s="37" t="s">
        <v>821</v>
      </c>
      <c r="E91" s="36" t="s">
        <v>79</v>
      </c>
      <c r="F91" s="38" t="s">
        <v>11</v>
      </c>
      <c r="G91" s="36" t="s">
        <v>68</v>
      </c>
      <c r="H91" s="36" t="s">
        <v>658</v>
      </c>
      <c r="I91" s="37" t="n">
        <v>156</v>
      </c>
      <c r="J91" s="37"/>
      <c r="K91" s="37" t="n">
        <v>0</v>
      </c>
      <c r="L91" s="37" t="n">
        <v>0</v>
      </c>
      <c r="M91" s="37"/>
      <c r="N91" s="37"/>
      <c r="O91" s="37" t="s">
        <v>659</v>
      </c>
      <c r="P91" s="37" t="s">
        <v>822</v>
      </c>
      <c r="Q91" s="37" t="s">
        <v>614</v>
      </c>
      <c r="R91" s="36" t="str">
        <f aca="false">IF(H91="Ya",IF(M91&lt;&gt;"","SUDAH PLOTTING","BELUM PLOTTING"),"-")</f>
        <v>-</v>
      </c>
      <c r="S91" s="37"/>
      <c r="T91" s="37"/>
    </row>
    <row r="92" customFormat="false" ht="15" hidden="false" customHeight="true" outlineLevel="0" collapsed="false">
      <c r="A92" s="36" t="s">
        <v>823</v>
      </c>
      <c r="B92" s="37" t="s">
        <v>59</v>
      </c>
      <c r="C92" s="37" t="s">
        <v>77</v>
      </c>
      <c r="D92" s="37" t="s">
        <v>821</v>
      </c>
      <c r="E92" s="36" t="s">
        <v>88</v>
      </c>
      <c r="F92" s="38" t="s">
        <v>11</v>
      </c>
      <c r="G92" s="36" t="s">
        <v>68</v>
      </c>
      <c r="H92" s="36" t="s">
        <v>658</v>
      </c>
      <c r="I92" s="37" t="n">
        <v>116</v>
      </c>
      <c r="J92" s="37"/>
      <c r="K92" s="37" t="n">
        <v>0</v>
      </c>
      <c r="L92" s="37" t="n">
        <v>0</v>
      </c>
      <c r="M92" s="37"/>
      <c r="N92" s="37"/>
      <c r="O92" s="37" t="s">
        <v>659</v>
      </c>
      <c r="P92" s="37" t="s">
        <v>822</v>
      </c>
      <c r="Q92" s="37" t="s">
        <v>614</v>
      </c>
      <c r="R92" s="36" t="str">
        <f aca="false">IF(H92="Ya",IF(M92&lt;&gt;"","SUDAH PLOTTING","BELUM PLOTTING"),"-")</f>
        <v>-</v>
      </c>
      <c r="S92" s="37"/>
      <c r="T92" s="37"/>
    </row>
    <row r="93" customFormat="false" ht="15" hidden="false" customHeight="true" outlineLevel="0" collapsed="false">
      <c r="A93" s="36" t="s">
        <v>824</v>
      </c>
      <c r="B93" s="37" t="s">
        <v>59</v>
      </c>
      <c r="C93" s="37" t="s">
        <v>77</v>
      </c>
      <c r="D93" s="37" t="s">
        <v>821</v>
      </c>
      <c r="E93" s="36" t="s">
        <v>92</v>
      </c>
      <c r="F93" s="38" t="s">
        <v>11</v>
      </c>
      <c r="G93" s="36" t="s">
        <v>68</v>
      </c>
      <c r="H93" s="36" t="s">
        <v>658</v>
      </c>
      <c r="I93" s="37" t="n">
        <v>116</v>
      </c>
      <c r="J93" s="37"/>
      <c r="K93" s="37" t="n">
        <v>0</v>
      </c>
      <c r="L93" s="37" t="n">
        <v>0</v>
      </c>
      <c r="M93" s="37"/>
      <c r="N93" s="37"/>
      <c r="O93" s="37" t="s">
        <v>659</v>
      </c>
      <c r="P93" s="37" t="s">
        <v>822</v>
      </c>
      <c r="Q93" s="37" t="s">
        <v>614</v>
      </c>
      <c r="R93" s="36" t="str">
        <f aca="false">IF(H93="Ya",IF(M93&lt;&gt;"","SUDAH PLOTTING","BELUM PLOTTING"),"-")</f>
        <v>-</v>
      </c>
      <c r="S93" s="37"/>
      <c r="T93" s="37"/>
    </row>
    <row r="94" customFormat="false" ht="15" hidden="false" customHeight="true" outlineLevel="0" collapsed="false">
      <c r="A94" s="36" t="s">
        <v>825</v>
      </c>
      <c r="B94" s="37" t="s">
        <v>59</v>
      </c>
      <c r="C94" s="37" t="s">
        <v>77</v>
      </c>
      <c r="D94" s="37" t="s">
        <v>791</v>
      </c>
      <c r="E94" s="36" t="s">
        <v>62</v>
      </c>
      <c r="F94" s="38" t="s">
        <v>11</v>
      </c>
      <c r="G94" s="36" t="s">
        <v>68</v>
      </c>
      <c r="H94" s="36" t="s">
        <v>658</v>
      </c>
      <c r="I94" s="37" t="n">
        <v>183</v>
      </c>
      <c r="J94" s="37"/>
      <c r="K94" s="37" t="n">
        <v>0</v>
      </c>
      <c r="L94" s="37" t="n">
        <v>0</v>
      </c>
      <c r="M94" s="37"/>
      <c r="N94" s="37"/>
      <c r="O94" s="37" t="s">
        <v>659</v>
      </c>
      <c r="P94" s="37" t="s">
        <v>826</v>
      </c>
      <c r="Q94" s="37" t="s">
        <v>614</v>
      </c>
      <c r="R94" s="36" t="str">
        <f aca="false">IF(H94="Ya",IF(M94&lt;&gt;"","SUDAH PLOTTING","BELUM PLOTTING"),"-")</f>
        <v>-</v>
      </c>
      <c r="S94" s="37"/>
      <c r="T94" s="37"/>
    </row>
    <row r="95" customFormat="false" ht="15" hidden="false" customHeight="true" outlineLevel="0" collapsed="false">
      <c r="A95" s="36" t="s">
        <v>827</v>
      </c>
      <c r="B95" s="37" t="s">
        <v>59</v>
      </c>
      <c r="C95" s="37" t="s">
        <v>77</v>
      </c>
      <c r="D95" s="37" t="s">
        <v>828</v>
      </c>
      <c r="E95" s="36" t="s">
        <v>79</v>
      </c>
      <c r="F95" s="38" t="s">
        <v>11</v>
      </c>
      <c r="G95" s="36" t="s">
        <v>68</v>
      </c>
      <c r="H95" s="36" t="s">
        <v>658</v>
      </c>
      <c r="I95" s="37" t="n">
        <v>132</v>
      </c>
      <c r="J95" s="37"/>
      <c r="K95" s="37" t="n">
        <v>0</v>
      </c>
      <c r="L95" s="37" t="n">
        <v>0</v>
      </c>
      <c r="M95" s="37"/>
      <c r="N95" s="37"/>
      <c r="O95" s="37" t="s">
        <v>659</v>
      </c>
      <c r="P95" s="37" t="s">
        <v>829</v>
      </c>
      <c r="Q95" s="37" t="s">
        <v>614</v>
      </c>
      <c r="R95" s="36" t="str">
        <f aca="false">IF(H95="Ya",IF(M95&lt;&gt;"","SUDAH PLOTTING","BELUM PLOTTING"),"-")</f>
        <v>-</v>
      </c>
      <c r="S95" s="37"/>
      <c r="T95" s="37"/>
    </row>
    <row r="96" customFormat="false" ht="15" hidden="false" customHeight="true" outlineLevel="0" collapsed="false">
      <c r="A96" s="36" t="s">
        <v>830</v>
      </c>
      <c r="B96" s="37" t="s">
        <v>59</v>
      </c>
      <c r="C96" s="37" t="s">
        <v>77</v>
      </c>
      <c r="D96" s="37" t="s">
        <v>828</v>
      </c>
      <c r="E96" s="36" t="s">
        <v>88</v>
      </c>
      <c r="F96" s="38" t="s">
        <v>11</v>
      </c>
      <c r="G96" s="36" t="s">
        <v>68</v>
      </c>
      <c r="H96" s="36" t="s">
        <v>658</v>
      </c>
      <c r="I96" s="37" t="n">
        <v>136</v>
      </c>
      <c r="J96" s="37"/>
      <c r="K96" s="37" t="n">
        <v>0</v>
      </c>
      <c r="L96" s="37" t="n">
        <v>0</v>
      </c>
      <c r="M96" s="37"/>
      <c r="N96" s="37"/>
      <c r="O96" s="37" t="s">
        <v>659</v>
      </c>
      <c r="P96" s="37" t="s">
        <v>829</v>
      </c>
      <c r="Q96" s="37" t="s">
        <v>614</v>
      </c>
      <c r="R96" s="36" t="str">
        <f aca="false">IF(H96="Ya",IF(M96&lt;&gt;"","SUDAH PLOTTING","BELUM PLOTTING"),"-")</f>
        <v>-</v>
      </c>
      <c r="S96" s="37"/>
      <c r="T96" s="37"/>
    </row>
    <row r="97" customFormat="false" ht="15" hidden="false" customHeight="true" outlineLevel="0" collapsed="false">
      <c r="A97" s="36" t="s">
        <v>831</v>
      </c>
      <c r="B97" s="37" t="s">
        <v>59</v>
      </c>
      <c r="C97" s="37" t="s">
        <v>77</v>
      </c>
      <c r="D97" s="37" t="s">
        <v>832</v>
      </c>
      <c r="E97" s="36" t="s">
        <v>79</v>
      </c>
      <c r="F97" s="38" t="s">
        <v>11</v>
      </c>
      <c r="G97" s="36" t="s">
        <v>68</v>
      </c>
      <c r="H97" s="36" t="s">
        <v>658</v>
      </c>
      <c r="I97" s="37" t="n">
        <v>120</v>
      </c>
      <c r="J97" s="37"/>
      <c r="K97" s="37" t="n">
        <v>0</v>
      </c>
      <c r="L97" s="37" t="n">
        <v>0</v>
      </c>
      <c r="M97" s="37"/>
      <c r="N97" s="37"/>
      <c r="O97" s="37" t="s">
        <v>659</v>
      </c>
      <c r="P97" s="37" t="s">
        <v>833</v>
      </c>
      <c r="Q97" s="37" t="s">
        <v>614</v>
      </c>
      <c r="R97" s="36" t="str">
        <f aca="false">IF(H97="Ya",IF(M97&lt;&gt;"","SUDAH PLOTTING","BELUM PLOTTING"),"-")</f>
        <v>-</v>
      </c>
      <c r="S97" s="37"/>
      <c r="T97" s="37"/>
    </row>
    <row r="98" customFormat="false" ht="15" hidden="false" customHeight="true" outlineLevel="0" collapsed="false">
      <c r="A98" s="36" t="s">
        <v>834</v>
      </c>
      <c r="B98" s="37" t="s">
        <v>59</v>
      </c>
      <c r="C98" s="37" t="s">
        <v>77</v>
      </c>
      <c r="D98" s="37" t="s">
        <v>832</v>
      </c>
      <c r="E98" s="36" t="s">
        <v>88</v>
      </c>
      <c r="F98" s="38" t="s">
        <v>11</v>
      </c>
      <c r="G98" s="36" t="s">
        <v>68</v>
      </c>
      <c r="H98" s="36" t="s">
        <v>658</v>
      </c>
      <c r="I98" s="37" t="n">
        <v>141</v>
      </c>
      <c r="J98" s="37"/>
      <c r="K98" s="37" t="n">
        <v>0</v>
      </c>
      <c r="L98" s="37" t="n">
        <v>0</v>
      </c>
      <c r="M98" s="37"/>
      <c r="N98" s="37"/>
      <c r="O98" s="37" t="s">
        <v>659</v>
      </c>
      <c r="P98" s="37" t="s">
        <v>833</v>
      </c>
      <c r="Q98" s="37" t="s">
        <v>614</v>
      </c>
      <c r="R98" s="36" t="str">
        <f aca="false">IF(H98="Ya",IF(M98&lt;&gt;"","SUDAH PLOTTING","BELUM PLOTTING"),"-")</f>
        <v>-</v>
      </c>
      <c r="S98" s="37"/>
      <c r="T98" s="37"/>
    </row>
    <row r="99" customFormat="false" ht="15" hidden="false" customHeight="true" outlineLevel="0" collapsed="false">
      <c r="A99" s="36" t="s">
        <v>835</v>
      </c>
      <c r="B99" s="37" t="s">
        <v>59</v>
      </c>
      <c r="C99" s="37" t="s">
        <v>77</v>
      </c>
      <c r="D99" s="37" t="s">
        <v>832</v>
      </c>
      <c r="E99" s="36" t="s">
        <v>92</v>
      </c>
      <c r="F99" s="38" t="s">
        <v>11</v>
      </c>
      <c r="G99" s="36" t="s">
        <v>68</v>
      </c>
      <c r="H99" s="36" t="s">
        <v>658</v>
      </c>
      <c r="I99" s="37" t="n">
        <v>159</v>
      </c>
      <c r="J99" s="37"/>
      <c r="K99" s="37" t="n">
        <v>0</v>
      </c>
      <c r="L99" s="37" t="n">
        <v>0</v>
      </c>
      <c r="M99" s="37"/>
      <c r="N99" s="37"/>
      <c r="O99" s="37" t="s">
        <v>659</v>
      </c>
      <c r="P99" s="37" t="s">
        <v>833</v>
      </c>
      <c r="Q99" s="37" t="s">
        <v>614</v>
      </c>
      <c r="R99" s="36" t="str">
        <f aca="false">IF(H99="Ya",IF(M99&lt;&gt;"","SUDAH PLOTTING","BELUM PLOTTING"),"-")</f>
        <v>-</v>
      </c>
      <c r="S99" s="37"/>
      <c r="T99" s="37"/>
    </row>
    <row r="100" customFormat="false" ht="15" hidden="false" customHeight="true" outlineLevel="0" collapsed="false">
      <c r="A100" s="36" t="s">
        <v>836</v>
      </c>
      <c r="B100" s="37" t="s">
        <v>59</v>
      </c>
      <c r="C100" s="37" t="s">
        <v>77</v>
      </c>
      <c r="D100" s="37" t="s">
        <v>832</v>
      </c>
      <c r="E100" s="36" t="s">
        <v>97</v>
      </c>
      <c r="F100" s="38" t="s">
        <v>11</v>
      </c>
      <c r="G100" s="36" t="s">
        <v>68</v>
      </c>
      <c r="H100" s="36" t="s">
        <v>658</v>
      </c>
      <c r="I100" s="37" t="n">
        <v>148</v>
      </c>
      <c r="J100" s="37"/>
      <c r="K100" s="37" t="n">
        <v>0</v>
      </c>
      <c r="L100" s="37" t="n">
        <v>0</v>
      </c>
      <c r="M100" s="37"/>
      <c r="N100" s="37"/>
      <c r="O100" s="37" t="s">
        <v>659</v>
      </c>
      <c r="P100" s="37" t="s">
        <v>833</v>
      </c>
      <c r="Q100" s="37" t="s">
        <v>614</v>
      </c>
      <c r="R100" s="36" t="str">
        <f aca="false">IF(H100="Ya",IF(M100&lt;&gt;"","SUDAH PLOTTING","BELUM PLOTTING"),"-")</f>
        <v>-</v>
      </c>
      <c r="S100" s="37"/>
      <c r="T100" s="37"/>
    </row>
    <row r="101" customFormat="false" ht="15" hidden="false" customHeight="true" outlineLevel="0" collapsed="false">
      <c r="A101" s="36" t="s">
        <v>837</v>
      </c>
      <c r="B101" s="37" t="s">
        <v>59</v>
      </c>
      <c r="C101" s="37" t="s">
        <v>77</v>
      </c>
      <c r="D101" s="37" t="s">
        <v>832</v>
      </c>
      <c r="E101" s="36" t="s">
        <v>103</v>
      </c>
      <c r="F101" s="38" t="s">
        <v>11</v>
      </c>
      <c r="G101" s="36" t="s">
        <v>68</v>
      </c>
      <c r="H101" s="36" t="s">
        <v>658</v>
      </c>
      <c r="I101" s="37" t="n">
        <v>171</v>
      </c>
      <c r="J101" s="37"/>
      <c r="K101" s="37" t="n">
        <v>0</v>
      </c>
      <c r="L101" s="37" t="n">
        <v>0</v>
      </c>
      <c r="M101" s="37"/>
      <c r="N101" s="37"/>
      <c r="O101" s="37" t="s">
        <v>659</v>
      </c>
      <c r="P101" s="37" t="s">
        <v>833</v>
      </c>
      <c r="Q101" s="37" t="s">
        <v>614</v>
      </c>
      <c r="R101" s="36" t="str">
        <f aca="false">IF(H101="Ya",IF(M101&lt;&gt;"","SUDAH PLOTTING","BELUM PLOTTING"),"-")</f>
        <v>-</v>
      </c>
      <c r="S101" s="37"/>
      <c r="T101" s="37"/>
    </row>
    <row r="102" customFormat="false" ht="15" hidden="false" customHeight="true" outlineLevel="0" collapsed="false">
      <c r="A102" s="36" t="s">
        <v>838</v>
      </c>
      <c r="B102" s="37" t="s">
        <v>59</v>
      </c>
      <c r="C102" s="37" t="s">
        <v>77</v>
      </c>
      <c r="D102" s="37" t="s">
        <v>832</v>
      </c>
      <c r="E102" s="36" t="s">
        <v>111</v>
      </c>
      <c r="F102" s="38" t="s">
        <v>11</v>
      </c>
      <c r="G102" s="36" t="s">
        <v>68</v>
      </c>
      <c r="H102" s="36" t="s">
        <v>658</v>
      </c>
      <c r="I102" s="37" t="n">
        <v>116</v>
      </c>
      <c r="J102" s="37"/>
      <c r="K102" s="37" t="n">
        <v>0</v>
      </c>
      <c r="L102" s="37" t="n">
        <v>0</v>
      </c>
      <c r="M102" s="37"/>
      <c r="N102" s="37"/>
      <c r="O102" s="37" t="s">
        <v>659</v>
      </c>
      <c r="P102" s="37" t="s">
        <v>833</v>
      </c>
      <c r="Q102" s="37" t="s">
        <v>614</v>
      </c>
      <c r="R102" s="36" t="str">
        <f aca="false">IF(H102="Ya",IF(M102&lt;&gt;"","SUDAH PLOTTING","BELUM PLOTTING"),"-")</f>
        <v>-</v>
      </c>
      <c r="S102" s="37"/>
      <c r="T102" s="37"/>
    </row>
    <row r="103" customFormat="false" ht="15" hidden="false" customHeight="true" outlineLevel="0" collapsed="false">
      <c r="A103" s="36" t="s">
        <v>839</v>
      </c>
      <c r="B103" s="37" t="s">
        <v>59</v>
      </c>
      <c r="C103" s="37" t="s">
        <v>77</v>
      </c>
      <c r="D103" s="37" t="s">
        <v>832</v>
      </c>
      <c r="E103" s="36" t="s">
        <v>166</v>
      </c>
      <c r="F103" s="38" t="s">
        <v>11</v>
      </c>
      <c r="G103" s="36" t="s">
        <v>68</v>
      </c>
      <c r="H103" s="36" t="s">
        <v>658</v>
      </c>
      <c r="I103" s="37" t="n">
        <v>125</v>
      </c>
      <c r="J103" s="37"/>
      <c r="K103" s="37" t="n">
        <v>0</v>
      </c>
      <c r="L103" s="37" t="n">
        <v>0</v>
      </c>
      <c r="M103" s="37"/>
      <c r="N103" s="37"/>
      <c r="O103" s="37" t="s">
        <v>659</v>
      </c>
      <c r="P103" s="37" t="s">
        <v>833</v>
      </c>
      <c r="Q103" s="37" t="s">
        <v>614</v>
      </c>
      <c r="R103" s="36" t="str">
        <f aca="false">IF(H103="Ya",IF(M103&lt;&gt;"","SUDAH PLOTTING","BELUM PLOTTING"),"-")</f>
        <v>-</v>
      </c>
      <c r="S103" s="37"/>
      <c r="T103" s="37"/>
    </row>
    <row r="104" customFormat="false" ht="15" hidden="false" customHeight="true" outlineLevel="0" collapsed="false">
      <c r="A104" s="36" t="s">
        <v>840</v>
      </c>
      <c r="B104" s="37" t="s">
        <v>59</v>
      </c>
      <c r="C104" s="37" t="s">
        <v>77</v>
      </c>
      <c r="D104" s="37" t="s">
        <v>832</v>
      </c>
      <c r="E104" s="36" t="s">
        <v>719</v>
      </c>
      <c r="F104" s="38" t="s">
        <v>11</v>
      </c>
      <c r="G104" s="36" t="s">
        <v>68</v>
      </c>
      <c r="H104" s="36" t="s">
        <v>658</v>
      </c>
      <c r="I104" s="37" t="n">
        <v>150</v>
      </c>
      <c r="J104" s="37"/>
      <c r="K104" s="37" t="n">
        <v>0</v>
      </c>
      <c r="L104" s="37" t="n">
        <v>0</v>
      </c>
      <c r="M104" s="37"/>
      <c r="N104" s="37"/>
      <c r="O104" s="37" t="s">
        <v>659</v>
      </c>
      <c r="P104" s="37" t="s">
        <v>833</v>
      </c>
      <c r="Q104" s="37" t="s">
        <v>614</v>
      </c>
      <c r="R104" s="36" t="str">
        <f aca="false">IF(H104="Ya",IF(M104&lt;&gt;"","SUDAH PLOTTING","BELUM PLOTTING"),"-")</f>
        <v>-</v>
      </c>
      <c r="S104" s="37"/>
      <c r="T104" s="37"/>
    </row>
    <row r="105" customFormat="false" ht="15" hidden="false" customHeight="true" outlineLevel="0" collapsed="false">
      <c r="A105" s="36" t="s">
        <v>841</v>
      </c>
      <c r="B105" s="37" t="s">
        <v>59</v>
      </c>
      <c r="C105" s="37" t="s">
        <v>77</v>
      </c>
      <c r="D105" s="37" t="s">
        <v>770</v>
      </c>
      <c r="E105" s="36" t="s">
        <v>79</v>
      </c>
      <c r="F105" s="38" t="s">
        <v>11</v>
      </c>
      <c r="G105" s="36" t="s">
        <v>68</v>
      </c>
      <c r="H105" s="36" t="s">
        <v>658</v>
      </c>
      <c r="I105" s="37" t="n">
        <v>231</v>
      </c>
      <c r="J105" s="37"/>
      <c r="K105" s="37" t="n">
        <v>0</v>
      </c>
      <c r="L105" s="37" t="n">
        <v>0</v>
      </c>
      <c r="M105" s="37"/>
      <c r="N105" s="37"/>
      <c r="O105" s="37" t="s">
        <v>659</v>
      </c>
      <c r="P105" s="37" t="s">
        <v>842</v>
      </c>
      <c r="Q105" s="37" t="s">
        <v>614</v>
      </c>
      <c r="R105" s="36" t="str">
        <f aca="false">IF(H105="Ya",IF(M105&lt;&gt;"","SUDAH PLOTTING","BELUM PLOTTING"),"-")</f>
        <v>-</v>
      </c>
      <c r="S105" s="37"/>
      <c r="T105" s="37"/>
    </row>
    <row r="106" customFormat="false" ht="15" hidden="false" customHeight="true" outlineLevel="0" collapsed="false">
      <c r="A106" s="36" t="s">
        <v>843</v>
      </c>
      <c r="B106" s="37" t="s">
        <v>59</v>
      </c>
      <c r="C106" s="37" t="s">
        <v>77</v>
      </c>
      <c r="D106" s="37" t="s">
        <v>770</v>
      </c>
      <c r="E106" s="36" t="s">
        <v>88</v>
      </c>
      <c r="F106" s="38" t="s">
        <v>11</v>
      </c>
      <c r="G106" s="36" t="s">
        <v>68</v>
      </c>
      <c r="H106" s="36" t="s">
        <v>658</v>
      </c>
      <c r="I106" s="37" t="n">
        <v>136</v>
      </c>
      <c r="J106" s="37"/>
      <c r="K106" s="37" t="n">
        <v>0</v>
      </c>
      <c r="L106" s="37" t="n">
        <v>0</v>
      </c>
      <c r="M106" s="37"/>
      <c r="N106" s="37"/>
      <c r="O106" s="37" t="s">
        <v>659</v>
      </c>
      <c r="P106" s="37" t="s">
        <v>842</v>
      </c>
      <c r="Q106" s="37" t="s">
        <v>614</v>
      </c>
      <c r="R106" s="36" t="str">
        <f aca="false">IF(H106="Ya",IF(M106&lt;&gt;"","SUDAH PLOTTING","BELUM PLOTTING"),"-")</f>
        <v>-</v>
      </c>
      <c r="S106" s="37"/>
      <c r="T106" s="37"/>
    </row>
    <row r="107" customFormat="false" ht="15" hidden="false" customHeight="true" outlineLevel="0" collapsed="false">
      <c r="A107" s="36" t="s">
        <v>844</v>
      </c>
      <c r="B107" s="37" t="s">
        <v>59</v>
      </c>
      <c r="C107" s="37" t="s">
        <v>77</v>
      </c>
      <c r="D107" s="37" t="s">
        <v>770</v>
      </c>
      <c r="E107" s="36" t="s">
        <v>92</v>
      </c>
      <c r="F107" s="38" t="s">
        <v>11</v>
      </c>
      <c r="G107" s="36" t="s">
        <v>68</v>
      </c>
      <c r="H107" s="36" t="s">
        <v>658</v>
      </c>
      <c r="I107" s="37" t="n">
        <v>120</v>
      </c>
      <c r="J107" s="37"/>
      <c r="K107" s="37" t="n">
        <v>0</v>
      </c>
      <c r="L107" s="37" t="n">
        <v>0</v>
      </c>
      <c r="M107" s="37"/>
      <c r="N107" s="37"/>
      <c r="O107" s="37" t="s">
        <v>659</v>
      </c>
      <c r="P107" s="37" t="s">
        <v>842</v>
      </c>
      <c r="Q107" s="37" t="s">
        <v>614</v>
      </c>
      <c r="R107" s="36" t="str">
        <f aca="false">IF(H107="Ya",IF(M107&lt;&gt;"","SUDAH PLOTTING","BELUM PLOTTING"),"-")</f>
        <v>-</v>
      </c>
      <c r="S107" s="37"/>
      <c r="T107" s="37"/>
    </row>
    <row r="108" customFormat="false" ht="15" hidden="false" customHeight="true" outlineLevel="0" collapsed="false">
      <c r="A108" s="36" t="s">
        <v>845</v>
      </c>
      <c r="B108" s="37" t="s">
        <v>59</v>
      </c>
      <c r="C108" s="37" t="s">
        <v>77</v>
      </c>
      <c r="D108" s="37" t="s">
        <v>846</v>
      </c>
      <c r="E108" s="36" t="s">
        <v>62</v>
      </c>
      <c r="F108" s="38" t="s">
        <v>11</v>
      </c>
      <c r="G108" s="36" t="s">
        <v>68</v>
      </c>
      <c r="H108" s="36" t="s">
        <v>658</v>
      </c>
      <c r="I108" s="37" t="n">
        <v>59</v>
      </c>
      <c r="J108" s="37"/>
      <c r="K108" s="37" t="n">
        <v>0</v>
      </c>
      <c r="L108" s="37" t="n">
        <v>0</v>
      </c>
      <c r="M108" s="37"/>
      <c r="N108" s="37"/>
      <c r="O108" s="37" t="s">
        <v>659</v>
      </c>
      <c r="P108" s="37" t="s">
        <v>847</v>
      </c>
      <c r="Q108" s="37" t="s">
        <v>614</v>
      </c>
      <c r="R108" s="36" t="str">
        <f aca="false">IF(H108="Ya",IF(M108&lt;&gt;"","SUDAH PLOTTING","BELUM PLOTTING"),"-")</f>
        <v>-</v>
      </c>
      <c r="S108" s="37"/>
      <c r="T108" s="37"/>
    </row>
    <row r="109" customFormat="false" ht="15" hidden="false" customHeight="true" outlineLevel="0" collapsed="false">
      <c r="A109" s="36" t="s">
        <v>848</v>
      </c>
      <c r="B109" s="37" t="s">
        <v>59</v>
      </c>
      <c r="C109" s="37" t="s">
        <v>77</v>
      </c>
      <c r="D109" s="37" t="s">
        <v>849</v>
      </c>
      <c r="E109" s="36" t="s">
        <v>79</v>
      </c>
      <c r="F109" s="38" t="s">
        <v>11</v>
      </c>
      <c r="G109" s="36" t="s">
        <v>68</v>
      </c>
      <c r="H109" s="36" t="s">
        <v>658</v>
      </c>
      <c r="I109" s="37" t="n">
        <v>161</v>
      </c>
      <c r="J109" s="37"/>
      <c r="K109" s="37" t="n">
        <v>0</v>
      </c>
      <c r="L109" s="37" t="n">
        <v>0</v>
      </c>
      <c r="M109" s="37"/>
      <c r="N109" s="37"/>
      <c r="O109" s="37" t="s">
        <v>659</v>
      </c>
      <c r="P109" s="37" t="s">
        <v>850</v>
      </c>
      <c r="Q109" s="37" t="s">
        <v>614</v>
      </c>
      <c r="R109" s="36" t="str">
        <f aca="false">IF(H109="Ya",IF(M109&lt;&gt;"","SUDAH PLOTTING","BELUM PLOTTING"),"-")</f>
        <v>-</v>
      </c>
      <c r="S109" s="37"/>
      <c r="T109" s="37"/>
    </row>
    <row r="110" customFormat="false" ht="15" hidden="false" customHeight="true" outlineLevel="0" collapsed="false">
      <c r="A110" s="36" t="s">
        <v>851</v>
      </c>
      <c r="B110" s="37" t="s">
        <v>59</v>
      </c>
      <c r="C110" s="37" t="s">
        <v>77</v>
      </c>
      <c r="D110" s="37" t="s">
        <v>849</v>
      </c>
      <c r="E110" s="36" t="s">
        <v>88</v>
      </c>
      <c r="F110" s="38" t="s">
        <v>11</v>
      </c>
      <c r="G110" s="36" t="s">
        <v>68</v>
      </c>
      <c r="H110" s="36" t="s">
        <v>658</v>
      </c>
      <c r="I110" s="37" t="n">
        <v>199</v>
      </c>
      <c r="J110" s="37"/>
      <c r="K110" s="37" t="n">
        <v>0</v>
      </c>
      <c r="L110" s="37" t="n">
        <v>0</v>
      </c>
      <c r="M110" s="37"/>
      <c r="N110" s="37"/>
      <c r="O110" s="37" t="s">
        <v>659</v>
      </c>
      <c r="P110" s="37" t="s">
        <v>850</v>
      </c>
      <c r="Q110" s="37" t="s">
        <v>614</v>
      </c>
      <c r="R110" s="36" t="str">
        <f aca="false">IF(H110="Ya",IF(M110&lt;&gt;"","SUDAH PLOTTING","BELUM PLOTTING"),"-")</f>
        <v>-</v>
      </c>
      <c r="S110" s="37"/>
      <c r="T110" s="37"/>
    </row>
    <row r="111" customFormat="false" ht="15" hidden="false" customHeight="true" outlineLevel="0" collapsed="false">
      <c r="A111" s="36" t="s">
        <v>852</v>
      </c>
      <c r="B111" s="37" t="s">
        <v>59</v>
      </c>
      <c r="C111" s="37" t="s">
        <v>77</v>
      </c>
      <c r="D111" s="37" t="s">
        <v>849</v>
      </c>
      <c r="E111" s="36" t="s">
        <v>92</v>
      </c>
      <c r="F111" s="38" t="s">
        <v>11</v>
      </c>
      <c r="G111" s="36" t="s">
        <v>68</v>
      </c>
      <c r="H111" s="36" t="s">
        <v>658</v>
      </c>
      <c r="I111" s="37" t="n">
        <v>141</v>
      </c>
      <c r="J111" s="37"/>
      <c r="K111" s="37" t="n">
        <v>0</v>
      </c>
      <c r="L111" s="37" t="n">
        <v>0</v>
      </c>
      <c r="M111" s="37"/>
      <c r="N111" s="37"/>
      <c r="O111" s="37" t="s">
        <v>659</v>
      </c>
      <c r="P111" s="37" t="s">
        <v>850</v>
      </c>
      <c r="Q111" s="37" t="s">
        <v>614</v>
      </c>
      <c r="R111" s="36" t="str">
        <f aca="false">IF(H111="Ya",IF(M111&lt;&gt;"","SUDAH PLOTTING","BELUM PLOTTING"),"-")</f>
        <v>-</v>
      </c>
      <c r="S111" s="37"/>
      <c r="T111" s="37"/>
    </row>
    <row r="112" customFormat="false" ht="15" hidden="false" customHeight="true" outlineLevel="0" collapsed="false">
      <c r="A112" s="36" t="s">
        <v>853</v>
      </c>
      <c r="B112" s="37" t="s">
        <v>59</v>
      </c>
      <c r="C112" s="37" t="s">
        <v>77</v>
      </c>
      <c r="D112" s="37" t="s">
        <v>849</v>
      </c>
      <c r="E112" s="36" t="s">
        <v>97</v>
      </c>
      <c r="F112" s="38" t="s">
        <v>11</v>
      </c>
      <c r="G112" s="36" t="s">
        <v>68</v>
      </c>
      <c r="H112" s="36" t="s">
        <v>658</v>
      </c>
      <c r="I112" s="37" t="n">
        <v>159</v>
      </c>
      <c r="J112" s="37"/>
      <c r="K112" s="37" t="n">
        <v>0</v>
      </c>
      <c r="L112" s="37" t="n">
        <v>0</v>
      </c>
      <c r="M112" s="37"/>
      <c r="N112" s="37"/>
      <c r="O112" s="37" t="s">
        <v>659</v>
      </c>
      <c r="P112" s="37" t="s">
        <v>850</v>
      </c>
      <c r="Q112" s="37" t="s">
        <v>614</v>
      </c>
      <c r="R112" s="36" t="str">
        <f aca="false">IF(H112="Ya",IF(M112&lt;&gt;"","SUDAH PLOTTING","BELUM PLOTTING"),"-")</f>
        <v>-</v>
      </c>
      <c r="S112" s="37"/>
      <c r="T112" s="37"/>
    </row>
    <row r="113" customFormat="false" ht="15" hidden="false" customHeight="true" outlineLevel="0" collapsed="false">
      <c r="A113" s="36" t="s">
        <v>854</v>
      </c>
      <c r="B113" s="37" t="s">
        <v>59</v>
      </c>
      <c r="C113" s="37" t="s">
        <v>77</v>
      </c>
      <c r="D113" s="37" t="s">
        <v>849</v>
      </c>
      <c r="E113" s="36" t="s">
        <v>103</v>
      </c>
      <c r="F113" s="38" t="s">
        <v>11</v>
      </c>
      <c r="G113" s="36" t="s">
        <v>68</v>
      </c>
      <c r="H113" s="36" t="s">
        <v>658</v>
      </c>
      <c r="I113" s="37" t="n">
        <v>183</v>
      </c>
      <c r="J113" s="37"/>
      <c r="K113" s="37" t="n">
        <v>0</v>
      </c>
      <c r="L113" s="37" t="n">
        <v>0</v>
      </c>
      <c r="M113" s="37"/>
      <c r="N113" s="37"/>
      <c r="O113" s="37" t="s">
        <v>659</v>
      </c>
      <c r="P113" s="37" t="s">
        <v>850</v>
      </c>
      <c r="Q113" s="37" t="s">
        <v>614</v>
      </c>
      <c r="R113" s="36" t="str">
        <f aca="false">IF(H113="Ya",IF(M113&lt;&gt;"","SUDAH PLOTTING","BELUM PLOTTING"),"-")</f>
        <v>-</v>
      </c>
      <c r="S113" s="37"/>
      <c r="T113" s="37"/>
    </row>
    <row r="114" customFormat="false" ht="15" hidden="false" customHeight="true" outlineLevel="0" collapsed="false">
      <c r="A114" s="36" t="s">
        <v>855</v>
      </c>
      <c r="B114" s="37" t="s">
        <v>59</v>
      </c>
      <c r="C114" s="37" t="s">
        <v>77</v>
      </c>
      <c r="D114" s="37" t="s">
        <v>849</v>
      </c>
      <c r="E114" s="36" t="s">
        <v>111</v>
      </c>
      <c r="F114" s="38" t="s">
        <v>11</v>
      </c>
      <c r="G114" s="36" t="s">
        <v>68</v>
      </c>
      <c r="H114" s="36" t="s">
        <v>658</v>
      </c>
      <c r="I114" s="37" t="n">
        <v>116</v>
      </c>
      <c r="J114" s="37"/>
      <c r="K114" s="37" t="n">
        <v>0</v>
      </c>
      <c r="L114" s="37" t="n">
        <v>0</v>
      </c>
      <c r="M114" s="37"/>
      <c r="N114" s="37"/>
      <c r="O114" s="37" t="s">
        <v>659</v>
      </c>
      <c r="P114" s="37" t="s">
        <v>850</v>
      </c>
      <c r="Q114" s="37" t="s">
        <v>614</v>
      </c>
      <c r="R114" s="36" t="str">
        <f aca="false">IF(H114="Ya",IF(M114&lt;&gt;"","SUDAH PLOTTING","BELUM PLOTTING"),"-")</f>
        <v>-</v>
      </c>
      <c r="S114" s="37"/>
      <c r="T114" s="37"/>
    </row>
    <row r="115" customFormat="false" ht="15" hidden="false" customHeight="true" outlineLevel="0" collapsed="false">
      <c r="A115" s="36" t="s">
        <v>856</v>
      </c>
      <c r="B115" s="37" t="s">
        <v>59</v>
      </c>
      <c r="C115" s="37" t="s">
        <v>77</v>
      </c>
      <c r="D115" s="37" t="s">
        <v>857</v>
      </c>
      <c r="E115" s="36" t="s">
        <v>79</v>
      </c>
      <c r="F115" s="38" t="s">
        <v>11</v>
      </c>
      <c r="G115" s="36" t="s">
        <v>68</v>
      </c>
      <c r="H115" s="36" t="s">
        <v>658</v>
      </c>
      <c r="I115" s="37" t="n">
        <v>123</v>
      </c>
      <c r="J115" s="37"/>
      <c r="K115" s="37" t="n">
        <v>0</v>
      </c>
      <c r="L115" s="37" t="n">
        <v>0</v>
      </c>
      <c r="M115" s="37"/>
      <c r="N115" s="37"/>
      <c r="O115" s="37" t="s">
        <v>659</v>
      </c>
      <c r="P115" s="37" t="s">
        <v>858</v>
      </c>
      <c r="Q115" s="37" t="s">
        <v>614</v>
      </c>
      <c r="R115" s="36" t="str">
        <f aca="false">IF(H115="Ya",IF(M115&lt;&gt;"","SUDAH PLOTTING","BELUM PLOTTING"),"-")</f>
        <v>-</v>
      </c>
      <c r="S115" s="37"/>
      <c r="T115" s="37"/>
    </row>
    <row r="116" customFormat="false" ht="15" hidden="false" customHeight="true" outlineLevel="0" collapsed="false">
      <c r="A116" s="36" t="s">
        <v>859</v>
      </c>
      <c r="B116" s="37" t="s">
        <v>59</v>
      </c>
      <c r="C116" s="37" t="s">
        <v>77</v>
      </c>
      <c r="D116" s="37" t="s">
        <v>857</v>
      </c>
      <c r="E116" s="36" t="s">
        <v>88</v>
      </c>
      <c r="F116" s="38" t="s">
        <v>11</v>
      </c>
      <c r="G116" s="36" t="s">
        <v>68</v>
      </c>
      <c r="H116" s="36" t="s">
        <v>658</v>
      </c>
      <c r="I116" s="37" t="n">
        <v>178</v>
      </c>
      <c r="J116" s="37"/>
      <c r="K116" s="37" t="n">
        <v>0</v>
      </c>
      <c r="L116" s="37" t="n">
        <v>0</v>
      </c>
      <c r="M116" s="37"/>
      <c r="N116" s="37"/>
      <c r="O116" s="37" t="s">
        <v>659</v>
      </c>
      <c r="P116" s="37" t="s">
        <v>858</v>
      </c>
      <c r="Q116" s="37" t="s">
        <v>614</v>
      </c>
      <c r="R116" s="36" t="str">
        <f aca="false">IF(H116="Ya",IF(M116&lt;&gt;"","SUDAH PLOTTING","BELUM PLOTTING"),"-")</f>
        <v>-</v>
      </c>
      <c r="S116" s="37"/>
      <c r="T116" s="37"/>
    </row>
    <row r="117" customFormat="false" ht="15" hidden="false" customHeight="true" outlineLevel="0" collapsed="false">
      <c r="A117" s="36" t="s">
        <v>860</v>
      </c>
      <c r="B117" s="37" t="s">
        <v>59</v>
      </c>
      <c r="C117" s="37" t="s">
        <v>77</v>
      </c>
      <c r="D117" s="37" t="s">
        <v>857</v>
      </c>
      <c r="E117" s="36" t="s">
        <v>92</v>
      </c>
      <c r="F117" s="38" t="s">
        <v>11</v>
      </c>
      <c r="G117" s="36" t="s">
        <v>68</v>
      </c>
      <c r="H117" s="36" t="s">
        <v>658</v>
      </c>
      <c r="I117" s="37" t="n">
        <v>158</v>
      </c>
      <c r="J117" s="37"/>
      <c r="K117" s="37" t="n">
        <v>0</v>
      </c>
      <c r="L117" s="37" t="n">
        <v>0</v>
      </c>
      <c r="M117" s="37"/>
      <c r="N117" s="37"/>
      <c r="O117" s="37" t="s">
        <v>659</v>
      </c>
      <c r="P117" s="37" t="s">
        <v>858</v>
      </c>
      <c r="Q117" s="37" t="s">
        <v>614</v>
      </c>
      <c r="R117" s="36" t="str">
        <f aca="false">IF(H117="Ya",IF(M117&lt;&gt;"","SUDAH PLOTTING","BELUM PLOTTING"),"-")</f>
        <v>-</v>
      </c>
      <c r="S117" s="37"/>
      <c r="T117" s="37"/>
    </row>
    <row r="118" customFormat="false" ht="15" hidden="false" customHeight="true" outlineLevel="0" collapsed="false">
      <c r="A118" s="36" t="s">
        <v>861</v>
      </c>
      <c r="B118" s="37" t="s">
        <v>59</v>
      </c>
      <c r="C118" s="37" t="s">
        <v>77</v>
      </c>
      <c r="D118" s="37" t="s">
        <v>857</v>
      </c>
      <c r="E118" s="36" t="s">
        <v>97</v>
      </c>
      <c r="F118" s="38" t="s">
        <v>11</v>
      </c>
      <c r="G118" s="36" t="s">
        <v>68</v>
      </c>
      <c r="H118" s="36" t="s">
        <v>658</v>
      </c>
      <c r="I118" s="37" t="n">
        <v>111</v>
      </c>
      <c r="J118" s="37"/>
      <c r="K118" s="37" t="n">
        <v>0</v>
      </c>
      <c r="L118" s="37" t="n">
        <v>0</v>
      </c>
      <c r="M118" s="37"/>
      <c r="N118" s="37"/>
      <c r="O118" s="37" t="s">
        <v>659</v>
      </c>
      <c r="P118" s="37" t="s">
        <v>858</v>
      </c>
      <c r="Q118" s="37" t="s">
        <v>614</v>
      </c>
      <c r="R118" s="36" t="str">
        <f aca="false">IF(H118="Ya",IF(M118&lt;&gt;"","SUDAH PLOTTING","BELUM PLOTTING"),"-")</f>
        <v>-</v>
      </c>
      <c r="S118" s="37"/>
      <c r="T118" s="37"/>
    </row>
    <row r="119" customFormat="false" ht="15" hidden="false" customHeight="true" outlineLevel="0" collapsed="false">
      <c r="A119" s="36" t="s">
        <v>862</v>
      </c>
      <c r="B119" s="37" t="s">
        <v>59</v>
      </c>
      <c r="C119" s="37" t="s">
        <v>77</v>
      </c>
      <c r="D119" s="37" t="s">
        <v>857</v>
      </c>
      <c r="E119" s="36" t="s">
        <v>103</v>
      </c>
      <c r="F119" s="38" t="s">
        <v>11</v>
      </c>
      <c r="G119" s="36" t="s">
        <v>68</v>
      </c>
      <c r="H119" s="36" t="s">
        <v>658</v>
      </c>
      <c r="I119" s="37" t="n">
        <v>167</v>
      </c>
      <c r="J119" s="37"/>
      <c r="K119" s="37" t="n">
        <v>0</v>
      </c>
      <c r="L119" s="37" t="n">
        <v>0</v>
      </c>
      <c r="M119" s="37"/>
      <c r="N119" s="37"/>
      <c r="O119" s="37" t="s">
        <v>659</v>
      </c>
      <c r="P119" s="37" t="s">
        <v>858</v>
      </c>
      <c r="Q119" s="37" t="s">
        <v>614</v>
      </c>
      <c r="R119" s="36" t="str">
        <f aca="false">IF(H119="Ya",IF(M119&lt;&gt;"","SUDAH PLOTTING","BELUM PLOTTING"),"-")</f>
        <v>-</v>
      </c>
      <c r="S119" s="37"/>
      <c r="T119" s="37"/>
    </row>
    <row r="120" customFormat="false" ht="15" hidden="false" customHeight="true" outlineLevel="0" collapsed="false">
      <c r="A120" s="36" t="s">
        <v>863</v>
      </c>
      <c r="B120" s="37" t="s">
        <v>59</v>
      </c>
      <c r="C120" s="37" t="s">
        <v>77</v>
      </c>
      <c r="D120" s="37" t="s">
        <v>864</v>
      </c>
      <c r="E120" s="36" t="s">
        <v>79</v>
      </c>
      <c r="F120" s="38" t="s">
        <v>11</v>
      </c>
      <c r="G120" s="36" t="s">
        <v>68</v>
      </c>
      <c r="H120" s="36" t="s">
        <v>658</v>
      </c>
      <c r="I120" s="37" t="n">
        <v>180</v>
      </c>
      <c r="J120" s="37"/>
      <c r="K120" s="37" t="n">
        <v>0</v>
      </c>
      <c r="L120" s="37" t="n">
        <v>0</v>
      </c>
      <c r="M120" s="37"/>
      <c r="N120" s="37"/>
      <c r="O120" s="37" t="s">
        <v>659</v>
      </c>
      <c r="P120" s="37" t="s">
        <v>865</v>
      </c>
      <c r="Q120" s="37" t="s">
        <v>614</v>
      </c>
      <c r="R120" s="36" t="str">
        <f aca="false">IF(H120="Ya",IF(M120&lt;&gt;"","SUDAH PLOTTING","BELUM PLOTTING"),"-")</f>
        <v>-</v>
      </c>
      <c r="S120" s="37"/>
      <c r="T120" s="37"/>
    </row>
    <row r="121" customFormat="false" ht="15" hidden="false" customHeight="true" outlineLevel="0" collapsed="false">
      <c r="A121" s="36" t="s">
        <v>866</v>
      </c>
      <c r="B121" s="37" t="s">
        <v>59</v>
      </c>
      <c r="C121" s="37" t="s">
        <v>77</v>
      </c>
      <c r="D121" s="37" t="s">
        <v>864</v>
      </c>
      <c r="E121" s="36" t="s">
        <v>88</v>
      </c>
      <c r="F121" s="38" t="s">
        <v>11</v>
      </c>
      <c r="G121" s="36" t="s">
        <v>68</v>
      </c>
      <c r="H121" s="36" t="s">
        <v>658</v>
      </c>
      <c r="I121" s="37" t="n">
        <v>136</v>
      </c>
      <c r="J121" s="37"/>
      <c r="K121" s="37" t="n">
        <v>0</v>
      </c>
      <c r="L121" s="37" t="n">
        <v>0</v>
      </c>
      <c r="M121" s="37"/>
      <c r="N121" s="37"/>
      <c r="O121" s="37" t="s">
        <v>659</v>
      </c>
      <c r="P121" s="37" t="s">
        <v>865</v>
      </c>
      <c r="Q121" s="37" t="s">
        <v>614</v>
      </c>
      <c r="R121" s="36" t="str">
        <f aca="false">IF(H121="Ya",IF(M121&lt;&gt;"","SUDAH PLOTTING","BELUM PLOTTING"),"-")</f>
        <v>-</v>
      </c>
      <c r="S121" s="37"/>
      <c r="T121" s="37"/>
    </row>
    <row r="122" customFormat="false" ht="15" hidden="false" customHeight="true" outlineLevel="0" collapsed="false">
      <c r="A122" s="36" t="s">
        <v>867</v>
      </c>
      <c r="B122" s="37" t="s">
        <v>59</v>
      </c>
      <c r="C122" s="37" t="s">
        <v>77</v>
      </c>
      <c r="D122" s="37" t="s">
        <v>864</v>
      </c>
      <c r="E122" s="36" t="s">
        <v>92</v>
      </c>
      <c r="F122" s="38" t="s">
        <v>11</v>
      </c>
      <c r="G122" s="36" t="s">
        <v>68</v>
      </c>
      <c r="H122" s="36" t="s">
        <v>658</v>
      </c>
      <c r="I122" s="37" t="n">
        <v>148</v>
      </c>
      <c r="J122" s="37"/>
      <c r="K122" s="37" t="n">
        <v>0</v>
      </c>
      <c r="L122" s="37" t="n">
        <v>0</v>
      </c>
      <c r="M122" s="37"/>
      <c r="N122" s="37"/>
      <c r="O122" s="37" t="s">
        <v>659</v>
      </c>
      <c r="P122" s="37" t="s">
        <v>865</v>
      </c>
      <c r="Q122" s="37" t="s">
        <v>614</v>
      </c>
      <c r="R122" s="36" t="str">
        <f aca="false">IF(H122="Ya",IF(M122&lt;&gt;"","SUDAH PLOTTING","BELUM PLOTTING"),"-")</f>
        <v>-</v>
      </c>
      <c r="S122" s="37"/>
      <c r="T122" s="37"/>
    </row>
    <row r="123" customFormat="false" ht="15" hidden="false" customHeight="true" outlineLevel="0" collapsed="false">
      <c r="A123" s="36" t="s">
        <v>868</v>
      </c>
      <c r="B123" s="37" t="s">
        <v>59</v>
      </c>
      <c r="C123" s="37" t="s">
        <v>77</v>
      </c>
      <c r="D123" s="37" t="s">
        <v>864</v>
      </c>
      <c r="E123" s="36" t="s">
        <v>97</v>
      </c>
      <c r="F123" s="38" t="s">
        <v>11</v>
      </c>
      <c r="G123" s="36" t="s">
        <v>68</v>
      </c>
      <c r="H123" s="36" t="s">
        <v>658</v>
      </c>
      <c r="I123" s="37" t="n">
        <v>126</v>
      </c>
      <c r="J123" s="37"/>
      <c r="K123" s="37" t="n">
        <v>0</v>
      </c>
      <c r="L123" s="37" t="n">
        <v>0</v>
      </c>
      <c r="M123" s="37"/>
      <c r="N123" s="37"/>
      <c r="O123" s="37" t="s">
        <v>659</v>
      </c>
      <c r="P123" s="37" t="s">
        <v>865</v>
      </c>
      <c r="Q123" s="37" t="s">
        <v>614</v>
      </c>
      <c r="R123" s="36" t="str">
        <f aca="false">IF(H123="Ya",IF(M123&lt;&gt;"","SUDAH PLOTTING","BELUM PLOTTING"),"-")</f>
        <v>-</v>
      </c>
      <c r="S123" s="37"/>
      <c r="T123" s="37"/>
    </row>
    <row r="124" customFormat="false" ht="15" hidden="false" customHeight="true" outlineLevel="0" collapsed="false">
      <c r="A124" s="36" t="s">
        <v>869</v>
      </c>
      <c r="B124" s="37" t="s">
        <v>59</v>
      </c>
      <c r="C124" s="37" t="s">
        <v>77</v>
      </c>
      <c r="D124" s="37" t="s">
        <v>864</v>
      </c>
      <c r="E124" s="36" t="s">
        <v>103</v>
      </c>
      <c r="F124" s="38" t="s">
        <v>11</v>
      </c>
      <c r="G124" s="36" t="s">
        <v>68</v>
      </c>
      <c r="H124" s="36" t="s">
        <v>658</v>
      </c>
      <c r="I124" s="37" t="n">
        <v>136</v>
      </c>
      <c r="J124" s="37"/>
      <c r="K124" s="37" t="n">
        <v>0</v>
      </c>
      <c r="L124" s="37" t="n">
        <v>0</v>
      </c>
      <c r="M124" s="37"/>
      <c r="N124" s="37"/>
      <c r="O124" s="37" t="s">
        <v>659</v>
      </c>
      <c r="P124" s="37" t="s">
        <v>865</v>
      </c>
      <c r="Q124" s="37" t="s">
        <v>614</v>
      </c>
      <c r="R124" s="36" t="str">
        <f aca="false">IF(H124="Ya",IF(M124&lt;&gt;"","SUDAH PLOTTING","BELUM PLOTTING"),"-")</f>
        <v>-</v>
      </c>
      <c r="S124" s="37"/>
      <c r="T124" s="37"/>
    </row>
    <row r="125" customFormat="false" ht="15" hidden="false" customHeight="true" outlineLevel="0" collapsed="false">
      <c r="A125" s="36" t="s">
        <v>120</v>
      </c>
      <c r="B125" s="37" t="s">
        <v>59</v>
      </c>
      <c r="C125" s="37" t="s">
        <v>77</v>
      </c>
      <c r="D125" s="37" t="s">
        <v>870</v>
      </c>
      <c r="E125" s="36" t="s">
        <v>79</v>
      </c>
      <c r="F125" s="39" t="s">
        <v>7</v>
      </c>
      <c r="G125" s="36" t="s">
        <v>68</v>
      </c>
      <c r="H125" s="36" t="s">
        <v>68</v>
      </c>
      <c r="I125" s="37" t="n">
        <v>149</v>
      </c>
      <c r="J125" s="37" t="n">
        <v>0.2</v>
      </c>
      <c r="K125" s="37" t="n">
        <v>0</v>
      </c>
      <c r="L125" s="37" t="n">
        <v>0</v>
      </c>
      <c r="M125" s="37"/>
      <c r="N125" s="37" t="n">
        <v>1</v>
      </c>
      <c r="O125" s="37" t="s">
        <v>749</v>
      </c>
      <c r="P125" s="37" t="s">
        <v>871</v>
      </c>
      <c r="Q125" s="37" t="s">
        <v>614</v>
      </c>
      <c r="R125" s="36" t="str">
        <f aca="false">IF(H125="Ya",IF(M125&lt;&gt;"","SUDAH PLOTTING","BELUM PLOTTING"),"-")</f>
        <v>BELUM PLOTTING</v>
      </c>
      <c r="S125" s="37" t="s">
        <v>76</v>
      </c>
      <c r="T125" s="37" t="s">
        <v>872</v>
      </c>
      <c r="U125" s="40" t="s">
        <v>752</v>
      </c>
      <c r="V125" s="40" t="s">
        <v>68</v>
      </c>
    </row>
    <row r="126" customFormat="false" ht="15" hidden="false" customHeight="true" outlineLevel="0" collapsed="false">
      <c r="A126" s="36" t="s">
        <v>125</v>
      </c>
      <c r="B126" s="37" t="s">
        <v>59</v>
      </c>
      <c r="C126" s="37" t="s">
        <v>77</v>
      </c>
      <c r="D126" s="37" t="s">
        <v>870</v>
      </c>
      <c r="E126" s="36" t="s">
        <v>88</v>
      </c>
      <c r="F126" s="39" t="s">
        <v>7</v>
      </c>
      <c r="G126" s="36" t="s">
        <v>68</v>
      </c>
      <c r="H126" s="36" t="s">
        <v>68</v>
      </c>
      <c r="I126" s="37" t="n">
        <v>180</v>
      </c>
      <c r="J126" s="37" t="n">
        <v>0.2</v>
      </c>
      <c r="K126" s="37" t="n">
        <v>0</v>
      </c>
      <c r="L126" s="37" t="n">
        <v>0</v>
      </c>
      <c r="M126" s="37"/>
      <c r="N126" s="37" t="n">
        <v>1</v>
      </c>
      <c r="O126" s="37" t="s">
        <v>749</v>
      </c>
      <c r="P126" s="37" t="s">
        <v>871</v>
      </c>
      <c r="Q126" s="37" t="s">
        <v>614</v>
      </c>
      <c r="R126" s="36" t="str">
        <f aca="false">IF(H126="Ya",IF(M126&lt;&gt;"","SUDAH PLOTTING","BELUM PLOTTING"),"-")</f>
        <v>BELUM PLOTTING</v>
      </c>
      <c r="S126" s="37" t="s">
        <v>76</v>
      </c>
      <c r="T126" s="37" t="s">
        <v>873</v>
      </c>
      <c r="U126" s="40" t="s">
        <v>752</v>
      </c>
      <c r="V126" s="40" t="s">
        <v>68</v>
      </c>
    </row>
    <row r="127" customFormat="false" ht="15" hidden="false" customHeight="true" outlineLevel="0" collapsed="false">
      <c r="A127" s="36" t="s">
        <v>129</v>
      </c>
      <c r="B127" s="37" t="s">
        <v>59</v>
      </c>
      <c r="C127" s="37" t="s">
        <v>77</v>
      </c>
      <c r="D127" s="37" t="s">
        <v>870</v>
      </c>
      <c r="E127" s="36" t="s">
        <v>92</v>
      </c>
      <c r="F127" s="39" t="s">
        <v>7</v>
      </c>
      <c r="G127" s="36" t="s">
        <v>68</v>
      </c>
      <c r="H127" s="36" t="s">
        <v>68</v>
      </c>
      <c r="I127" s="37" t="n">
        <v>172</v>
      </c>
      <c r="J127" s="37" t="n">
        <v>0.2</v>
      </c>
      <c r="K127" s="37" t="n">
        <v>0</v>
      </c>
      <c r="L127" s="37" t="n">
        <v>0</v>
      </c>
      <c r="M127" s="37"/>
      <c r="N127" s="37" t="n">
        <v>1</v>
      </c>
      <c r="O127" s="37" t="s">
        <v>749</v>
      </c>
      <c r="P127" s="37" t="s">
        <v>871</v>
      </c>
      <c r="Q127" s="37" t="s">
        <v>614</v>
      </c>
      <c r="R127" s="36" t="str">
        <f aca="false">IF(H127="Ya",IF(M127&lt;&gt;"","SUDAH PLOTTING","BELUM PLOTTING"),"-")</f>
        <v>BELUM PLOTTING</v>
      </c>
      <c r="S127" s="37" t="s">
        <v>76</v>
      </c>
      <c r="T127" s="37" t="s">
        <v>874</v>
      </c>
      <c r="U127" s="40" t="s">
        <v>752</v>
      </c>
      <c r="V127" s="40" t="s">
        <v>68</v>
      </c>
    </row>
    <row r="128" customFormat="false" ht="15" hidden="false" customHeight="true" outlineLevel="0" collapsed="false">
      <c r="A128" s="36" t="s">
        <v>133</v>
      </c>
      <c r="B128" s="37" t="s">
        <v>59</v>
      </c>
      <c r="C128" s="37" t="s">
        <v>77</v>
      </c>
      <c r="D128" s="37" t="s">
        <v>870</v>
      </c>
      <c r="E128" s="36" t="s">
        <v>97</v>
      </c>
      <c r="F128" s="39" t="s">
        <v>7</v>
      </c>
      <c r="G128" s="36" t="s">
        <v>68</v>
      </c>
      <c r="H128" s="36" t="s">
        <v>68</v>
      </c>
      <c r="I128" s="37" t="n">
        <v>196</v>
      </c>
      <c r="J128" s="37" t="n">
        <v>0.2</v>
      </c>
      <c r="K128" s="37" t="n">
        <v>0</v>
      </c>
      <c r="L128" s="37" t="n">
        <v>0</v>
      </c>
      <c r="M128" s="37"/>
      <c r="N128" s="37" t="n">
        <v>1</v>
      </c>
      <c r="O128" s="37" t="s">
        <v>749</v>
      </c>
      <c r="P128" s="37" t="s">
        <v>871</v>
      </c>
      <c r="Q128" s="37" t="s">
        <v>614</v>
      </c>
      <c r="R128" s="36" t="str">
        <f aca="false">IF(H128="Ya",IF(M128&lt;&gt;"","SUDAH PLOTTING","BELUM PLOTTING"),"-")</f>
        <v>BELUM PLOTTING</v>
      </c>
      <c r="S128" s="37" t="s">
        <v>76</v>
      </c>
      <c r="T128" s="37" t="s">
        <v>875</v>
      </c>
      <c r="U128" s="40" t="s">
        <v>752</v>
      </c>
      <c r="V128" s="40" t="s">
        <v>68</v>
      </c>
    </row>
    <row r="129" customFormat="false" ht="15" hidden="false" customHeight="true" outlineLevel="0" collapsed="false">
      <c r="A129" s="36" t="s">
        <v>137</v>
      </c>
      <c r="B129" s="37" t="s">
        <v>59</v>
      </c>
      <c r="C129" s="37" t="s">
        <v>77</v>
      </c>
      <c r="D129" s="37" t="s">
        <v>870</v>
      </c>
      <c r="E129" s="36" t="s">
        <v>103</v>
      </c>
      <c r="F129" s="39" t="s">
        <v>7</v>
      </c>
      <c r="G129" s="36" t="s">
        <v>68</v>
      </c>
      <c r="H129" s="36" t="s">
        <v>68</v>
      </c>
      <c r="I129" s="37" t="n">
        <v>145</v>
      </c>
      <c r="J129" s="37" t="n">
        <v>0.2</v>
      </c>
      <c r="K129" s="37" t="n">
        <v>0</v>
      </c>
      <c r="L129" s="37" t="n">
        <v>0</v>
      </c>
      <c r="M129" s="37"/>
      <c r="N129" s="37" t="n">
        <v>1</v>
      </c>
      <c r="O129" s="37" t="s">
        <v>749</v>
      </c>
      <c r="P129" s="37" t="s">
        <v>871</v>
      </c>
      <c r="Q129" s="37" t="s">
        <v>614</v>
      </c>
      <c r="R129" s="36" t="str">
        <f aca="false">IF(H129="Ya",IF(M129&lt;&gt;"","SUDAH PLOTTING","BELUM PLOTTING"),"-")</f>
        <v>BELUM PLOTTING</v>
      </c>
      <c r="S129" s="37" t="s">
        <v>76</v>
      </c>
      <c r="T129" s="37" t="s">
        <v>876</v>
      </c>
      <c r="U129" s="40" t="s">
        <v>752</v>
      </c>
      <c r="V129" s="40" t="s">
        <v>68</v>
      </c>
    </row>
    <row r="130" customFormat="false" ht="15" hidden="false" customHeight="true" outlineLevel="0" collapsed="false">
      <c r="A130" s="36" t="s">
        <v>877</v>
      </c>
      <c r="B130" s="37" t="s">
        <v>59</v>
      </c>
      <c r="C130" s="37" t="s">
        <v>77</v>
      </c>
      <c r="D130" s="37" t="s">
        <v>878</v>
      </c>
      <c r="E130" s="36" t="s">
        <v>62</v>
      </c>
      <c r="F130" s="38" t="s">
        <v>11</v>
      </c>
      <c r="G130" s="36" t="s">
        <v>68</v>
      </c>
      <c r="H130" s="36" t="s">
        <v>658</v>
      </c>
      <c r="I130" s="37" t="n">
        <v>146</v>
      </c>
      <c r="J130" s="37"/>
      <c r="K130" s="37" t="n">
        <v>0</v>
      </c>
      <c r="L130" s="37" t="n">
        <v>0</v>
      </c>
      <c r="M130" s="37"/>
      <c r="N130" s="37"/>
      <c r="O130" s="37" t="s">
        <v>659</v>
      </c>
      <c r="P130" s="37" t="s">
        <v>879</v>
      </c>
      <c r="Q130" s="37" t="s">
        <v>614</v>
      </c>
      <c r="R130" s="36" t="str">
        <f aca="false">IF(H130="Ya",IF(M130&lt;&gt;"","SUDAH PLOTTING","BELUM PLOTTING"),"-")</f>
        <v>-</v>
      </c>
      <c r="S130" s="37"/>
      <c r="T130" s="37"/>
    </row>
    <row r="131" customFormat="false" ht="15" hidden="false" customHeight="true" outlineLevel="0" collapsed="false">
      <c r="A131" s="36" t="s">
        <v>880</v>
      </c>
      <c r="B131" s="37" t="s">
        <v>59</v>
      </c>
      <c r="C131" s="37" t="s">
        <v>438</v>
      </c>
      <c r="D131" s="37" t="s">
        <v>806</v>
      </c>
      <c r="E131" s="36" t="s">
        <v>79</v>
      </c>
      <c r="F131" s="39" t="s">
        <v>7</v>
      </c>
      <c r="G131" s="36" t="s">
        <v>68</v>
      </c>
      <c r="H131" s="36" t="s">
        <v>68</v>
      </c>
      <c r="I131" s="37" t="n">
        <v>182</v>
      </c>
      <c r="J131" s="37" t="n">
        <v>50</v>
      </c>
      <c r="K131" s="37" t="n">
        <v>4</v>
      </c>
      <c r="L131" s="37" t="n">
        <v>0</v>
      </c>
      <c r="M131" s="37" t="s">
        <v>881</v>
      </c>
      <c r="N131" s="37" t="n">
        <v>24</v>
      </c>
      <c r="O131" s="37"/>
      <c r="P131" s="37" t="s">
        <v>882</v>
      </c>
      <c r="Q131" s="37" t="s">
        <v>627</v>
      </c>
      <c r="R131" s="36" t="str">
        <f aca="false">IF(H131="Ya",IF(M131&lt;&gt;"","SUDAH PLOTTING","BELUM PLOTTING"),"-")</f>
        <v>SUDAH PLOTTING</v>
      </c>
      <c r="S131" s="37" t="s">
        <v>58</v>
      </c>
      <c r="T131" s="37"/>
      <c r="U131" s="40" t="s">
        <v>692</v>
      </c>
      <c r="V131" s="40" t="s">
        <v>68</v>
      </c>
    </row>
    <row r="132" customFormat="false" ht="15" hidden="false" customHeight="true" outlineLevel="0" collapsed="false">
      <c r="A132" s="36" t="s">
        <v>883</v>
      </c>
      <c r="B132" s="37" t="s">
        <v>59</v>
      </c>
      <c r="C132" s="37" t="s">
        <v>438</v>
      </c>
      <c r="D132" s="37" t="s">
        <v>806</v>
      </c>
      <c r="E132" s="36" t="s">
        <v>88</v>
      </c>
      <c r="F132" s="39" t="s">
        <v>7</v>
      </c>
      <c r="G132" s="36" t="s">
        <v>68</v>
      </c>
      <c r="H132" s="36" t="s">
        <v>68</v>
      </c>
      <c r="I132" s="37" t="n">
        <v>68</v>
      </c>
      <c r="J132" s="37" t="n">
        <v>10</v>
      </c>
      <c r="K132" s="37" t="n">
        <v>2</v>
      </c>
      <c r="L132" s="37" t="n">
        <v>0</v>
      </c>
      <c r="M132" s="37" t="s">
        <v>881</v>
      </c>
      <c r="N132" s="37" t="n">
        <v>24</v>
      </c>
      <c r="O132" s="37"/>
      <c r="P132" s="37" t="s">
        <v>882</v>
      </c>
      <c r="Q132" s="37" t="s">
        <v>627</v>
      </c>
      <c r="R132" s="36" t="str">
        <f aca="false">IF(H132="Ya",IF(M132&lt;&gt;"","SUDAH PLOTTING","BELUM PLOTTING"),"-")</f>
        <v>SUDAH PLOTTING</v>
      </c>
      <c r="S132" s="37" t="s">
        <v>58</v>
      </c>
      <c r="T132" s="37"/>
      <c r="U132" s="40" t="s">
        <v>692</v>
      </c>
      <c r="V132" s="40" t="s">
        <v>68</v>
      </c>
    </row>
    <row r="133" customFormat="false" ht="15" hidden="false" customHeight="true" outlineLevel="0" collapsed="false">
      <c r="A133" s="36" t="s">
        <v>884</v>
      </c>
      <c r="B133" s="37" t="s">
        <v>59</v>
      </c>
      <c r="C133" s="37" t="s">
        <v>438</v>
      </c>
      <c r="D133" s="37" t="s">
        <v>806</v>
      </c>
      <c r="E133" s="36" t="s">
        <v>92</v>
      </c>
      <c r="F133" s="39" t="s">
        <v>7</v>
      </c>
      <c r="G133" s="36" t="s">
        <v>68</v>
      </c>
      <c r="H133" s="36" t="s">
        <v>68</v>
      </c>
      <c r="I133" s="37" t="n">
        <v>165</v>
      </c>
      <c r="J133" s="37" t="n">
        <v>10</v>
      </c>
      <c r="K133" s="37" t="n">
        <v>2</v>
      </c>
      <c r="L133" s="37" t="n">
        <v>0</v>
      </c>
      <c r="M133" s="37" t="s">
        <v>881</v>
      </c>
      <c r="N133" s="37" t="n">
        <v>24</v>
      </c>
      <c r="O133" s="37"/>
      <c r="P133" s="37" t="s">
        <v>882</v>
      </c>
      <c r="Q133" s="37" t="s">
        <v>627</v>
      </c>
      <c r="R133" s="36" t="str">
        <f aca="false">IF(H133="Ya",IF(M133&lt;&gt;"","SUDAH PLOTTING","BELUM PLOTTING"),"-")</f>
        <v>SUDAH PLOTTING</v>
      </c>
      <c r="S133" s="37" t="s">
        <v>58</v>
      </c>
      <c r="T133" s="37"/>
      <c r="U133" s="40" t="s">
        <v>692</v>
      </c>
      <c r="V133" s="40" t="s">
        <v>68</v>
      </c>
    </row>
    <row r="134" customFormat="false" ht="15" hidden="false" customHeight="true" outlineLevel="0" collapsed="false">
      <c r="A134" s="36" t="s">
        <v>885</v>
      </c>
      <c r="B134" s="37" t="s">
        <v>59</v>
      </c>
      <c r="C134" s="37" t="s">
        <v>438</v>
      </c>
      <c r="D134" s="37" t="s">
        <v>806</v>
      </c>
      <c r="E134" s="36" t="s">
        <v>97</v>
      </c>
      <c r="F134" s="39" t="s">
        <v>7</v>
      </c>
      <c r="G134" s="36" t="s">
        <v>68</v>
      </c>
      <c r="H134" s="36" t="s">
        <v>68</v>
      </c>
      <c r="I134" s="37" t="n">
        <v>138</v>
      </c>
      <c r="J134" s="37"/>
      <c r="K134" s="37" t="n">
        <v>2</v>
      </c>
      <c r="L134" s="37" t="n">
        <v>0</v>
      </c>
      <c r="M134" s="37" t="s">
        <v>881</v>
      </c>
      <c r="N134" s="37" t="n">
        <v>24</v>
      </c>
      <c r="O134" s="37"/>
      <c r="P134" s="37" t="s">
        <v>882</v>
      </c>
      <c r="Q134" s="37" t="s">
        <v>627</v>
      </c>
      <c r="R134" s="36" t="str">
        <f aca="false">IF(H134="Ya",IF(M134&lt;&gt;"","SUDAH PLOTTING","BELUM PLOTTING"),"-")</f>
        <v>SUDAH PLOTTING</v>
      </c>
      <c r="S134" s="37" t="s">
        <v>58</v>
      </c>
      <c r="T134" s="37"/>
      <c r="U134" s="40" t="s">
        <v>692</v>
      </c>
      <c r="V134" s="40" t="s">
        <v>68</v>
      </c>
    </row>
    <row r="135" customFormat="false" ht="15" hidden="false" customHeight="true" outlineLevel="0" collapsed="false">
      <c r="A135" s="36" t="s">
        <v>886</v>
      </c>
      <c r="B135" s="37" t="s">
        <v>59</v>
      </c>
      <c r="C135" s="37" t="s">
        <v>438</v>
      </c>
      <c r="D135" s="37" t="s">
        <v>806</v>
      </c>
      <c r="E135" s="36" t="s">
        <v>103</v>
      </c>
      <c r="F135" s="39" t="s">
        <v>7</v>
      </c>
      <c r="G135" s="36" t="s">
        <v>68</v>
      </c>
      <c r="H135" s="36" t="s">
        <v>68</v>
      </c>
      <c r="I135" s="37" t="n">
        <v>114</v>
      </c>
      <c r="J135" s="37"/>
      <c r="K135" s="37" t="n">
        <v>2</v>
      </c>
      <c r="L135" s="37" t="n">
        <v>0</v>
      </c>
      <c r="M135" s="37" t="s">
        <v>881</v>
      </c>
      <c r="N135" s="37" t="n">
        <v>24</v>
      </c>
      <c r="O135" s="37"/>
      <c r="P135" s="37" t="s">
        <v>882</v>
      </c>
      <c r="Q135" s="37" t="s">
        <v>627</v>
      </c>
      <c r="R135" s="36" t="str">
        <f aca="false">IF(H135="Ya",IF(M135&lt;&gt;"","SUDAH PLOTTING","BELUM PLOTTING"),"-")</f>
        <v>SUDAH PLOTTING</v>
      </c>
      <c r="S135" s="37" t="s">
        <v>58</v>
      </c>
      <c r="T135" s="37"/>
      <c r="U135" s="40" t="s">
        <v>692</v>
      </c>
      <c r="V135" s="40" t="s">
        <v>68</v>
      </c>
    </row>
    <row r="136" customFormat="false" ht="15" hidden="false" customHeight="true" outlineLevel="0" collapsed="false">
      <c r="A136" s="36" t="s">
        <v>887</v>
      </c>
      <c r="B136" s="37" t="s">
        <v>59</v>
      </c>
      <c r="C136" s="37" t="s">
        <v>438</v>
      </c>
      <c r="D136" s="37" t="s">
        <v>806</v>
      </c>
      <c r="E136" s="36" t="s">
        <v>111</v>
      </c>
      <c r="F136" s="38" t="s">
        <v>11</v>
      </c>
      <c r="G136" s="36" t="s">
        <v>68</v>
      </c>
      <c r="H136" s="36" t="s">
        <v>658</v>
      </c>
      <c r="I136" s="37" t="n">
        <v>132</v>
      </c>
      <c r="J136" s="37"/>
      <c r="K136" s="37" t="n">
        <v>0</v>
      </c>
      <c r="L136" s="37" t="n">
        <v>0</v>
      </c>
      <c r="M136" s="37"/>
      <c r="N136" s="37" t="n">
        <v>24</v>
      </c>
      <c r="O136" s="37" t="s">
        <v>888</v>
      </c>
      <c r="P136" s="37" t="s">
        <v>882</v>
      </c>
      <c r="Q136" s="37" t="s">
        <v>627</v>
      </c>
      <c r="R136" s="36" t="str">
        <f aca="false">IF(H136="Ya",IF(M136&lt;&gt;"","SUDAH PLOTTING","BELUM PLOTTING"),"-")</f>
        <v>-</v>
      </c>
      <c r="S136" s="37"/>
      <c r="T136" s="37"/>
    </row>
    <row r="137" customFormat="false" ht="15" hidden="false" customHeight="true" outlineLevel="0" collapsed="false">
      <c r="A137" s="36" t="s">
        <v>889</v>
      </c>
      <c r="B137" s="37" t="s">
        <v>59</v>
      </c>
      <c r="C137" s="37" t="s">
        <v>438</v>
      </c>
      <c r="D137" s="37" t="s">
        <v>806</v>
      </c>
      <c r="E137" s="36" t="s">
        <v>166</v>
      </c>
      <c r="F137" s="38" t="s">
        <v>11</v>
      </c>
      <c r="G137" s="36" t="s">
        <v>68</v>
      </c>
      <c r="H137" s="36" t="s">
        <v>658</v>
      </c>
      <c r="I137" s="37" t="n">
        <v>199</v>
      </c>
      <c r="J137" s="37"/>
      <c r="K137" s="37" t="n">
        <v>0</v>
      </c>
      <c r="L137" s="37" t="n">
        <v>0</v>
      </c>
      <c r="M137" s="37"/>
      <c r="N137" s="37" t="n">
        <v>24</v>
      </c>
      <c r="O137" s="37" t="s">
        <v>888</v>
      </c>
      <c r="P137" s="37" t="s">
        <v>882</v>
      </c>
      <c r="Q137" s="37" t="s">
        <v>627</v>
      </c>
      <c r="R137" s="36" t="str">
        <f aca="false">IF(H137="Ya",IF(M137&lt;&gt;"","SUDAH PLOTTING","BELUM PLOTTING"),"-")</f>
        <v>-</v>
      </c>
      <c r="S137" s="37"/>
      <c r="T137" s="37"/>
    </row>
    <row r="138" customFormat="false" ht="15" hidden="false" customHeight="true" outlineLevel="0" collapsed="false">
      <c r="A138" s="36" t="s">
        <v>890</v>
      </c>
      <c r="B138" s="37" t="s">
        <v>59</v>
      </c>
      <c r="C138" s="37" t="s">
        <v>438</v>
      </c>
      <c r="D138" s="37" t="s">
        <v>891</v>
      </c>
      <c r="E138" s="36" t="s">
        <v>79</v>
      </c>
      <c r="F138" s="39" t="s">
        <v>7</v>
      </c>
      <c r="G138" s="36" t="s">
        <v>68</v>
      </c>
      <c r="H138" s="36" t="s">
        <v>68</v>
      </c>
      <c r="I138" s="37" t="n">
        <v>143</v>
      </c>
      <c r="J138" s="37"/>
      <c r="K138" s="37" t="n">
        <v>2</v>
      </c>
      <c r="L138" s="37" t="n">
        <v>0</v>
      </c>
      <c r="M138" s="37" t="s">
        <v>892</v>
      </c>
      <c r="N138" s="37" t="n">
        <v>1</v>
      </c>
      <c r="O138" s="37"/>
      <c r="P138" s="37" t="s">
        <v>893</v>
      </c>
      <c r="Q138" s="37" t="s">
        <v>627</v>
      </c>
      <c r="R138" s="36" t="str">
        <f aca="false">IF(H138="Ya",IF(M138&lt;&gt;"","SUDAH PLOTTING","BELUM PLOTTING"),"-")</f>
        <v>SUDAH PLOTTING</v>
      </c>
      <c r="S138" s="37" t="s">
        <v>58</v>
      </c>
      <c r="T138" s="37"/>
      <c r="U138" s="40" t="s">
        <v>692</v>
      </c>
      <c r="V138" s="40" t="s">
        <v>68</v>
      </c>
    </row>
    <row r="139" customFormat="false" ht="15" hidden="false" customHeight="true" outlineLevel="0" collapsed="false">
      <c r="A139" s="36" t="s">
        <v>894</v>
      </c>
      <c r="B139" s="37" t="s">
        <v>59</v>
      </c>
      <c r="C139" s="37" t="s">
        <v>438</v>
      </c>
      <c r="D139" s="37" t="s">
        <v>891</v>
      </c>
      <c r="E139" s="36" t="s">
        <v>88</v>
      </c>
      <c r="F139" s="39" t="s">
        <v>7</v>
      </c>
      <c r="G139" s="36" t="s">
        <v>68</v>
      </c>
      <c r="H139" s="36" t="s">
        <v>68</v>
      </c>
      <c r="I139" s="37" t="n">
        <v>121</v>
      </c>
      <c r="J139" s="37"/>
      <c r="K139" s="37" t="n">
        <v>1</v>
      </c>
      <c r="L139" s="37" t="n">
        <v>0</v>
      </c>
      <c r="M139" s="37" t="s">
        <v>892</v>
      </c>
      <c r="N139" s="37" t="n">
        <v>1</v>
      </c>
      <c r="O139" s="37"/>
      <c r="P139" s="37" t="s">
        <v>893</v>
      </c>
      <c r="Q139" s="37" t="s">
        <v>627</v>
      </c>
      <c r="R139" s="36" t="str">
        <f aca="false">IF(H139="Ya",IF(M139&lt;&gt;"","SUDAH PLOTTING","BELUM PLOTTING"),"-")</f>
        <v>SUDAH PLOTTING</v>
      </c>
      <c r="S139" s="37" t="s">
        <v>58</v>
      </c>
      <c r="T139" s="37"/>
      <c r="U139" s="40" t="s">
        <v>692</v>
      </c>
      <c r="V139" s="40" t="s">
        <v>68</v>
      </c>
    </row>
    <row r="140" customFormat="false" ht="15" hidden="false" customHeight="true" outlineLevel="0" collapsed="false">
      <c r="A140" s="36" t="s">
        <v>895</v>
      </c>
      <c r="B140" s="37" t="s">
        <v>59</v>
      </c>
      <c r="C140" s="37" t="s">
        <v>438</v>
      </c>
      <c r="D140" s="37" t="s">
        <v>891</v>
      </c>
      <c r="E140" s="36" t="s">
        <v>92</v>
      </c>
      <c r="F140" s="39" t="s">
        <v>7</v>
      </c>
      <c r="G140" s="36" t="s">
        <v>68</v>
      </c>
      <c r="H140" s="36" t="s">
        <v>68</v>
      </c>
      <c r="I140" s="37" t="n">
        <v>150</v>
      </c>
      <c r="J140" s="37"/>
      <c r="K140" s="37" t="n">
        <v>1</v>
      </c>
      <c r="L140" s="37" t="n">
        <v>0</v>
      </c>
      <c r="M140" s="37" t="s">
        <v>892</v>
      </c>
      <c r="N140" s="37" t="n">
        <v>1</v>
      </c>
      <c r="O140" s="37"/>
      <c r="P140" s="37" t="s">
        <v>893</v>
      </c>
      <c r="Q140" s="37" t="s">
        <v>627</v>
      </c>
      <c r="R140" s="36" t="str">
        <f aca="false">IF(H140="Ya",IF(M140&lt;&gt;"","SUDAH PLOTTING","BELUM PLOTTING"),"-")</f>
        <v>SUDAH PLOTTING</v>
      </c>
      <c r="S140" s="37" t="s">
        <v>58</v>
      </c>
      <c r="T140" s="37"/>
      <c r="U140" s="40" t="s">
        <v>692</v>
      </c>
      <c r="V140" s="40" t="s">
        <v>68</v>
      </c>
    </row>
    <row r="141" customFormat="false" ht="15" hidden="false" customHeight="true" outlineLevel="0" collapsed="false">
      <c r="A141" s="36" t="s">
        <v>896</v>
      </c>
      <c r="B141" s="37" t="s">
        <v>59</v>
      </c>
      <c r="C141" s="37" t="s">
        <v>438</v>
      </c>
      <c r="D141" s="37" t="s">
        <v>897</v>
      </c>
      <c r="E141" s="36" t="s">
        <v>79</v>
      </c>
      <c r="F141" s="38" t="s">
        <v>11</v>
      </c>
      <c r="G141" s="36" t="s">
        <v>68</v>
      </c>
      <c r="H141" s="36" t="s">
        <v>658</v>
      </c>
      <c r="I141" s="37" t="n">
        <v>140</v>
      </c>
      <c r="J141" s="37"/>
      <c r="K141" s="37" t="n">
        <v>0</v>
      </c>
      <c r="L141" s="37" t="n">
        <v>0</v>
      </c>
      <c r="M141" s="37"/>
      <c r="N141" s="37" t="n">
        <v>3</v>
      </c>
      <c r="O141" s="37" t="s">
        <v>898</v>
      </c>
      <c r="P141" s="37" t="s">
        <v>899</v>
      </c>
      <c r="Q141" s="37" t="s">
        <v>627</v>
      </c>
      <c r="R141" s="36" t="str">
        <f aca="false">IF(H141="Ya",IF(M141&lt;&gt;"","SUDAH PLOTTING","BELUM PLOTTING"),"-")</f>
        <v>-</v>
      </c>
      <c r="S141" s="37"/>
      <c r="T141" s="37"/>
    </row>
    <row r="142" customFormat="false" ht="15" hidden="false" customHeight="true" outlineLevel="0" collapsed="false">
      <c r="A142" s="36" t="s">
        <v>900</v>
      </c>
      <c r="B142" s="37" t="s">
        <v>59</v>
      </c>
      <c r="C142" s="37" t="s">
        <v>438</v>
      </c>
      <c r="D142" s="37" t="s">
        <v>897</v>
      </c>
      <c r="E142" s="36" t="s">
        <v>88</v>
      </c>
      <c r="F142" s="39" t="s">
        <v>7</v>
      </c>
      <c r="G142" s="36" t="s">
        <v>68</v>
      </c>
      <c r="H142" s="36" t="s">
        <v>68</v>
      </c>
      <c r="I142" s="37" t="n">
        <v>131</v>
      </c>
      <c r="J142" s="37"/>
      <c r="K142" s="37" t="n">
        <v>1</v>
      </c>
      <c r="L142" s="37" t="n">
        <v>0</v>
      </c>
      <c r="M142" s="37" t="s">
        <v>881</v>
      </c>
      <c r="N142" s="37" t="n">
        <v>3</v>
      </c>
      <c r="O142" s="37"/>
      <c r="P142" s="37" t="s">
        <v>899</v>
      </c>
      <c r="Q142" s="37" t="s">
        <v>627</v>
      </c>
      <c r="R142" s="36" t="str">
        <f aca="false">IF(H142="Ya",IF(M142&lt;&gt;"","SUDAH PLOTTING","BELUM PLOTTING"),"-")</f>
        <v>SUDAH PLOTTING</v>
      </c>
      <c r="S142" s="37" t="s">
        <v>58</v>
      </c>
      <c r="T142" s="37"/>
      <c r="U142" s="40" t="s">
        <v>692</v>
      </c>
      <c r="V142" s="40" t="s">
        <v>68</v>
      </c>
    </row>
    <row r="143" customFormat="false" ht="15" hidden="false" customHeight="true" outlineLevel="0" collapsed="false">
      <c r="A143" s="36" t="s">
        <v>901</v>
      </c>
      <c r="B143" s="37" t="s">
        <v>59</v>
      </c>
      <c r="C143" s="37" t="s">
        <v>438</v>
      </c>
      <c r="D143" s="37" t="s">
        <v>897</v>
      </c>
      <c r="E143" s="36" t="s">
        <v>92</v>
      </c>
      <c r="F143" s="38" t="s">
        <v>11</v>
      </c>
      <c r="G143" s="36" t="s">
        <v>68</v>
      </c>
      <c r="H143" s="36" t="s">
        <v>658</v>
      </c>
      <c r="I143" s="37" t="n">
        <v>115</v>
      </c>
      <c r="J143" s="37"/>
      <c r="K143" s="37" t="n">
        <v>0</v>
      </c>
      <c r="L143" s="37" t="n">
        <v>0</v>
      </c>
      <c r="M143" s="37"/>
      <c r="N143" s="37" t="n">
        <v>3</v>
      </c>
      <c r="O143" s="37" t="s">
        <v>898</v>
      </c>
      <c r="P143" s="37" t="s">
        <v>899</v>
      </c>
      <c r="Q143" s="37" t="s">
        <v>627</v>
      </c>
      <c r="R143" s="36" t="str">
        <f aca="false">IF(H143="Ya",IF(M143&lt;&gt;"","SUDAH PLOTTING","BELUM PLOTTING"),"-")</f>
        <v>-</v>
      </c>
      <c r="S143" s="37"/>
      <c r="T143" s="37"/>
    </row>
    <row r="144" customFormat="false" ht="15" hidden="false" customHeight="true" outlineLevel="0" collapsed="false">
      <c r="A144" s="36" t="s">
        <v>902</v>
      </c>
      <c r="B144" s="37" t="s">
        <v>59</v>
      </c>
      <c r="C144" s="37" t="s">
        <v>438</v>
      </c>
      <c r="D144" s="37" t="s">
        <v>897</v>
      </c>
      <c r="E144" s="36" t="s">
        <v>97</v>
      </c>
      <c r="F144" s="38" t="s">
        <v>11</v>
      </c>
      <c r="G144" s="36" t="s">
        <v>68</v>
      </c>
      <c r="H144" s="36" t="s">
        <v>658</v>
      </c>
      <c r="I144" s="37" t="n">
        <v>134</v>
      </c>
      <c r="J144" s="37"/>
      <c r="K144" s="37" t="n">
        <v>0</v>
      </c>
      <c r="L144" s="37" t="n">
        <v>0</v>
      </c>
      <c r="M144" s="37"/>
      <c r="N144" s="37" t="n">
        <v>3</v>
      </c>
      <c r="O144" s="37" t="s">
        <v>898</v>
      </c>
      <c r="P144" s="37" t="s">
        <v>899</v>
      </c>
      <c r="Q144" s="37" t="s">
        <v>627</v>
      </c>
      <c r="R144" s="36" t="str">
        <f aca="false">IF(H144="Ya",IF(M144&lt;&gt;"","SUDAH PLOTTING","BELUM PLOTTING"),"-")</f>
        <v>-</v>
      </c>
      <c r="S144" s="37"/>
      <c r="T144" s="37"/>
    </row>
    <row r="145" customFormat="false" ht="15" hidden="false" customHeight="true" outlineLevel="0" collapsed="false">
      <c r="A145" s="36" t="s">
        <v>903</v>
      </c>
      <c r="B145" s="37" t="s">
        <v>59</v>
      </c>
      <c r="C145" s="37" t="s">
        <v>438</v>
      </c>
      <c r="D145" s="37" t="s">
        <v>904</v>
      </c>
      <c r="E145" s="36" t="s">
        <v>79</v>
      </c>
      <c r="F145" s="38" t="s">
        <v>11</v>
      </c>
      <c r="G145" s="36" t="s">
        <v>68</v>
      </c>
      <c r="H145" s="36" t="s">
        <v>658</v>
      </c>
      <c r="I145" s="37" t="n">
        <v>123</v>
      </c>
      <c r="J145" s="37"/>
      <c r="K145" s="37" t="n">
        <v>0</v>
      </c>
      <c r="L145" s="37" t="n">
        <v>0</v>
      </c>
      <c r="M145" s="37"/>
      <c r="N145" s="37"/>
      <c r="O145" s="37" t="s">
        <v>659</v>
      </c>
      <c r="P145" s="37" t="s">
        <v>905</v>
      </c>
      <c r="Q145" s="37" t="s">
        <v>627</v>
      </c>
      <c r="R145" s="36" t="str">
        <f aca="false">IF(H145="Ya",IF(M145&lt;&gt;"","SUDAH PLOTTING","BELUM PLOTTING"),"-")</f>
        <v>-</v>
      </c>
      <c r="S145" s="37"/>
      <c r="T145" s="37"/>
    </row>
    <row r="146" customFormat="false" ht="15" hidden="false" customHeight="true" outlineLevel="0" collapsed="false">
      <c r="A146" s="36" t="s">
        <v>906</v>
      </c>
      <c r="B146" s="37" t="s">
        <v>59</v>
      </c>
      <c r="C146" s="37" t="s">
        <v>438</v>
      </c>
      <c r="D146" s="37" t="s">
        <v>904</v>
      </c>
      <c r="E146" s="36" t="s">
        <v>88</v>
      </c>
      <c r="F146" s="38" t="s">
        <v>11</v>
      </c>
      <c r="G146" s="36" t="s">
        <v>68</v>
      </c>
      <c r="H146" s="36" t="s">
        <v>658</v>
      </c>
      <c r="I146" s="37" t="n">
        <v>122</v>
      </c>
      <c r="J146" s="37"/>
      <c r="K146" s="37" t="n">
        <v>0</v>
      </c>
      <c r="L146" s="37" t="n">
        <v>0</v>
      </c>
      <c r="M146" s="37"/>
      <c r="N146" s="37"/>
      <c r="O146" s="37" t="s">
        <v>659</v>
      </c>
      <c r="P146" s="37" t="s">
        <v>905</v>
      </c>
      <c r="Q146" s="37" t="s">
        <v>627</v>
      </c>
      <c r="R146" s="36" t="str">
        <f aca="false">IF(H146="Ya",IF(M146&lt;&gt;"","SUDAH PLOTTING","BELUM PLOTTING"),"-")</f>
        <v>-</v>
      </c>
      <c r="S146" s="37"/>
      <c r="T146" s="37"/>
    </row>
    <row r="147" customFormat="false" ht="15" hidden="false" customHeight="true" outlineLevel="0" collapsed="false">
      <c r="A147" s="36" t="s">
        <v>907</v>
      </c>
      <c r="B147" s="37" t="s">
        <v>59</v>
      </c>
      <c r="C147" s="37" t="s">
        <v>438</v>
      </c>
      <c r="D147" s="37" t="s">
        <v>908</v>
      </c>
      <c r="E147" s="36" t="s">
        <v>79</v>
      </c>
      <c r="F147" s="38" t="s">
        <v>11</v>
      </c>
      <c r="G147" s="36" t="s">
        <v>68</v>
      </c>
      <c r="H147" s="36" t="s">
        <v>658</v>
      </c>
      <c r="I147" s="37" t="n">
        <v>137</v>
      </c>
      <c r="J147" s="37"/>
      <c r="K147" s="37" t="n">
        <v>0</v>
      </c>
      <c r="L147" s="37" t="n">
        <v>0</v>
      </c>
      <c r="M147" s="37"/>
      <c r="N147" s="37"/>
      <c r="O147" s="37" t="s">
        <v>659</v>
      </c>
      <c r="P147" s="37" t="s">
        <v>909</v>
      </c>
      <c r="Q147" s="37" t="s">
        <v>627</v>
      </c>
      <c r="R147" s="36" t="str">
        <f aca="false">IF(H147="Ya",IF(M147&lt;&gt;"","SUDAH PLOTTING","BELUM PLOTTING"),"-")</f>
        <v>-</v>
      </c>
      <c r="S147" s="37"/>
      <c r="T147" s="37"/>
    </row>
    <row r="148" customFormat="false" ht="15" hidden="false" customHeight="true" outlineLevel="0" collapsed="false">
      <c r="A148" s="36" t="s">
        <v>910</v>
      </c>
      <c r="B148" s="37" t="s">
        <v>59</v>
      </c>
      <c r="C148" s="37" t="s">
        <v>438</v>
      </c>
      <c r="D148" s="37" t="s">
        <v>908</v>
      </c>
      <c r="E148" s="36" t="s">
        <v>88</v>
      </c>
      <c r="F148" s="38" t="s">
        <v>11</v>
      </c>
      <c r="G148" s="36" t="s">
        <v>68</v>
      </c>
      <c r="H148" s="36" t="s">
        <v>658</v>
      </c>
      <c r="I148" s="37" t="n">
        <v>167</v>
      </c>
      <c r="J148" s="37"/>
      <c r="K148" s="37" t="n">
        <v>0</v>
      </c>
      <c r="L148" s="37" t="n">
        <v>0</v>
      </c>
      <c r="M148" s="37"/>
      <c r="N148" s="37"/>
      <c r="O148" s="37" t="s">
        <v>659</v>
      </c>
      <c r="P148" s="37" t="s">
        <v>909</v>
      </c>
      <c r="Q148" s="37" t="s">
        <v>627</v>
      </c>
      <c r="R148" s="36" t="str">
        <f aca="false">IF(H148="Ya",IF(M148&lt;&gt;"","SUDAH PLOTTING","BELUM PLOTTING"),"-")</f>
        <v>-</v>
      </c>
      <c r="S148" s="37"/>
      <c r="T148" s="37"/>
    </row>
    <row r="149" customFormat="false" ht="15" hidden="false" customHeight="true" outlineLevel="0" collapsed="false">
      <c r="A149" s="36" t="s">
        <v>911</v>
      </c>
      <c r="B149" s="37" t="s">
        <v>59</v>
      </c>
      <c r="C149" s="37" t="s">
        <v>438</v>
      </c>
      <c r="D149" s="37" t="s">
        <v>908</v>
      </c>
      <c r="E149" s="36" t="s">
        <v>92</v>
      </c>
      <c r="F149" s="38" t="s">
        <v>11</v>
      </c>
      <c r="G149" s="36" t="s">
        <v>68</v>
      </c>
      <c r="H149" s="36" t="s">
        <v>658</v>
      </c>
      <c r="I149" s="37" t="n">
        <v>156</v>
      </c>
      <c r="J149" s="37"/>
      <c r="K149" s="37" t="n">
        <v>0</v>
      </c>
      <c r="L149" s="37" t="n">
        <v>0</v>
      </c>
      <c r="M149" s="37"/>
      <c r="N149" s="37"/>
      <c r="O149" s="37" t="s">
        <v>659</v>
      </c>
      <c r="P149" s="37" t="s">
        <v>909</v>
      </c>
      <c r="Q149" s="37" t="s">
        <v>627</v>
      </c>
      <c r="R149" s="36" t="str">
        <f aca="false">IF(H149="Ya",IF(M149&lt;&gt;"","SUDAH PLOTTING","BELUM PLOTTING"),"-")</f>
        <v>-</v>
      </c>
      <c r="S149" s="37"/>
      <c r="T149" s="37"/>
    </row>
    <row r="150" customFormat="false" ht="15" hidden="false" customHeight="true" outlineLevel="0" collapsed="false">
      <c r="A150" s="36" t="s">
        <v>912</v>
      </c>
      <c r="B150" s="37" t="s">
        <v>59</v>
      </c>
      <c r="C150" s="37" t="s">
        <v>438</v>
      </c>
      <c r="D150" s="37" t="s">
        <v>913</v>
      </c>
      <c r="E150" s="36" t="s">
        <v>79</v>
      </c>
      <c r="F150" s="39" t="s">
        <v>7</v>
      </c>
      <c r="G150" s="36" t="s">
        <v>68</v>
      </c>
      <c r="H150" s="36" t="s">
        <v>68</v>
      </c>
      <c r="I150" s="37" t="n">
        <v>163</v>
      </c>
      <c r="J150" s="37"/>
      <c r="K150" s="37" t="n">
        <v>1</v>
      </c>
      <c r="L150" s="37" t="n">
        <v>0</v>
      </c>
      <c r="M150" s="37" t="s">
        <v>892</v>
      </c>
      <c r="N150" s="37"/>
      <c r="O150" s="37"/>
      <c r="P150" s="37" t="s">
        <v>914</v>
      </c>
      <c r="Q150" s="37" t="s">
        <v>627</v>
      </c>
      <c r="R150" s="36" t="str">
        <f aca="false">IF(H150="Ya",IF(M150&lt;&gt;"","SUDAH PLOTTING","BELUM PLOTTING"),"-")</f>
        <v>SUDAH PLOTTING</v>
      </c>
      <c r="S150" s="37" t="s">
        <v>58</v>
      </c>
      <c r="T150" s="37"/>
      <c r="U150" s="40" t="s">
        <v>692</v>
      </c>
      <c r="V150" s="40" t="s">
        <v>68</v>
      </c>
    </row>
    <row r="151" customFormat="false" ht="15" hidden="false" customHeight="true" outlineLevel="0" collapsed="false">
      <c r="A151" s="36" t="s">
        <v>915</v>
      </c>
      <c r="B151" s="37" t="s">
        <v>59</v>
      </c>
      <c r="C151" s="37" t="s">
        <v>438</v>
      </c>
      <c r="D151" s="37" t="s">
        <v>913</v>
      </c>
      <c r="E151" s="36" t="s">
        <v>88</v>
      </c>
      <c r="F151" s="38" t="s">
        <v>11</v>
      </c>
      <c r="G151" s="36" t="s">
        <v>68</v>
      </c>
      <c r="H151" s="36" t="s">
        <v>658</v>
      </c>
      <c r="I151" s="37" t="n">
        <v>171</v>
      </c>
      <c r="J151" s="37"/>
      <c r="K151" s="37" t="n">
        <v>0</v>
      </c>
      <c r="L151" s="37" t="n">
        <v>1</v>
      </c>
      <c r="M151" s="37"/>
      <c r="N151" s="37"/>
      <c r="O151" s="37" t="s">
        <v>916</v>
      </c>
      <c r="P151" s="37" t="s">
        <v>914</v>
      </c>
      <c r="Q151" s="37" t="s">
        <v>627</v>
      </c>
      <c r="R151" s="36" t="str">
        <f aca="false">IF(H151="Ya",IF(M151&lt;&gt;"","SUDAH PLOTTING","BELUM PLOTTING"),"-")</f>
        <v>-</v>
      </c>
      <c r="S151" s="37"/>
      <c r="T151" s="37"/>
    </row>
    <row r="152" customFormat="false" ht="15" hidden="false" customHeight="true" outlineLevel="0" collapsed="false">
      <c r="A152" s="36" t="s">
        <v>917</v>
      </c>
      <c r="B152" s="37" t="s">
        <v>59</v>
      </c>
      <c r="C152" s="37" t="s">
        <v>438</v>
      </c>
      <c r="D152" s="37" t="s">
        <v>918</v>
      </c>
      <c r="E152" s="36" t="s">
        <v>79</v>
      </c>
      <c r="F152" s="39" t="s">
        <v>7</v>
      </c>
      <c r="G152" s="36" t="s">
        <v>68</v>
      </c>
      <c r="H152" s="36" t="s">
        <v>68</v>
      </c>
      <c r="I152" s="37" t="n">
        <v>161</v>
      </c>
      <c r="J152" s="37"/>
      <c r="K152" s="37" t="n">
        <v>1</v>
      </c>
      <c r="L152" s="37" t="n">
        <v>0</v>
      </c>
      <c r="M152" s="37" t="s">
        <v>881</v>
      </c>
      <c r="N152" s="37"/>
      <c r="O152" s="37"/>
      <c r="P152" s="37" t="s">
        <v>919</v>
      </c>
      <c r="Q152" s="37" t="s">
        <v>627</v>
      </c>
      <c r="R152" s="36" t="str">
        <f aca="false">IF(H152="Ya",IF(M152&lt;&gt;"","SUDAH PLOTTING","BELUM PLOTTING"),"-")</f>
        <v>SUDAH PLOTTING</v>
      </c>
      <c r="S152" s="37" t="s">
        <v>58</v>
      </c>
      <c r="T152" s="37"/>
      <c r="U152" s="40" t="s">
        <v>692</v>
      </c>
      <c r="V152" s="40" t="s">
        <v>68</v>
      </c>
    </row>
    <row r="153" customFormat="false" ht="15" hidden="false" customHeight="true" outlineLevel="0" collapsed="false">
      <c r="A153" s="36" t="s">
        <v>920</v>
      </c>
      <c r="B153" s="37" t="s">
        <v>59</v>
      </c>
      <c r="C153" s="37" t="s">
        <v>438</v>
      </c>
      <c r="D153" s="37" t="s">
        <v>918</v>
      </c>
      <c r="E153" s="36" t="s">
        <v>88</v>
      </c>
      <c r="F153" s="39" t="s">
        <v>7</v>
      </c>
      <c r="G153" s="36" t="s">
        <v>68</v>
      </c>
      <c r="H153" s="36" t="s">
        <v>68</v>
      </c>
      <c r="I153" s="37" t="n">
        <v>158</v>
      </c>
      <c r="J153" s="37"/>
      <c r="K153" s="37" t="n">
        <v>1</v>
      </c>
      <c r="L153" s="37" t="n">
        <v>0</v>
      </c>
      <c r="M153" s="37" t="s">
        <v>881</v>
      </c>
      <c r="N153" s="37"/>
      <c r="O153" s="37"/>
      <c r="P153" s="37" t="s">
        <v>919</v>
      </c>
      <c r="Q153" s="37" t="s">
        <v>627</v>
      </c>
      <c r="R153" s="36" t="str">
        <f aca="false">IF(H153="Ya",IF(M153&lt;&gt;"","SUDAH PLOTTING","BELUM PLOTTING"),"-")</f>
        <v>SUDAH PLOTTING</v>
      </c>
      <c r="S153" s="37" t="s">
        <v>58</v>
      </c>
      <c r="T153" s="37"/>
      <c r="U153" s="40" t="s">
        <v>692</v>
      </c>
      <c r="V153" s="40" t="s">
        <v>68</v>
      </c>
    </row>
    <row r="154" customFormat="false" ht="15" hidden="false" customHeight="true" outlineLevel="0" collapsed="false">
      <c r="A154" s="36" t="s">
        <v>921</v>
      </c>
      <c r="B154" s="37" t="s">
        <v>59</v>
      </c>
      <c r="C154" s="37" t="s">
        <v>438</v>
      </c>
      <c r="D154" s="37" t="s">
        <v>918</v>
      </c>
      <c r="E154" s="36" t="s">
        <v>92</v>
      </c>
      <c r="F154" s="38" t="s">
        <v>11</v>
      </c>
      <c r="G154" s="36" t="s">
        <v>68</v>
      </c>
      <c r="H154" s="36" t="s">
        <v>658</v>
      </c>
      <c r="I154" s="37" t="n">
        <v>115</v>
      </c>
      <c r="J154" s="37"/>
      <c r="K154" s="37" t="n">
        <v>0</v>
      </c>
      <c r="L154" s="37" t="n">
        <v>1</v>
      </c>
      <c r="M154" s="37"/>
      <c r="N154" s="37"/>
      <c r="O154" s="37" t="s">
        <v>916</v>
      </c>
      <c r="P154" s="37" t="s">
        <v>919</v>
      </c>
      <c r="Q154" s="37" t="s">
        <v>627</v>
      </c>
      <c r="R154" s="36" t="str">
        <f aca="false">IF(H154="Ya",IF(M154&lt;&gt;"","SUDAH PLOTTING","BELUM PLOTTING"),"-")</f>
        <v>-</v>
      </c>
      <c r="S154" s="37"/>
      <c r="T154" s="37"/>
    </row>
    <row r="155" customFormat="false" ht="15" hidden="false" customHeight="true" outlineLevel="0" collapsed="false">
      <c r="A155" s="36" t="s">
        <v>922</v>
      </c>
      <c r="B155" s="37" t="s">
        <v>59</v>
      </c>
      <c r="C155" s="37" t="s">
        <v>438</v>
      </c>
      <c r="D155" s="37" t="s">
        <v>918</v>
      </c>
      <c r="E155" s="36" t="s">
        <v>97</v>
      </c>
      <c r="F155" s="38" t="s">
        <v>11</v>
      </c>
      <c r="G155" s="36" t="s">
        <v>68</v>
      </c>
      <c r="H155" s="36" t="s">
        <v>658</v>
      </c>
      <c r="I155" s="37" t="n">
        <v>160</v>
      </c>
      <c r="J155" s="37"/>
      <c r="K155" s="37" t="n">
        <v>0</v>
      </c>
      <c r="L155" s="37" t="n">
        <v>0</v>
      </c>
      <c r="M155" s="37"/>
      <c r="N155" s="37"/>
      <c r="O155" s="37" t="s">
        <v>659</v>
      </c>
      <c r="P155" s="37" t="s">
        <v>919</v>
      </c>
      <c r="Q155" s="37" t="s">
        <v>627</v>
      </c>
      <c r="R155" s="36" t="str">
        <f aca="false">IF(H155="Ya",IF(M155&lt;&gt;"","SUDAH PLOTTING","BELUM PLOTTING"),"-")</f>
        <v>-</v>
      </c>
      <c r="S155" s="37"/>
      <c r="T155" s="37"/>
    </row>
    <row r="156" customFormat="false" ht="15" hidden="false" customHeight="true" outlineLevel="0" collapsed="false">
      <c r="A156" s="36" t="s">
        <v>923</v>
      </c>
      <c r="B156" s="37" t="s">
        <v>59</v>
      </c>
      <c r="C156" s="37" t="s">
        <v>438</v>
      </c>
      <c r="D156" s="37" t="s">
        <v>918</v>
      </c>
      <c r="E156" s="36" t="s">
        <v>103</v>
      </c>
      <c r="F156" s="38" t="s">
        <v>11</v>
      </c>
      <c r="G156" s="36" t="s">
        <v>68</v>
      </c>
      <c r="H156" s="36" t="s">
        <v>658</v>
      </c>
      <c r="I156" s="37" t="n">
        <v>176</v>
      </c>
      <c r="J156" s="37"/>
      <c r="K156" s="37" t="n">
        <v>0</v>
      </c>
      <c r="L156" s="37" t="n">
        <v>0</v>
      </c>
      <c r="M156" s="37"/>
      <c r="N156" s="37"/>
      <c r="O156" s="37" t="s">
        <v>659</v>
      </c>
      <c r="P156" s="37" t="s">
        <v>919</v>
      </c>
      <c r="Q156" s="37" t="s">
        <v>627</v>
      </c>
      <c r="R156" s="36" t="str">
        <f aca="false">IF(H156="Ya",IF(M156&lt;&gt;"","SUDAH PLOTTING","BELUM PLOTTING"),"-")</f>
        <v>-</v>
      </c>
      <c r="S156" s="37"/>
      <c r="T156" s="37"/>
    </row>
    <row r="157" customFormat="false" ht="15" hidden="false" customHeight="true" outlineLevel="0" collapsed="false">
      <c r="A157" s="36" t="s">
        <v>924</v>
      </c>
      <c r="B157" s="37" t="s">
        <v>601</v>
      </c>
      <c r="C157" s="37" t="s">
        <v>441</v>
      </c>
      <c r="D157" s="37" t="s">
        <v>925</v>
      </c>
      <c r="E157" s="36" t="s">
        <v>62</v>
      </c>
      <c r="F157" s="38" t="s">
        <v>11</v>
      </c>
      <c r="G157" s="36" t="s">
        <v>68</v>
      </c>
      <c r="H157" s="36" t="s">
        <v>658</v>
      </c>
      <c r="I157" s="37" t="n">
        <v>128</v>
      </c>
      <c r="J157" s="37"/>
      <c r="K157" s="37" t="n">
        <v>0</v>
      </c>
      <c r="L157" s="37" t="n">
        <v>0</v>
      </c>
      <c r="M157" s="37"/>
      <c r="N157" s="37"/>
      <c r="O157" s="37" t="s">
        <v>659</v>
      </c>
      <c r="P157" s="37" t="s">
        <v>926</v>
      </c>
      <c r="Q157" s="37" t="s">
        <v>607</v>
      </c>
      <c r="R157" s="36" t="str">
        <f aca="false">IF(H157="Ya",IF(M157&lt;&gt;"","SUDAH PLOTTING","BELUM PLOTTING"),"-")</f>
        <v>-</v>
      </c>
      <c r="S157" s="37"/>
      <c r="T157" s="37"/>
    </row>
    <row r="158" customFormat="false" ht="15" hidden="false" customHeight="true" outlineLevel="0" collapsed="false">
      <c r="A158" s="36" t="s">
        <v>927</v>
      </c>
      <c r="B158" s="37" t="s">
        <v>601</v>
      </c>
      <c r="C158" s="37" t="s">
        <v>441</v>
      </c>
      <c r="D158" s="37" t="s">
        <v>928</v>
      </c>
      <c r="E158" s="36" t="s">
        <v>62</v>
      </c>
      <c r="F158" s="38" t="s">
        <v>11</v>
      </c>
      <c r="G158" s="36" t="s">
        <v>68</v>
      </c>
      <c r="H158" s="36" t="s">
        <v>658</v>
      </c>
      <c r="I158" s="37" t="n">
        <v>220</v>
      </c>
      <c r="J158" s="37"/>
      <c r="K158" s="37" t="n">
        <v>0</v>
      </c>
      <c r="L158" s="37" t="n">
        <v>0</v>
      </c>
      <c r="M158" s="37"/>
      <c r="N158" s="37"/>
      <c r="O158" s="37" t="s">
        <v>659</v>
      </c>
      <c r="P158" s="37" t="s">
        <v>929</v>
      </c>
      <c r="Q158" s="37" t="s">
        <v>607</v>
      </c>
      <c r="R158" s="36" t="str">
        <f aca="false">IF(H158="Ya",IF(M158&lt;&gt;"","SUDAH PLOTTING","BELUM PLOTTING"),"-")</f>
        <v>-</v>
      </c>
      <c r="S158" s="37"/>
      <c r="T158" s="37"/>
    </row>
    <row r="159" customFormat="false" ht="15" hidden="false" customHeight="true" outlineLevel="0" collapsed="false">
      <c r="A159" s="36" t="s">
        <v>930</v>
      </c>
      <c r="B159" s="37" t="s">
        <v>601</v>
      </c>
      <c r="C159" s="37" t="s">
        <v>441</v>
      </c>
      <c r="D159" s="37" t="s">
        <v>931</v>
      </c>
      <c r="E159" s="36" t="s">
        <v>79</v>
      </c>
      <c r="F159" s="38" t="s">
        <v>11</v>
      </c>
      <c r="G159" s="36" t="s">
        <v>68</v>
      </c>
      <c r="H159" s="36" t="s">
        <v>658</v>
      </c>
      <c r="I159" s="37" t="n">
        <v>165</v>
      </c>
      <c r="J159" s="37"/>
      <c r="K159" s="37" t="n">
        <v>0</v>
      </c>
      <c r="L159" s="37" t="n">
        <v>0</v>
      </c>
      <c r="M159" s="37"/>
      <c r="N159" s="37"/>
      <c r="O159" s="37" t="s">
        <v>659</v>
      </c>
      <c r="P159" s="37" t="s">
        <v>932</v>
      </c>
      <c r="Q159" s="37" t="s">
        <v>607</v>
      </c>
      <c r="R159" s="36" t="str">
        <f aca="false">IF(H159="Ya",IF(M159&lt;&gt;"","SUDAH PLOTTING","BELUM PLOTTING"),"-")</f>
        <v>-</v>
      </c>
      <c r="S159" s="37"/>
      <c r="T159" s="37"/>
    </row>
    <row r="160" customFormat="false" ht="15" hidden="false" customHeight="true" outlineLevel="0" collapsed="false">
      <c r="A160" s="36" t="s">
        <v>933</v>
      </c>
      <c r="B160" s="37" t="s">
        <v>601</v>
      </c>
      <c r="C160" s="37" t="s">
        <v>441</v>
      </c>
      <c r="D160" s="37" t="s">
        <v>931</v>
      </c>
      <c r="E160" s="36" t="s">
        <v>88</v>
      </c>
      <c r="F160" s="38" t="s">
        <v>11</v>
      </c>
      <c r="G160" s="36" t="s">
        <v>68</v>
      </c>
      <c r="H160" s="36" t="s">
        <v>658</v>
      </c>
      <c r="I160" s="37" t="n">
        <v>119</v>
      </c>
      <c r="J160" s="37"/>
      <c r="K160" s="37" t="n">
        <v>0</v>
      </c>
      <c r="L160" s="37" t="n">
        <v>0</v>
      </c>
      <c r="M160" s="37"/>
      <c r="N160" s="37"/>
      <c r="O160" s="37" t="s">
        <v>659</v>
      </c>
      <c r="P160" s="37" t="s">
        <v>932</v>
      </c>
      <c r="Q160" s="37" t="s">
        <v>607</v>
      </c>
      <c r="R160" s="36" t="str">
        <f aca="false">IF(H160="Ya",IF(M160&lt;&gt;"","SUDAH PLOTTING","BELUM PLOTTING"),"-")</f>
        <v>-</v>
      </c>
      <c r="S160" s="37"/>
      <c r="T160" s="37"/>
    </row>
    <row r="161" customFormat="false" ht="15" hidden="false" customHeight="true" outlineLevel="0" collapsed="false">
      <c r="A161" s="36" t="s">
        <v>934</v>
      </c>
      <c r="B161" s="37" t="s">
        <v>601</v>
      </c>
      <c r="C161" s="37" t="s">
        <v>441</v>
      </c>
      <c r="D161" s="37" t="s">
        <v>935</v>
      </c>
      <c r="E161" s="36" t="s">
        <v>79</v>
      </c>
      <c r="F161" s="38" t="s">
        <v>11</v>
      </c>
      <c r="G161" s="36" t="s">
        <v>68</v>
      </c>
      <c r="H161" s="36" t="s">
        <v>658</v>
      </c>
      <c r="I161" s="37" t="n">
        <v>111</v>
      </c>
      <c r="J161" s="37"/>
      <c r="K161" s="37" t="n">
        <v>0</v>
      </c>
      <c r="L161" s="37" t="n">
        <v>0</v>
      </c>
      <c r="M161" s="37"/>
      <c r="N161" s="37"/>
      <c r="O161" s="37" t="s">
        <v>659</v>
      </c>
      <c r="P161" s="37" t="s">
        <v>936</v>
      </c>
      <c r="Q161" s="37" t="s">
        <v>607</v>
      </c>
      <c r="R161" s="36" t="str">
        <f aca="false">IF(H161="Ya",IF(M161&lt;&gt;"","SUDAH PLOTTING","BELUM PLOTTING"),"-")</f>
        <v>-</v>
      </c>
      <c r="S161" s="37"/>
      <c r="T161" s="37"/>
    </row>
    <row r="162" customFormat="false" ht="15" hidden="false" customHeight="true" outlineLevel="0" collapsed="false">
      <c r="A162" s="36" t="s">
        <v>937</v>
      </c>
      <c r="B162" s="37" t="s">
        <v>601</v>
      </c>
      <c r="C162" s="37" t="s">
        <v>441</v>
      </c>
      <c r="D162" s="37" t="s">
        <v>935</v>
      </c>
      <c r="E162" s="36" t="s">
        <v>88</v>
      </c>
      <c r="F162" s="38" t="s">
        <v>11</v>
      </c>
      <c r="G162" s="36" t="s">
        <v>68</v>
      </c>
      <c r="H162" s="36" t="s">
        <v>658</v>
      </c>
      <c r="I162" s="37" t="n">
        <v>122</v>
      </c>
      <c r="J162" s="37"/>
      <c r="K162" s="37" t="n">
        <v>0</v>
      </c>
      <c r="L162" s="37" t="n">
        <v>0</v>
      </c>
      <c r="M162" s="37"/>
      <c r="N162" s="37"/>
      <c r="O162" s="37" t="s">
        <v>659</v>
      </c>
      <c r="P162" s="37" t="s">
        <v>936</v>
      </c>
      <c r="Q162" s="37" t="s">
        <v>607</v>
      </c>
      <c r="R162" s="36" t="str">
        <f aca="false">IF(H162="Ya",IF(M162&lt;&gt;"","SUDAH PLOTTING","BELUM PLOTTING"),"-")</f>
        <v>-</v>
      </c>
      <c r="S162" s="37"/>
      <c r="T162" s="37"/>
    </row>
    <row r="163" customFormat="false" ht="15" hidden="false" customHeight="true" outlineLevel="0" collapsed="false">
      <c r="A163" s="36" t="s">
        <v>938</v>
      </c>
      <c r="B163" s="37" t="s">
        <v>601</v>
      </c>
      <c r="C163" s="37" t="s">
        <v>441</v>
      </c>
      <c r="D163" s="37" t="s">
        <v>939</v>
      </c>
      <c r="E163" s="36" t="s">
        <v>79</v>
      </c>
      <c r="F163" s="38" t="s">
        <v>11</v>
      </c>
      <c r="G163" s="36" t="s">
        <v>68</v>
      </c>
      <c r="H163" s="36" t="s">
        <v>658</v>
      </c>
      <c r="I163" s="37" t="n">
        <v>175</v>
      </c>
      <c r="J163" s="37"/>
      <c r="K163" s="37" t="n">
        <v>0</v>
      </c>
      <c r="L163" s="37" t="n">
        <v>0</v>
      </c>
      <c r="M163" s="37"/>
      <c r="N163" s="37"/>
      <c r="O163" s="37" t="s">
        <v>659</v>
      </c>
      <c r="P163" s="37" t="s">
        <v>940</v>
      </c>
      <c r="Q163" s="37" t="s">
        <v>607</v>
      </c>
      <c r="R163" s="36" t="str">
        <f aca="false">IF(H163="Ya",IF(M163&lt;&gt;"","SUDAH PLOTTING","BELUM PLOTTING"),"-")</f>
        <v>-</v>
      </c>
      <c r="S163" s="37"/>
      <c r="T163" s="37"/>
    </row>
    <row r="164" customFormat="false" ht="15" hidden="false" customHeight="true" outlineLevel="0" collapsed="false">
      <c r="A164" s="36" t="s">
        <v>941</v>
      </c>
      <c r="B164" s="37" t="s">
        <v>601</v>
      </c>
      <c r="C164" s="37" t="s">
        <v>441</v>
      </c>
      <c r="D164" s="37" t="s">
        <v>939</v>
      </c>
      <c r="E164" s="36" t="s">
        <v>88</v>
      </c>
      <c r="F164" s="38" t="s">
        <v>11</v>
      </c>
      <c r="G164" s="36" t="s">
        <v>68</v>
      </c>
      <c r="H164" s="36" t="s">
        <v>658</v>
      </c>
      <c r="I164" s="37" t="n">
        <v>151</v>
      </c>
      <c r="J164" s="37"/>
      <c r="K164" s="37" t="n">
        <v>0</v>
      </c>
      <c r="L164" s="37" t="n">
        <v>0</v>
      </c>
      <c r="M164" s="37"/>
      <c r="N164" s="37"/>
      <c r="O164" s="37" t="s">
        <v>659</v>
      </c>
      <c r="P164" s="37" t="s">
        <v>940</v>
      </c>
      <c r="Q164" s="37" t="s">
        <v>607</v>
      </c>
      <c r="R164" s="36" t="str">
        <f aca="false">IF(H164="Ya",IF(M164&lt;&gt;"","SUDAH PLOTTING","BELUM PLOTTING"),"-")</f>
        <v>-</v>
      </c>
      <c r="S164" s="37"/>
      <c r="T164" s="37"/>
    </row>
    <row r="165" customFormat="false" ht="15" hidden="false" customHeight="true" outlineLevel="0" collapsed="false">
      <c r="A165" s="36" t="s">
        <v>942</v>
      </c>
      <c r="B165" s="37" t="s">
        <v>601</v>
      </c>
      <c r="C165" s="37" t="s">
        <v>441</v>
      </c>
      <c r="D165" s="37" t="s">
        <v>943</v>
      </c>
      <c r="E165" s="36" t="s">
        <v>79</v>
      </c>
      <c r="F165" s="38" t="s">
        <v>11</v>
      </c>
      <c r="G165" s="36" t="s">
        <v>68</v>
      </c>
      <c r="H165" s="36" t="s">
        <v>658</v>
      </c>
      <c r="I165" s="37" t="n">
        <v>111</v>
      </c>
      <c r="J165" s="37"/>
      <c r="K165" s="37" t="n">
        <v>0</v>
      </c>
      <c r="L165" s="37" t="n">
        <v>0</v>
      </c>
      <c r="M165" s="37"/>
      <c r="N165" s="37"/>
      <c r="O165" s="37" t="s">
        <v>659</v>
      </c>
      <c r="P165" s="37" t="s">
        <v>944</v>
      </c>
      <c r="Q165" s="37" t="s">
        <v>607</v>
      </c>
      <c r="R165" s="36" t="str">
        <f aca="false">IF(H165="Ya",IF(M165&lt;&gt;"","SUDAH PLOTTING","BELUM PLOTTING"),"-")</f>
        <v>-</v>
      </c>
      <c r="S165" s="37"/>
      <c r="T165" s="37"/>
    </row>
    <row r="166" customFormat="false" ht="15" hidden="false" customHeight="true" outlineLevel="0" collapsed="false">
      <c r="A166" s="36" t="s">
        <v>945</v>
      </c>
      <c r="B166" s="37" t="s">
        <v>601</v>
      </c>
      <c r="C166" s="37" t="s">
        <v>441</v>
      </c>
      <c r="D166" s="37" t="s">
        <v>943</v>
      </c>
      <c r="E166" s="36" t="s">
        <v>88</v>
      </c>
      <c r="F166" s="38" t="s">
        <v>11</v>
      </c>
      <c r="G166" s="36" t="s">
        <v>68</v>
      </c>
      <c r="H166" s="36" t="s">
        <v>658</v>
      </c>
      <c r="I166" s="37" t="n">
        <v>147</v>
      </c>
      <c r="J166" s="37"/>
      <c r="K166" s="37" t="n">
        <v>0</v>
      </c>
      <c r="L166" s="37" t="n">
        <v>0</v>
      </c>
      <c r="M166" s="37"/>
      <c r="N166" s="37"/>
      <c r="O166" s="37" t="s">
        <v>659</v>
      </c>
      <c r="P166" s="37" t="s">
        <v>944</v>
      </c>
      <c r="Q166" s="37" t="s">
        <v>607</v>
      </c>
      <c r="R166" s="36" t="str">
        <f aca="false">IF(H166="Ya",IF(M166&lt;&gt;"","SUDAH PLOTTING","BELUM PLOTTING"),"-")</f>
        <v>-</v>
      </c>
      <c r="S166" s="37"/>
      <c r="T166" s="37"/>
    </row>
    <row r="167" customFormat="false" ht="15" hidden="false" customHeight="true" outlineLevel="0" collapsed="false">
      <c r="A167" s="36" t="s">
        <v>946</v>
      </c>
      <c r="B167" s="37" t="s">
        <v>601</v>
      </c>
      <c r="C167" s="37" t="s">
        <v>441</v>
      </c>
      <c r="D167" s="37" t="s">
        <v>947</v>
      </c>
      <c r="E167" s="36" t="s">
        <v>79</v>
      </c>
      <c r="F167" s="38" t="s">
        <v>11</v>
      </c>
      <c r="G167" s="36" t="s">
        <v>68</v>
      </c>
      <c r="H167" s="36" t="s">
        <v>658</v>
      </c>
      <c r="I167" s="37" t="n">
        <v>127</v>
      </c>
      <c r="J167" s="37"/>
      <c r="K167" s="37" t="n">
        <v>0</v>
      </c>
      <c r="L167" s="37" t="n">
        <v>0</v>
      </c>
      <c r="M167" s="37"/>
      <c r="N167" s="37"/>
      <c r="O167" s="37" t="s">
        <v>659</v>
      </c>
      <c r="P167" s="37" t="s">
        <v>948</v>
      </c>
      <c r="Q167" s="37" t="s">
        <v>607</v>
      </c>
      <c r="R167" s="36" t="str">
        <f aca="false">IF(H167="Ya",IF(M167&lt;&gt;"","SUDAH PLOTTING","BELUM PLOTTING"),"-")</f>
        <v>-</v>
      </c>
      <c r="S167" s="37"/>
      <c r="T167" s="37"/>
    </row>
    <row r="168" customFormat="false" ht="15" hidden="false" customHeight="true" outlineLevel="0" collapsed="false">
      <c r="A168" s="36" t="s">
        <v>949</v>
      </c>
      <c r="B168" s="37" t="s">
        <v>601</v>
      </c>
      <c r="C168" s="37" t="s">
        <v>441</v>
      </c>
      <c r="D168" s="37" t="s">
        <v>947</v>
      </c>
      <c r="E168" s="36" t="s">
        <v>88</v>
      </c>
      <c r="F168" s="38" t="s">
        <v>11</v>
      </c>
      <c r="G168" s="36" t="s">
        <v>68</v>
      </c>
      <c r="H168" s="36" t="s">
        <v>658</v>
      </c>
      <c r="I168" s="37" t="n">
        <v>130</v>
      </c>
      <c r="J168" s="37"/>
      <c r="K168" s="37" t="n">
        <v>0</v>
      </c>
      <c r="L168" s="37" t="n">
        <v>0</v>
      </c>
      <c r="M168" s="37"/>
      <c r="N168" s="37"/>
      <c r="O168" s="37" t="s">
        <v>659</v>
      </c>
      <c r="P168" s="37" t="s">
        <v>948</v>
      </c>
      <c r="Q168" s="37" t="s">
        <v>607</v>
      </c>
      <c r="R168" s="36" t="str">
        <f aca="false">IF(H168="Ya",IF(M168&lt;&gt;"","SUDAH PLOTTING","BELUM PLOTTING"),"-")</f>
        <v>-</v>
      </c>
      <c r="S168" s="37"/>
      <c r="T168" s="37"/>
    </row>
    <row r="169" customFormat="false" ht="15" hidden="false" customHeight="true" outlineLevel="0" collapsed="false">
      <c r="A169" s="36" t="s">
        <v>950</v>
      </c>
      <c r="B169" s="37" t="s">
        <v>601</v>
      </c>
      <c r="C169" s="37" t="s">
        <v>441</v>
      </c>
      <c r="D169" s="37" t="s">
        <v>947</v>
      </c>
      <c r="E169" s="36" t="s">
        <v>92</v>
      </c>
      <c r="F169" s="38" t="s">
        <v>11</v>
      </c>
      <c r="G169" s="36" t="s">
        <v>68</v>
      </c>
      <c r="H169" s="36" t="s">
        <v>658</v>
      </c>
      <c r="I169" s="37" t="n">
        <v>136</v>
      </c>
      <c r="J169" s="37"/>
      <c r="K169" s="37" t="n">
        <v>0</v>
      </c>
      <c r="L169" s="37" t="n">
        <v>0</v>
      </c>
      <c r="M169" s="37"/>
      <c r="N169" s="37"/>
      <c r="O169" s="37" t="s">
        <v>659</v>
      </c>
      <c r="P169" s="37" t="s">
        <v>948</v>
      </c>
      <c r="Q169" s="37" t="s">
        <v>607</v>
      </c>
      <c r="R169" s="36" t="str">
        <f aca="false">IF(H169="Ya",IF(M169&lt;&gt;"","SUDAH PLOTTING","BELUM PLOTTING"),"-")</f>
        <v>-</v>
      </c>
      <c r="S169" s="37"/>
      <c r="T169" s="37"/>
    </row>
    <row r="170" customFormat="false" ht="15" hidden="false" customHeight="true" outlineLevel="0" collapsed="false">
      <c r="A170" s="36" t="s">
        <v>951</v>
      </c>
      <c r="B170" s="37" t="s">
        <v>601</v>
      </c>
      <c r="C170" s="37" t="s">
        <v>441</v>
      </c>
      <c r="D170" s="37" t="s">
        <v>952</v>
      </c>
      <c r="E170" s="36" t="s">
        <v>62</v>
      </c>
      <c r="F170" s="38" t="s">
        <v>11</v>
      </c>
      <c r="G170" s="36" t="s">
        <v>68</v>
      </c>
      <c r="H170" s="36" t="s">
        <v>658</v>
      </c>
      <c r="I170" s="37" t="n">
        <v>203</v>
      </c>
      <c r="J170" s="37"/>
      <c r="K170" s="37" t="n">
        <v>0</v>
      </c>
      <c r="L170" s="37" t="n">
        <v>0</v>
      </c>
      <c r="M170" s="37"/>
      <c r="N170" s="37"/>
      <c r="O170" s="37" t="s">
        <v>659</v>
      </c>
      <c r="P170" s="37" t="s">
        <v>953</v>
      </c>
      <c r="Q170" s="37" t="s">
        <v>607</v>
      </c>
      <c r="R170" s="36" t="str">
        <f aca="false">IF(H170="Ya",IF(M170&lt;&gt;"","SUDAH PLOTTING","BELUM PLOTTING"),"-")</f>
        <v>-</v>
      </c>
      <c r="S170" s="37"/>
      <c r="T170" s="37"/>
    </row>
    <row r="171" customFormat="false" ht="15" hidden="false" customHeight="true" outlineLevel="0" collapsed="false">
      <c r="A171" s="36" t="s">
        <v>954</v>
      </c>
      <c r="B171" s="37" t="s">
        <v>601</v>
      </c>
      <c r="C171" s="37" t="s">
        <v>441</v>
      </c>
      <c r="D171" s="37" t="s">
        <v>955</v>
      </c>
      <c r="E171" s="36" t="s">
        <v>62</v>
      </c>
      <c r="F171" s="38" t="s">
        <v>11</v>
      </c>
      <c r="G171" s="36" t="s">
        <v>68</v>
      </c>
      <c r="H171" s="36" t="s">
        <v>658</v>
      </c>
      <c r="I171" s="37" t="n">
        <v>228</v>
      </c>
      <c r="J171" s="37"/>
      <c r="K171" s="37" t="n">
        <v>0</v>
      </c>
      <c r="L171" s="37" t="n">
        <v>0</v>
      </c>
      <c r="M171" s="37"/>
      <c r="N171" s="37"/>
      <c r="O171" s="37" t="s">
        <v>659</v>
      </c>
      <c r="P171" s="37" t="s">
        <v>956</v>
      </c>
      <c r="Q171" s="37" t="s">
        <v>607</v>
      </c>
      <c r="R171" s="36" t="str">
        <f aca="false">IF(H171="Ya",IF(M171&lt;&gt;"","SUDAH PLOTTING","BELUM PLOTTING"),"-")</f>
        <v>-</v>
      </c>
      <c r="S171" s="37"/>
      <c r="T171" s="37"/>
    </row>
    <row r="172" customFormat="false" ht="15" hidden="false" customHeight="true" outlineLevel="0" collapsed="false">
      <c r="A172" s="36" t="s">
        <v>957</v>
      </c>
      <c r="B172" s="37" t="s">
        <v>601</v>
      </c>
      <c r="C172" s="37" t="s">
        <v>441</v>
      </c>
      <c r="D172" s="37" t="s">
        <v>958</v>
      </c>
      <c r="E172" s="36" t="s">
        <v>79</v>
      </c>
      <c r="F172" s="38" t="s">
        <v>11</v>
      </c>
      <c r="G172" s="36" t="s">
        <v>68</v>
      </c>
      <c r="H172" s="36" t="s">
        <v>658</v>
      </c>
      <c r="I172" s="37" t="n">
        <v>151</v>
      </c>
      <c r="J172" s="37"/>
      <c r="K172" s="37" t="n">
        <v>0</v>
      </c>
      <c r="L172" s="37" t="n">
        <v>0</v>
      </c>
      <c r="M172" s="37"/>
      <c r="N172" s="37"/>
      <c r="O172" s="37" t="s">
        <v>659</v>
      </c>
      <c r="P172" s="37" t="s">
        <v>959</v>
      </c>
      <c r="Q172" s="37" t="s">
        <v>607</v>
      </c>
      <c r="R172" s="36" t="str">
        <f aca="false">IF(H172="Ya",IF(M172&lt;&gt;"","SUDAH PLOTTING","BELUM PLOTTING"),"-")</f>
        <v>-</v>
      </c>
      <c r="S172" s="37"/>
      <c r="T172" s="37"/>
    </row>
    <row r="173" customFormat="false" ht="15" hidden="false" customHeight="true" outlineLevel="0" collapsed="false">
      <c r="A173" s="36" t="s">
        <v>960</v>
      </c>
      <c r="B173" s="37" t="s">
        <v>601</v>
      </c>
      <c r="C173" s="37" t="s">
        <v>441</v>
      </c>
      <c r="D173" s="37" t="s">
        <v>958</v>
      </c>
      <c r="E173" s="36" t="s">
        <v>88</v>
      </c>
      <c r="F173" s="38" t="s">
        <v>11</v>
      </c>
      <c r="G173" s="36" t="s">
        <v>68</v>
      </c>
      <c r="H173" s="36" t="s">
        <v>658</v>
      </c>
      <c r="I173" s="37" t="n">
        <v>180</v>
      </c>
      <c r="J173" s="37"/>
      <c r="K173" s="37" t="n">
        <v>0</v>
      </c>
      <c r="L173" s="37" t="n">
        <v>0</v>
      </c>
      <c r="M173" s="37"/>
      <c r="N173" s="37"/>
      <c r="O173" s="37" t="s">
        <v>659</v>
      </c>
      <c r="P173" s="37" t="s">
        <v>959</v>
      </c>
      <c r="Q173" s="37" t="s">
        <v>607</v>
      </c>
      <c r="R173" s="36" t="str">
        <f aca="false">IF(H173="Ya",IF(M173&lt;&gt;"","SUDAH PLOTTING","BELUM PLOTTING"),"-")</f>
        <v>-</v>
      </c>
      <c r="S173" s="37"/>
      <c r="T173" s="37"/>
    </row>
    <row r="174" customFormat="false" ht="15" hidden="false" customHeight="true" outlineLevel="0" collapsed="false">
      <c r="A174" s="36" t="s">
        <v>961</v>
      </c>
      <c r="B174" s="37" t="s">
        <v>601</v>
      </c>
      <c r="C174" s="37" t="s">
        <v>441</v>
      </c>
      <c r="D174" s="37" t="s">
        <v>962</v>
      </c>
      <c r="E174" s="36" t="s">
        <v>79</v>
      </c>
      <c r="F174" s="38" t="s">
        <v>11</v>
      </c>
      <c r="G174" s="36" t="s">
        <v>68</v>
      </c>
      <c r="H174" s="36" t="s">
        <v>658</v>
      </c>
      <c r="I174" s="37" t="n">
        <v>130</v>
      </c>
      <c r="J174" s="37"/>
      <c r="K174" s="37" t="n">
        <v>0</v>
      </c>
      <c r="L174" s="37" t="n">
        <v>0</v>
      </c>
      <c r="M174" s="37"/>
      <c r="N174" s="37"/>
      <c r="O174" s="37" t="s">
        <v>659</v>
      </c>
      <c r="P174" s="37" t="s">
        <v>963</v>
      </c>
      <c r="Q174" s="37" t="s">
        <v>607</v>
      </c>
      <c r="R174" s="36" t="str">
        <f aca="false">IF(H174="Ya",IF(M174&lt;&gt;"","SUDAH PLOTTING","BELUM PLOTTING"),"-")</f>
        <v>-</v>
      </c>
      <c r="S174" s="37"/>
      <c r="T174" s="37"/>
    </row>
    <row r="175" customFormat="false" ht="15" hidden="false" customHeight="true" outlineLevel="0" collapsed="false">
      <c r="A175" s="36" t="s">
        <v>964</v>
      </c>
      <c r="B175" s="37" t="s">
        <v>601</v>
      </c>
      <c r="C175" s="37" t="s">
        <v>441</v>
      </c>
      <c r="D175" s="37" t="s">
        <v>962</v>
      </c>
      <c r="E175" s="36" t="s">
        <v>88</v>
      </c>
      <c r="F175" s="38" t="s">
        <v>11</v>
      </c>
      <c r="G175" s="36" t="s">
        <v>68</v>
      </c>
      <c r="H175" s="36" t="s">
        <v>658</v>
      </c>
      <c r="I175" s="37" t="n">
        <v>126</v>
      </c>
      <c r="J175" s="37"/>
      <c r="K175" s="37" t="n">
        <v>0</v>
      </c>
      <c r="L175" s="37" t="n">
        <v>0</v>
      </c>
      <c r="M175" s="37"/>
      <c r="N175" s="37"/>
      <c r="O175" s="37" t="s">
        <v>659</v>
      </c>
      <c r="P175" s="37" t="s">
        <v>963</v>
      </c>
      <c r="Q175" s="37" t="s">
        <v>607</v>
      </c>
      <c r="R175" s="36" t="str">
        <f aca="false">IF(H175="Ya",IF(M175&lt;&gt;"","SUDAH PLOTTING","BELUM PLOTTING"),"-")</f>
        <v>-</v>
      </c>
      <c r="S175" s="37"/>
      <c r="T175" s="37"/>
    </row>
    <row r="176" customFormat="false" ht="15" hidden="false" customHeight="true" outlineLevel="0" collapsed="false">
      <c r="A176" s="36" t="s">
        <v>965</v>
      </c>
      <c r="B176" s="37" t="s">
        <v>601</v>
      </c>
      <c r="C176" s="37" t="s">
        <v>441</v>
      </c>
      <c r="D176" s="37" t="s">
        <v>966</v>
      </c>
      <c r="E176" s="36" t="s">
        <v>79</v>
      </c>
      <c r="F176" s="38" t="s">
        <v>11</v>
      </c>
      <c r="G176" s="36" t="s">
        <v>68</v>
      </c>
      <c r="H176" s="36" t="s">
        <v>658</v>
      </c>
      <c r="I176" s="37" t="n">
        <v>147</v>
      </c>
      <c r="J176" s="37"/>
      <c r="K176" s="37" t="n">
        <v>0</v>
      </c>
      <c r="L176" s="37" t="n">
        <v>0</v>
      </c>
      <c r="M176" s="37"/>
      <c r="N176" s="37"/>
      <c r="O176" s="37" t="s">
        <v>659</v>
      </c>
      <c r="P176" s="37" t="s">
        <v>967</v>
      </c>
      <c r="Q176" s="37" t="s">
        <v>607</v>
      </c>
      <c r="R176" s="36" t="str">
        <f aca="false">IF(H176="Ya",IF(M176&lt;&gt;"","SUDAH PLOTTING","BELUM PLOTTING"),"-")</f>
        <v>-</v>
      </c>
      <c r="S176" s="37"/>
      <c r="T176" s="37"/>
    </row>
    <row r="177" customFormat="false" ht="15" hidden="false" customHeight="true" outlineLevel="0" collapsed="false">
      <c r="A177" s="36" t="s">
        <v>968</v>
      </c>
      <c r="B177" s="37" t="s">
        <v>601</v>
      </c>
      <c r="C177" s="37" t="s">
        <v>441</v>
      </c>
      <c r="D177" s="37" t="s">
        <v>966</v>
      </c>
      <c r="E177" s="36" t="s">
        <v>88</v>
      </c>
      <c r="F177" s="38" t="s">
        <v>11</v>
      </c>
      <c r="G177" s="36" t="s">
        <v>68</v>
      </c>
      <c r="H177" s="36" t="s">
        <v>658</v>
      </c>
      <c r="I177" s="37" t="n">
        <v>140</v>
      </c>
      <c r="J177" s="37"/>
      <c r="K177" s="37" t="n">
        <v>0</v>
      </c>
      <c r="L177" s="37" t="n">
        <v>0</v>
      </c>
      <c r="M177" s="37"/>
      <c r="N177" s="37"/>
      <c r="O177" s="37" t="s">
        <v>659</v>
      </c>
      <c r="P177" s="37" t="s">
        <v>967</v>
      </c>
      <c r="Q177" s="37" t="s">
        <v>607</v>
      </c>
      <c r="R177" s="36" t="str">
        <f aca="false">IF(H177="Ya",IF(M177&lt;&gt;"","SUDAH PLOTTING","BELUM PLOTTING"),"-")</f>
        <v>-</v>
      </c>
      <c r="S177" s="37"/>
      <c r="T177" s="37"/>
    </row>
    <row r="178" customFormat="false" ht="15" hidden="false" customHeight="true" outlineLevel="0" collapsed="false">
      <c r="A178" s="36" t="s">
        <v>969</v>
      </c>
      <c r="B178" s="37" t="s">
        <v>601</v>
      </c>
      <c r="C178" s="37" t="s">
        <v>442</v>
      </c>
      <c r="D178" s="37" t="s">
        <v>970</v>
      </c>
      <c r="E178" s="36" t="s">
        <v>62</v>
      </c>
      <c r="F178" s="38" t="s">
        <v>11</v>
      </c>
      <c r="G178" s="36" t="s">
        <v>68</v>
      </c>
      <c r="H178" s="36" t="s">
        <v>658</v>
      </c>
      <c r="I178" s="37" t="n">
        <v>120</v>
      </c>
      <c r="J178" s="37"/>
      <c r="K178" s="37" t="n">
        <v>0</v>
      </c>
      <c r="L178" s="37" t="n">
        <v>0</v>
      </c>
      <c r="M178" s="37"/>
      <c r="N178" s="37"/>
      <c r="O178" s="37" t="s">
        <v>659</v>
      </c>
      <c r="P178" s="37" t="s">
        <v>971</v>
      </c>
      <c r="Q178" s="37" t="s">
        <v>600</v>
      </c>
      <c r="R178" s="36" t="str">
        <f aca="false">IF(H178="Ya",IF(M178&lt;&gt;"","SUDAH PLOTTING","BELUM PLOTTING"),"-")</f>
        <v>-</v>
      </c>
      <c r="S178" s="37"/>
      <c r="T178" s="37"/>
    </row>
    <row r="179" customFormat="false" ht="15" hidden="false" customHeight="true" outlineLevel="0" collapsed="false">
      <c r="A179" s="36" t="s">
        <v>972</v>
      </c>
      <c r="B179" s="37" t="s">
        <v>601</v>
      </c>
      <c r="C179" s="37" t="s">
        <v>442</v>
      </c>
      <c r="D179" s="37" t="s">
        <v>973</v>
      </c>
      <c r="E179" s="36" t="s">
        <v>79</v>
      </c>
      <c r="F179" s="38" t="s">
        <v>11</v>
      </c>
      <c r="G179" s="36" t="s">
        <v>68</v>
      </c>
      <c r="H179" s="36" t="s">
        <v>658</v>
      </c>
      <c r="I179" s="37" t="n">
        <v>159</v>
      </c>
      <c r="J179" s="37"/>
      <c r="K179" s="37" t="n">
        <v>0</v>
      </c>
      <c r="L179" s="37" t="n">
        <v>0</v>
      </c>
      <c r="M179" s="37"/>
      <c r="N179" s="37"/>
      <c r="O179" s="37" t="s">
        <v>659</v>
      </c>
      <c r="P179" s="37" t="s">
        <v>974</v>
      </c>
      <c r="Q179" s="37" t="s">
        <v>600</v>
      </c>
      <c r="R179" s="36" t="str">
        <f aca="false">IF(H179="Ya",IF(M179&lt;&gt;"","SUDAH PLOTTING","BELUM PLOTTING"),"-")</f>
        <v>-</v>
      </c>
      <c r="S179" s="37"/>
      <c r="T179" s="37"/>
    </row>
    <row r="180" customFormat="false" ht="15" hidden="false" customHeight="true" outlineLevel="0" collapsed="false">
      <c r="A180" s="36" t="s">
        <v>975</v>
      </c>
      <c r="B180" s="37" t="s">
        <v>601</v>
      </c>
      <c r="C180" s="37" t="s">
        <v>442</v>
      </c>
      <c r="D180" s="37" t="s">
        <v>973</v>
      </c>
      <c r="E180" s="36" t="s">
        <v>88</v>
      </c>
      <c r="F180" s="38" t="s">
        <v>11</v>
      </c>
      <c r="G180" s="36" t="s">
        <v>68</v>
      </c>
      <c r="H180" s="36" t="s">
        <v>658</v>
      </c>
      <c r="I180" s="37" t="n">
        <v>166</v>
      </c>
      <c r="J180" s="37"/>
      <c r="K180" s="37" t="n">
        <v>0</v>
      </c>
      <c r="L180" s="37" t="n">
        <v>0</v>
      </c>
      <c r="M180" s="37"/>
      <c r="N180" s="37"/>
      <c r="O180" s="37" t="s">
        <v>659</v>
      </c>
      <c r="P180" s="37" t="s">
        <v>974</v>
      </c>
      <c r="Q180" s="37" t="s">
        <v>600</v>
      </c>
      <c r="R180" s="36" t="str">
        <f aca="false">IF(H180="Ya",IF(M180&lt;&gt;"","SUDAH PLOTTING","BELUM PLOTTING"),"-")</f>
        <v>-</v>
      </c>
      <c r="S180" s="37"/>
      <c r="T180" s="37"/>
    </row>
    <row r="181" customFormat="false" ht="15" hidden="false" customHeight="true" outlineLevel="0" collapsed="false">
      <c r="A181" s="36" t="s">
        <v>976</v>
      </c>
      <c r="B181" s="37" t="s">
        <v>601</v>
      </c>
      <c r="C181" s="37" t="s">
        <v>442</v>
      </c>
      <c r="D181" s="37" t="s">
        <v>977</v>
      </c>
      <c r="E181" s="36" t="s">
        <v>79</v>
      </c>
      <c r="F181" s="38" t="s">
        <v>11</v>
      </c>
      <c r="G181" s="36" t="s">
        <v>68</v>
      </c>
      <c r="H181" s="36" t="s">
        <v>658</v>
      </c>
      <c r="I181" s="37" t="n">
        <v>119</v>
      </c>
      <c r="J181" s="37"/>
      <c r="K181" s="37" t="n">
        <v>0</v>
      </c>
      <c r="L181" s="37" t="n">
        <v>0</v>
      </c>
      <c r="M181" s="37"/>
      <c r="N181" s="37"/>
      <c r="O181" s="37" t="s">
        <v>659</v>
      </c>
      <c r="P181" s="37" t="s">
        <v>978</v>
      </c>
      <c r="Q181" s="37" t="s">
        <v>600</v>
      </c>
      <c r="R181" s="36" t="str">
        <f aca="false">IF(H181="Ya",IF(M181&lt;&gt;"","SUDAH PLOTTING","BELUM PLOTTING"),"-")</f>
        <v>-</v>
      </c>
      <c r="S181" s="37"/>
      <c r="T181" s="37"/>
    </row>
    <row r="182" customFormat="false" ht="15" hidden="false" customHeight="true" outlineLevel="0" collapsed="false">
      <c r="A182" s="36" t="s">
        <v>979</v>
      </c>
      <c r="B182" s="37" t="s">
        <v>601</v>
      </c>
      <c r="C182" s="37" t="s">
        <v>442</v>
      </c>
      <c r="D182" s="37" t="s">
        <v>977</v>
      </c>
      <c r="E182" s="36" t="s">
        <v>88</v>
      </c>
      <c r="F182" s="38" t="s">
        <v>11</v>
      </c>
      <c r="G182" s="36" t="s">
        <v>68</v>
      </c>
      <c r="H182" s="36" t="s">
        <v>658</v>
      </c>
      <c r="I182" s="37" t="n">
        <v>147</v>
      </c>
      <c r="J182" s="37"/>
      <c r="K182" s="37" t="n">
        <v>0</v>
      </c>
      <c r="L182" s="37" t="n">
        <v>0</v>
      </c>
      <c r="M182" s="37"/>
      <c r="N182" s="37"/>
      <c r="O182" s="37" t="s">
        <v>659</v>
      </c>
      <c r="P182" s="37" t="s">
        <v>978</v>
      </c>
      <c r="Q182" s="37" t="s">
        <v>600</v>
      </c>
      <c r="R182" s="36" t="str">
        <f aca="false">IF(H182="Ya",IF(M182&lt;&gt;"","SUDAH PLOTTING","BELUM PLOTTING"),"-")</f>
        <v>-</v>
      </c>
      <c r="S182" s="37"/>
      <c r="T182" s="37"/>
    </row>
    <row r="183" customFormat="false" ht="15" hidden="false" customHeight="true" outlineLevel="0" collapsed="false">
      <c r="A183" s="36" t="s">
        <v>980</v>
      </c>
      <c r="B183" s="37" t="s">
        <v>601</v>
      </c>
      <c r="C183" s="37" t="s">
        <v>442</v>
      </c>
      <c r="D183" s="37" t="s">
        <v>981</v>
      </c>
      <c r="E183" s="36" t="s">
        <v>62</v>
      </c>
      <c r="F183" s="38" t="s">
        <v>11</v>
      </c>
      <c r="G183" s="36" t="s">
        <v>68</v>
      </c>
      <c r="H183" s="36" t="s">
        <v>658</v>
      </c>
      <c r="I183" s="37" t="n">
        <v>182</v>
      </c>
      <c r="J183" s="37"/>
      <c r="K183" s="37" t="n">
        <v>0</v>
      </c>
      <c r="L183" s="37" t="n">
        <v>0</v>
      </c>
      <c r="M183" s="37"/>
      <c r="N183" s="37"/>
      <c r="O183" s="37" t="s">
        <v>659</v>
      </c>
      <c r="P183" s="37" t="s">
        <v>982</v>
      </c>
      <c r="Q183" s="37" t="s">
        <v>600</v>
      </c>
      <c r="R183" s="36" t="str">
        <f aca="false">IF(H183="Ya",IF(M183&lt;&gt;"","SUDAH PLOTTING","BELUM PLOTTING"),"-")</f>
        <v>-</v>
      </c>
      <c r="S183" s="37"/>
      <c r="T183" s="37"/>
    </row>
    <row r="184" customFormat="false" ht="15" hidden="false" customHeight="true" outlineLevel="0" collapsed="false">
      <c r="A184" s="36" t="s">
        <v>983</v>
      </c>
      <c r="B184" s="37" t="s">
        <v>601</v>
      </c>
      <c r="C184" s="37" t="s">
        <v>442</v>
      </c>
      <c r="D184" s="37" t="s">
        <v>984</v>
      </c>
      <c r="E184" s="36" t="s">
        <v>79</v>
      </c>
      <c r="F184" s="38" t="s">
        <v>11</v>
      </c>
      <c r="G184" s="36" t="s">
        <v>68</v>
      </c>
      <c r="H184" s="36" t="s">
        <v>658</v>
      </c>
      <c r="I184" s="37" t="n">
        <v>124</v>
      </c>
      <c r="J184" s="37"/>
      <c r="K184" s="37" t="n">
        <v>0</v>
      </c>
      <c r="L184" s="37" t="n">
        <v>0</v>
      </c>
      <c r="M184" s="37"/>
      <c r="N184" s="37"/>
      <c r="O184" s="37" t="s">
        <v>659</v>
      </c>
      <c r="P184" s="37" t="s">
        <v>985</v>
      </c>
      <c r="Q184" s="37" t="s">
        <v>600</v>
      </c>
      <c r="R184" s="36" t="str">
        <f aca="false">IF(H184="Ya",IF(M184&lt;&gt;"","SUDAH PLOTTING","BELUM PLOTTING"),"-")</f>
        <v>-</v>
      </c>
      <c r="S184" s="37"/>
      <c r="T184" s="37"/>
    </row>
    <row r="185" customFormat="false" ht="15" hidden="false" customHeight="true" outlineLevel="0" collapsed="false">
      <c r="A185" s="36" t="s">
        <v>986</v>
      </c>
      <c r="B185" s="37" t="s">
        <v>601</v>
      </c>
      <c r="C185" s="37" t="s">
        <v>442</v>
      </c>
      <c r="D185" s="37" t="s">
        <v>984</v>
      </c>
      <c r="E185" s="36" t="s">
        <v>88</v>
      </c>
      <c r="F185" s="38" t="s">
        <v>11</v>
      </c>
      <c r="G185" s="36" t="s">
        <v>68</v>
      </c>
      <c r="H185" s="36" t="s">
        <v>658</v>
      </c>
      <c r="I185" s="37" t="n">
        <v>116</v>
      </c>
      <c r="J185" s="37"/>
      <c r="K185" s="37" t="n">
        <v>0</v>
      </c>
      <c r="L185" s="37" t="n">
        <v>0</v>
      </c>
      <c r="M185" s="37"/>
      <c r="N185" s="37"/>
      <c r="O185" s="37" t="s">
        <v>659</v>
      </c>
      <c r="P185" s="37" t="s">
        <v>985</v>
      </c>
      <c r="Q185" s="37" t="s">
        <v>600</v>
      </c>
      <c r="R185" s="36" t="str">
        <f aca="false">IF(H185="Ya",IF(M185&lt;&gt;"","SUDAH PLOTTING","BELUM PLOTTING"),"-")</f>
        <v>-</v>
      </c>
      <c r="S185" s="37"/>
      <c r="T185" s="37"/>
    </row>
    <row r="186" customFormat="false" ht="15" hidden="false" customHeight="true" outlineLevel="0" collapsed="false">
      <c r="A186" s="36" t="s">
        <v>987</v>
      </c>
      <c r="B186" s="37" t="s">
        <v>601</v>
      </c>
      <c r="C186" s="37" t="s">
        <v>442</v>
      </c>
      <c r="D186" s="37" t="s">
        <v>988</v>
      </c>
      <c r="E186" s="36" t="s">
        <v>79</v>
      </c>
      <c r="F186" s="38" t="s">
        <v>11</v>
      </c>
      <c r="G186" s="36" t="s">
        <v>68</v>
      </c>
      <c r="H186" s="36" t="s">
        <v>658</v>
      </c>
      <c r="I186" s="37" t="n">
        <v>153</v>
      </c>
      <c r="J186" s="37"/>
      <c r="K186" s="37" t="n">
        <v>0</v>
      </c>
      <c r="L186" s="37" t="n">
        <v>0</v>
      </c>
      <c r="M186" s="37"/>
      <c r="N186" s="37"/>
      <c r="O186" s="37" t="s">
        <v>659</v>
      </c>
      <c r="P186" s="37" t="s">
        <v>989</v>
      </c>
      <c r="Q186" s="37" t="s">
        <v>600</v>
      </c>
      <c r="R186" s="36" t="str">
        <f aca="false">IF(H186="Ya",IF(M186&lt;&gt;"","SUDAH PLOTTING","BELUM PLOTTING"),"-")</f>
        <v>-</v>
      </c>
      <c r="S186" s="37"/>
      <c r="T186" s="37"/>
    </row>
    <row r="187" customFormat="false" ht="15" hidden="false" customHeight="true" outlineLevel="0" collapsed="false">
      <c r="A187" s="36" t="s">
        <v>990</v>
      </c>
      <c r="B187" s="37" t="s">
        <v>601</v>
      </c>
      <c r="C187" s="37" t="s">
        <v>442</v>
      </c>
      <c r="D187" s="37" t="s">
        <v>988</v>
      </c>
      <c r="E187" s="36" t="s">
        <v>88</v>
      </c>
      <c r="F187" s="38" t="s">
        <v>11</v>
      </c>
      <c r="G187" s="36" t="s">
        <v>68</v>
      </c>
      <c r="H187" s="36" t="s">
        <v>658</v>
      </c>
      <c r="I187" s="37" t="n">
        <v>123</v>
      </c>
      <c r="J187" s="37"/>
      <c r="K187" s="37" t="n">
        <v>0</v>
      </c>
      <c r="L187" s="37" t="n">
        <v>0</v>
      </c>
      <c r="M187" s="37"/>
      <c r="N187" s="37"/>
      <c r="O187" s="37" t="s">
        <v>659</v>
      </c>
      <c r="P187" s="37" t="s">
        <v>989</v>
      </c>
      <c r="Q187" s="37" t="s">
        <v>600</v>
      </c>
      <c r="R187" s="36" t="str">
        <f aca="false">IF(H187="Ya",IF(M187&lt;&gt;"","SUDAH PLOTTING","BELUM PLOTTING"),"-")</f>
        <v>-</v>
      </c>
      <c r="S187" s="37"/>
      <c r="T187" s="37"/>
    </row>
    <row r="188" customFormat="false" ht="15" hidden="false" customHeight="true" outlineLevel="0" collapsed="false">
      <c r="A188" s="36" t="s">
        <v>991</v>
      </c>
      <c r="B188" s="37" t="s">
        <v>601</v>
      </c>
      <c r="C188" s="37" t="s">
        <v>442</v>
      </c>
      <c r="D188" s="37" t="s">
        <v>988</v>
      </c>
      <c r="E188" s="36" t="s">
        <v>92</v>
      </c>
      <c r="F188" s="38" t="s">
        <v>11</v>
      </c>
      <c r="G188" s="36" t="s">
        <v>68</v>
      </c>
      <c r="H188" s="36" t="s">
        <v>658</v>
      </c>
      <c r="I188" s="37" t="n">
        <v>128</v>
      </c>
      <c r="J188" s="37"/>
      <c r="K188" s="37" t="n">
        <v>0</v>
      </c>
      <c r="L188" s="37" t="n">
        <v>0</v>
      </c>
      <c r="M188" s="37"/>
      <c r="N188" s="37"/>
      <c r="O188" s="37" t="s">
        <v>659</v>
      </c>
      <c r="P188" s="37" t="s">
        <v>989</v>
      </c>
      <c r="Q188" s="37" t="s">
        <v>600</v>
      </c>
      <c r="R188" s="36" t="str">
        <f aca="false">IF(H188="Ya",IF(M188&lt;&gt;"","SUDAH PLOTTING","BELUM PLOTTING"),"-")</f>
        <v>-</v>
      </c>
      <c r="S188" s="37"/>
      <c r="T188" s="37"/>
    </row>
    <row r="189" customFormat="false" ht="15" hidden="false" customHeight="true" outlineLevel="0" collapsed="false">
      <c r="A189" s="36" t="s">
        <v>992</v>
      </c>
      <c r="B189" s="37" t="s">
        <v>601</v>
      </c>
      <c r="C189" s="37" t="s">
        <v>442</v>
      </c>
      <c r="D189" s="37" t="s">
        <v>993</v>
      </c>
      <c r="E189" s="36" t="s">
        <v>79</v>
      </c>
      <c r="F189" s="38" t="s">
        <v>11</v>
      </c>
      <c r="G189" s="36" t="s">
        <v>68</v>
      </c>
      <c r="H189" s="36" t="s">
        <v>658</v>
      </c>
      <c r="I189" s="37" t="n">
        <v>139</v>
      </c>
      <c r="J189" s="37"/>
      <c r="K189" s="37" t="n">
        <v>0</v>
      </c>
      <c r="L189" s="37" t="n">
        <v>0</v>
      </c>
      <c r="M189" s="37"/>
      <c r="N189" s="37"/>
      <c r="O189" s="37" t="s">
        <v>659</v>
      </c>
      <c r="P189" s="37" t="s">
        <v>994</v>
      </c>
      <c r="Q189" s="37" t="s">
        <v>600</v>
      </c>
      <c r="R189" s="36" t="str">
        <f aca="false">IF(H189="Ya",IF(M189&lt;&gt;"","SUDAH PLOTTING","BELUM PLOTTING"),"-")</f>
        <v>-</v>
      </c>
      <c r="S189" s="37"/>
      <c r="T189" s="37"/>
    </row>
    <row r="190" customFormat="false" ht="15" hidden="false" customHeight="true" outlineLevel="0" collapsed="false">
      <c r="A190" s="36" t="s">
        <v>995</v>
      </c>
      <c r="B190" s="37" t="s">
        <v>601</v>
      </c>
      <c r="C190" s="37" t="s">
        <v>442</v>
      </c>
      <c r="D190" s="37" t="s">
        <v>993</v>
      </c>
      <c r="E190" s="36" t="s">
        <v>88</v>
      </c>
      <c r="F190" s="38" t="s">
        <v>11</v>
      </c>
      <c r="G190" s="36" t="s">
        <v>68</v>
      </c>
      <c r="H190" s="36" t="s">
        <v>658</v>
      </c>
      <c r="I190" s="37" t="n">
        <v>121</v>
      </c>
      <c r="J190" s="37"/>
      <c r="K190" s="37" t="n">
        <v>0</v>
      </c>
      <c r="L190" s="37" t="n">
        <v>0</v>
      </c>
      <c r="M190" s="37"/>
      <c r="N190" s="37"/>
      <c r="O190" s="37" t="s">
        <v>659</v>
      </c>
      <c r="P190" s="37" t="s">
        <v>994</v>
      </c>
      <c r="Q190" s="37" t="s">
        <v>600</v>
      </c>
      <c r="R190" s="36" t="str">
        <f aca="false">IF(H190="Ya",IF(M190&lt;&gt;"","SUDAH PLOTTING","BELUM PLOTTING"),"-")</f>
        <v>-</v>
      </c>
      <c r="S190" s="37"/>
      <c r="T190" s="37"/>
    </row>
    <row r="191" customFormat="false" ht="15" hidden="false" customHeight="true" outlineLevel="0" collapsed="false">
      <c r="A191" s="36" t="s">
        <v>996</v>
      </c>
      <c r="B191" s="37" t="s">
        <v>601</v>
      </c>
      <c r="C191" s="37" t="s">
        <v>442</v>
      </c>
      <c r="D191" s="37" t="s">
        <v>993</v>
      </c>
      <c r="E191" s="36" t="s">
        <v>92</v>
      </c>
      <c r="F191" s="38" t="s">
        <v>11</v>
      </c>
      <c r="G191" s="36" t="s">
        <v>68</v>
      </c>
      <c r="H191" s="36" t="s">
        <v>658</v>
      </c>
      <c r="I191" s="37" t="n">
        <v>113</v>
      </c>
      <c r="J191" s="37"/>
      <c r="K191" s="37" t="n">
        <v>0</v>
      </c>
      <c r="L191" s="37" t="n">
        <v>0</v>
      </c>
      <c r="M191" s="37"/>
      <c r="N191" s="37"/>
      <c r="O191" s="37" t="s">
        <v>659</v>
      </c>
      <c r="P191" s="37" t="s">
        <v>994</v>
      </c>
      <c r="Q191" s="37" t="s">
        <v>600</v>
      </c>
      <c r="R191" s="36" t="str">
        <f aca="false">IF(H191="Ya",IF(M191&lt;&gt;"","SUDAH PLOTTING","BELUM PLOTTING"),"-")</f>
        <v>-</v>
      </c>
      <c r="S191" s="37"/>
      <c r="T191" s="37"/>
    </row>
    <row r="192" customFormat="false" ht="15" hidden="false" customHeight="true" outlineLevel="0" collapsed="false">
      <c r="A192" s="36" t="s">
        <v>997</v>
      </c>
      <c r="B192" s="37" t="s">
        <v>601</v>
      </c>
      <c r="C192" s="37" t="s">
        <v>440</v>
      </c>
      <c r="D192" s="37" t="s">
        <v>998</v>
      </c>
      <c r="E192" s="36" t="s">
        <v>62</v>
      </c>
      <c r="F192" s="38" t="s">
        <v>11</v>
      </c>
      <c r="G192" s="36" t="s">
        <v>68</v>
      </c>
      <c r="H192" s="36" t="s">
        <v>658</v>
      </c>
      <c r="I192" s="37" t="n">
        <v>237</v>
      </c>
      <c r="J192" s="37"/>
      <c r="K192" s="37" t="n">
        <v>0</v>
      </c>
      <c r="L192" s="37" t="n">
        <v>0</v>
      </c>
      <c r="M192" s="37"/>
      <c r="N192" s="37"/>
      <c r="O192" s="37" t="s">
        <v>659</v>
      </c>
      <c r="P192" s="37" t="s">
        <v>999</v>
      </c>
      <c r="Q192" s="37" t="s">
        <v>609</v>
      </c>
      <c r="R192" s="36" t="str">
        <f aca="false">IF(H192="Ya",IF(M192&lt;&gt;"","SUDAH PLOTTING","BELUM PLOTTING"),"-")</f>
        <v>-</v>
      </c>
      <c r="S192" s="37"/>
      <c r="T192" s="37"/>
    </row>
    <row r="193" customFormat="false" ht="15" hidden="false" customHeight="true" outlineLevel="0" collapsed="false">
      <c r="A193" s="36" t="s">
        <v>1000</v>
      </c>
      <c r="B193" s="37" t="s">
        <v>601</v>
      </c>
      <c r="C193" s="37" t="s">
        <v>440</v>
      </c>
      <c r="D193" s="37" t="s">
        <v>1001</v>
      </c>
      <c r="E193" s="36" t="s">
        <v>79</v>
      </c>
      <c r="F193" s="38" t="s">
        <v>11</v>
      </c>
      <c r="G193" s="36" t="s">
        <v>68</v>
      </c>
      <c r="H193" s="36" t="s">
        <v>658</v>
      </c>
      <c r="I193" s="37" t="n">
        <v>134</v>
      </c>
      <c r="J193" s="37"/>
      <c r="K193" s="37" t="n">
        <v>0</v>
      </c>
      <c r="L193" s="37" t="n">
        <v>0</v>
      </c>
      <c r="M193" s="37"/>
      <c r="N193" s="37"/>
      <c r="O193" s="37" t="s">
        <v>659</v>
      </c>
      <c r="P193" s="37" t="s">
        <v>1002</v>
      </c>
      <c r="Q193" s="37" t="s">
        <v>609</v>
      </c>
      <c r="R193" s="36" t="str">
        <f aca="false">IF(H193="Ya",IF(M193&lt;&gt;"","SUDAH PLOTTING","BELUM PLOTTING"),"-")</f>
        <v>-</v>
      </c>
      <c r="S193" s="37"/>
      <c r="T193" s="37"/>
    </row>
    <row r="194" customFormat="false" ht="15" hidden="false" customHeight="true" outlineLevel="0" collapsed="false">
      <c r="A194" s="36" t="s">
        <v>1003</v>
      </c>
      <c r="B194" s="37" t="s">
        <v>601</v>
      </c>
      <c r="C194" s="37" t="s">
        <v>440</v>
      </c>
      <c r="D194" s="37" t="s">
        <v>1001</v>
      </c>
      <c r="E194" s="36" t="s">
        <v>88</v>
      </c>
      <c r="F194" s="38" t="s">
        <v>11</v>
      </c>
      <c r="G194" s="36" t="s">
        <v>68</v>
      </c>
      <c r="H194" s="36" t="s">
        <v>658</v>
      </c>
      <c r="I194" s="37" t="n">
        <v>162</v>
      </c>
      <c r="J194" s="37"/>
      <c r="K194" s="37" t="n">
        <v>0</v>
      </c>
      <c r="L194" s="37" t="n">
        <v>0</v>
      </c>
      <c r="M194" s="37"/>
      <c r="N194" s="37"/>
      <c r="O194" s="37" t="s">
        <v>659</v>
      </c>
      <c r="P194" s="37" t="s">
        <v>1002</v>
      </c>
      <c r="Q194" s="37" t="s">
        <v>609</v>
      </c>
      <c r="R194" s="36" t="str">
        <f aca="false">IF(H194="Ya",IF(M194&lt;&gt;"","SUDAH PLOTTING","BELUM PLOTTING"),"-")</f>
        <v>-</v>
      </c>
      <c r="S194" s="37"/>
      <c r="T194" s="37"/>
    </row>
    <row r="195" customFormat="false" ht="15" hidden="false" customHeight="true" outlineLevel="0" collapsed="false">
      <c r="A195" s="36" t="s">
        <v>1004</v>
      </c>
      <c r="B195" s="37" t="s">
        <v>601</v>
      </c>
      <c r="C195" s="37" t="s">
        <v>440</v>
      </c>
      <c r="D195" s="37" t="s">
        <v>1005</v>
      </c>
      <c r="E195" s="36" t="s">
        <v>79</v>
      </c>
      <c r="F195" s="38" t="s">
        <v>11</v>
      </c>
      <c r="G195" s="36" t="s">
        <v>68</v>
      </c>
      <c r="H195" s="36" t="s">
        <v>658</v>
      </c>
      <c r="I195" s="37" t="n">
        <v>125</v>
      </c>
      <c r="J195" s="37"/>
      <c r="K195" s="37" t="n">
        <v>0</v>
      </c>
      <c r="L195" s="37" t="n">
        <v>0</v>
      </c>
      <c r="M195" s="37"/>
      <c r="N195" s="37"/>
      <c r="O195" s="37" t="s">
        <v>659</v>
      </c>
      <c r="P195" s="37" t="s">
        <v>1006</v>
      </c>
      <c r="Q195" s="37" t="s">
        <v>609</v>
      </c>
      <c r="R195" s="36" t="str">
        <f aca="false">IF(H195="Ya",IF(M195&lt;&gt;"","SUDAH PLOTTING","BELUM PLOTTING"),"-")</f>
        <v>-</v>
      </c>
      <c r="S195" s="37"/>
      <c r="T195" s="37"/>
    </row>
    <row r="196" customFormat="false" ht="15" hidden="false" customHeight="true" outlineLevel="0" collapsed="false">
      <c r="A196" s="36" t="s">
        <v>1007</v>
      </c>
      <c r="B196" s="37" t="s">
        <v>601</v>
      </c>
      <c r="C196" s="37" t="s">
        <v>440</v>
      </c>
      <c r="D196" s="37" t="s">
        <v>1005</v>
      </c>
      <c r="E196" s="36" t="s">
        <v>88</v>
      </c>
      <c r="F196" s="38" t="s">
        <v>11</v>
      </c>
      <c r="G196" s="36" t="s">
        <v>68</v>
      </c>
      <c r="H196" s="36" t="s">
        <v>658</v>
      </c>
      <c r="I196" s="37" t="n">
        <v>181</v>
      </c>
      <c r="J196" s="37"/>
      <c r="K196" s="37" t="n">
        <v>0</v>
      </c>
      <c r="L196" s="37" t="n">
        <v>0</v>
      </c>
      <c r="M196" s="37"/>
      <c r="N196" s="37"/>
      <c r="O196" s="37" t="s">
        <v>659</v>
      </c>
      <c r="P196" s="37" t="s">
        <v>1006</v>
      </c>
      <c r="Q196" s="37" t="s">
        <v>609</v>
      </c>
      <c r="R196" s="36" t="str">
        <f aca="false">IF(H196="Ya",IF(M196&lt;&gt;"","SUDAH PLOTTING","BELUM PLOTTING"),"-")</f>
        <v>-</v>
      </c>
      <c r="S196" s="37"/>
      <c r="T196" s="37"/>
    </row>
    <row r="197" customFormat="false" ht="15" hidden="false" customHeight="true" outlineLevel="0" collapsed="false">
      <c r="A197" s="36" t="s">
        <v>1008</v>
      </c>
      <c r="B197" s="37" t="s">
        <v>601</v>
      </c>
      <c r="C197" s="37" t="s">
        <v>440</v>
      </c>
      <c r="D197" s="37" t="s">
        <v>1009</v>
      </c>
      <c r="E197" s="36" t="s">
        <v>79</v>
      </c>
      <c r="F197" s="38" t="s">
        <v>11</v>
      </c>
      <c r="G197" s="36" t="s">
        <v>68</v>
      </c>
      <c r="H197" s="36" t="s">
        <v>658</v>
      </c>
      <c r="I197" s="37" t="n">
        <v>114</v>
      </c>
      <c r="J197" s="37"/>
      <c r="K197" s="37" t="n">
        <v>0</v>
      </c>
      <c r="L197" s="37" t="n">
        <v>0</v>
      </c>
      <c r="M197" s="37"/>
      <c r="N197" s="37"/>
      <c r="O197" s="37" t="s">
        <v>659</v>
      </c>
      <c r="P197" s="37" t="s">
        <v>1010</v>
      </c>
      <c r="Q197" s="37" t="s">
        <v>609</v>
      </c>
      <c r="R197" s="36" t="str">
        <f aca="false">IF(H197="Ya",IF(M197&lt;&gt;"","SUDAH PLOTTING","BELUM PLOTTING"),"-")</f>
        <v>-</v>
      </c>
      <c r="S197" s="37"/>
      <c r="T197" s="37"/>
    </row>
    <row r="198" customFormat="false" ht="15" hidden="false" customHeight="true" outlineLevel="0" collapsed="false">
      <c r="A198" s="36" t="s">
        <v>1011</v>
      </c>
      <c r="B198" s="37" t="s">
        <v>601</v>
      </c>
      <c r="C198" s="37" t="s">
        <v>440</v>
      </c>
      <c r="D198" s="37" t="s">
        <v>1009</v>
      </c>
      <c r="E198" s="36" t="s">
        <v>88</v>
      </c>
      <c r="F198" s="38" t="s">
        <v>11</v>
      </c>
      <c r="G198" s="36" t="s">
        <v>68</v>
      </c>
      <c r="H198" s="36" t="s">
        <v>658</v>
      </c>
      <c r="I198" s="37" t="n">
        <v>152</v>
      </c>
      <c r="J198" s="37"/>
      <c r="K198" s="37" t="n">
        <v>0</v>
      </c>
      <c r="L198" s="37" t="n">
        <v>0</v>
      </c>
      <c r="M198" s="37"/>
      <c r="N198" s="37"/>
      <c r="O198" s="37" t="s">
        <v>659</v>
      </c>
      <c r="P198" s="37" t="s">
        <v>1010</v>
      </c>
      <c r="Q198" s="37" t="s">
        <v>609</v>
      </c>
      <c r="R198" s="36" t="str">
        <f aca="false">IF(H198="Ya",IF(M198&lt;&gt;"","SUDAH PLOTTING","BELUM PLOTTING"),"-")</f>
        <v>-</v>
      </c>
      <c r="S198" s="37"/>
      <c r="T198" s="37"/>
    </row>
    <row r="199" customFormat="false" ht="15" hidden="false" customHeight="true" outlineLevel="0" collapsed="false">
      <c r="A199" s="36" t="s">
        <v>1012</v>
      </c>
      <c r="B199" s="37" t="s">
        <v>601</v>
      </c>
      <c r="C199" s="37" t="s">
        <v>440</v>
      </c>
      <c r="D199" s="37" t="s">
        <v>1009</v>
      </c>
      <c r="E199" s="36" t="s">
        <v>92</v>
      </c>
      <c r="F199" s="38" t="s">
        <v>11</v>
      </c>
      <c r="G199" s="36" t="s">
        <v>68</v>
      </c>
      <c r="H199" s="36" t="s">
        <v>658</v>
      </c>
      <c r="I199" s="37" t="n">
        <v>127</v>
      </c>
      <c r="J199" s="37"/>
      <c r="K199" s="37" t="n">
        <v>0</v>
      </c>
      <c r="L199" s="37" t="n">
        <v>0</v>
      </c>
      <c r="M199" s="37"/>
      <c r="N199" s="37"/>
      <c r="O199" s="37" t="s">
        <v>659</v>
      </c>
      <c r="P199" s="37" t="s">
        <v>1010</v>
      </c>
      <c r="Q199" s="37" t="s">
        <v>609</v>
      </c>
      <c r="R199" s="36" t="str">
        <f aca="false">IF(H199="Ya",IF(M199&lt;&gt;"","SUDAH PLOTTING","BELUM PLOTTING"),"-")</f>
        <v>-</v>
      </c>
      <c r="S199" s="37"/>
      <c r="T199" s="37"/>
    </row>
    <row r="200" customFormat="false" ht="15" hidden="false" customHeight="true" outlineLevel="0" collapsed="false">
      <c r="A200" s="36" t="s">
        <v>1013</v>
      </c>
      <c r="B200" s="37" t="s">
        <v>601</v>
      </c>
      <c r="C200" s="37" t="s">
        <v>440</v>
      </c>
      <c r="D200" s="37" t="s">
        <v>1014</v>
      </c>
      <c r="E200" s="36" t="s">
        <v>62</v>
      </c>
      <c r="F200" s="38" t="s">
        <v>11</v>
      </c>
      <c r="G200" s="36" t="s">
        <v>68</v>
      </c>
      <c r="H200" s="36" t="s">
        <v>658</v>
      </c>
      <c r="I200" s="37" t="n">
        <v>160</v>
      </c>
      <c r="J200" s="37"/>
      <c r="K200" s="37" t="n">
        <v>0</v>
      </c>
      <c r="L200" s="37" t="n">
        <v>0</v>
      </c>
      <c r="M200" s="37"/>
      <c r="N200" s="37"/>
      <c r="O200" s="37" t="s">
        <v>659</v>
      </c>
      <c r="P200" s="37" t="s">
        <v>1015</v>
      </c>
      <c r="Q200" s="37" t="s">
        <v>609</v>
      </c>
      <c r="R200" s="36" t="str">
        <f aca="false">IF(H200="Ya",IF(M200&lt;&gt;"","SUDAH PLOTTING","BELUM PLOTTING"),"-")</f>
        <v>-</v>
      </c>
      <c r="S200" s="37"/>
      <c r="T200" s="37"/>
    </row>
    <row r="201" customFormat="false" ht="15" hidden="false" customHeight="true" outlineLevel="0" collapsed="false">
      <c r="A201" s="36" t="s">
        <v>1016</v>
      </c>
      <c r="B201" s="37" t="s">
        <v>601</v>
      </c>
      <c r="C201" s="37" t="s">
        <v>440</v>
      </c>
      <c r="D201" s="37" t="s">
        <v>857</v>
      </c>
      <c r="E201" s="36" t="s">
        <v>79</v>
      </c>
      <c r="F201" s="38" t="s">
        <v>11</v>
      </c>
      <c r="G201" s="36" t="s">
        <v>68</v>
      </c>
      <c r="H201" s="36" t="s">
        <v>658</v>
      </c>
      <c r="I201" s="37" t="n">
        <v>124</v>
      </c>
      <c r="J201" s="37"/>
      <c r="K201" s="37" t="n">
        <v>0</v>
      </c>
      <c r="L201" s="37" t="n">
        <v>0</v>
      </c>
      <c r="M201" s="37"/>
      <c r="N201" s="37"/>
      <c r="O201" s="37" t="s">
        <v>659</v>
      </c>
      <c r="P201" s="37" t="s">
        <v>1017</v>
      </c>
      <c r="Q201" s="37" t="s">
        <v>609</v>
      </c>
      <c r="R201" s="36" t="str">
        <f aca="false">IF(H201="Ya",IF(M201&lt;&gt;"","SUDAH PLOTTING","BELUM PLOTTING"),"-")</f>
        <v>-</v>
      </c>
      <c r="S201" s="37"/>
      <c r="T201" s="37"/>
    </row>
    <row r="202" customFormat="false" ht="15" hidden="false" customHeight="true" outlineLevel="0" collapsed="false">
      <c r="A202" s="36" t="s">
        <v>1018</v>
      </c>
      <c r="B202" s="37" t="s">
        <v>601</v>
      </c>
      <c r="C202" s="37" t="s">
        <v>440</v>
      </c>
      <c r="D202" s="37" t="s">
        <v>857</v>
      </c>
      <c r="E202" s="36" t="s">
        <v>88</v>
      </c>
      <c r="F202" s="38" t="s">
        <v>11</v>
      </c>
      <c r="G202" s="36" t="s">
        <v>68</v>
      </c>
      <c r="H202" s="36" t="s">
        <v>658</v>
      </c>
      <c r="I202" s="37" t="n">
        <v>142</v>
      </c>
      <c r="J202" s="37"/>
      <c r="K202" s="37" t="n">
        <v>0</v>
      </c>
      <c r="L202" s="37" t="n">
        <v>0</v>
      </c>
      <c r="M202" s="37"/>
      <c r="N202" s="37"/>
      <c r="O202" s="37" t="s">
        <v>659</v>
      </c>
      <c r="P202" s="37" t="s">
        <v>1017</v>
      </c>
      <c r="Q202" s="37" t="s">
        <v>609</v>
      </c>
      <c r="R202" s="36" t="str">
        <f aca="false">IF(H202="Ya",IF(M202&lt;&gt;"","SUDAH PLOTTING","BELUM PLOTTING"),"-")</f>
        <v>-</v>
      </c>
      <c r="S202" s="37"/>
      <c r="T202" s="37"/>
    </row>
    <row r="203" customFormat="false" ht="15" hidden="false" customHeight="true" outlineLevel="0" collapsed="false">
      <c r="A203" s="36" t="s">
        <v>1019</v>
      </c>
      <c r="B203" s="37" t="s">
        <v>601</v>
      </c>
      <c r="C203" s="37" t="s">
        <v>440</v>
      </c>
      <c r="D203" s="37" t="s">
        <v>1020</v>
      </c>
      <c r="E203" s="36" t="s">
        <v>62</v>
      </c>
      <c r="F203" s="38" t="s">
        <v>11</v>
      </c>
      <c r="G203" s="36" t="s">
        <v>68</v>
      </c>
      <c r="H203" s="36" t="s">
        <v>658</v>
      </c>
      <c r="I203" s="37" t="n">
        <v>117</v>
      </c>
      <c r="J203" s="37"/>
      <c r="K203" s="37" t="n">
        <v>0</v>
      </c>
      <c r="L203" s="37" t="n">
        <v>0</v>
      </c>
      <c r="M203" s="37"/>
      <c r="N203" s="37"/>
      <c r="O203" s="37" t="s">
        <v>659</v>
      </c>
      <c r="P203" s="37" t="s">
        <v>1021</v>
      </c>
      <c r="Q203" s="37" t="s">
        <v>609</v>
      </c>
      <c r="R203" s="36" t="str">
        <f aca="false">IF(H203="Ya",IF(M203&lt;&gt;"","SUDAH PLOTTING","BELUM PLOTTING"),"-")</f>
        <v>-</v>
      </c>
      <c r="S203" s="37"/>
      <c r="T203" s="37"/>
    </row>
    <row r="204" customFormat="false" ht="15" hidden="false" customHeight="true" outlineLevel="0" collapsed="false">
      <c r="A204" s="36" t="s">
        <v>1022</v>
      </c>
      <c r="B204" s="37" t="s">
        <v>601</v>
      </c>
      <c r="C204" s="37" t="s">
        <v>440</v>
      </c>
      <c r="D204" s="37" t="s">
        <v>1023</v>
      </c>
      <c r="E204" s="36" t="s">
        <v>62</v>
      </c>
      <c r="F204" s="38" t="s">
        <v>11</v>
      </c>
      <c r="G204" s="36" t="s">
        <v>68</v>
      </c>
      <c r="H204" s="36" t="s">
        <v>658</v>
      </c>
      <c r="I204" s="37" t="n">
        <v>158</v>
      </c>
      <c r="J204" s="37"/>
      <c r="K204" s="37" t="n">
        <v>0</v>
      </c>
      <c r="L204" s="37" t="n">
        <v>0</v>
      </c>
      <c r="M204" s="37"/>
      <c r="N204" s="37"/>
      <c r="O204" s="37" t="s">
        <v>659</v>
      </c>
      <c r="P204" s="37" t="s">
        <v>1024</v>
      </c>
      <c r="Q204" s="37" t="s">
        <v>609</v>
      </c>
      <c r="R204" s="36" t="str">
        <f aca="false">IF(H204="Ya",IF(M204&lt;&gt;"","SUDAH PLOTTING","BELUM PLOTTING"),"-")</f>
        <v>-</v>
      </c>
      <c r="S204" s="37"/>
      <c r="T204" s="37"/>
    </row>
    <row r="205" customFormat="false" ht="15" hidden="false" customHeight="true" outlineLevel="0" collapsed="false">
      <c r="A205" s="36" t="s">
        <v>1025</v>
      </c>
      <c r="B205" s="37" t="s">
        <v>140</v>
      </c>
      <c r="C205" s="37" t="s">
        <v>141</v>
      </c>
      <c r="D205" s="37" t="s">
        <v>1026</v>
      </c>
      <c r="E205" s="36" t="s">
        <v>79</v>
      </c>
      <c r="F205" s="38" t="s">
        <v>11</v>
      </c>
      <c r="G205" s="36" t="s">
        <v>68</v>
      </c>
      <c r="H205" s="36" t="s">
        <v>658</v>
      </c>
      <c r="I205" s="37" t="n">
        <v>124</v>
      </c>
      <c r="J205" s="37"/>
      <c r="K205" s="37" t="n">
        <v>0</v>
      </c>
      <c r="L205" s="37" t="n">
        <v>0</v>
      </c>
      <c r="M205" s="37"/>
      <c r="N205" s="37"/>
      <c r="O205" s="37" t="s">
        <v>659</v>
      </c>
      <c r="P205" s="37" t="s">
        <v>1027</v>
      </c>
      <c r="Q205" s="37" t="s">
        <v>613</v>
      </c>
      <c r="R205" s="36" t="str">
        <f aca="false">IF(H205="Ya",IF(M205&lt;&gt;"","SUDAH PLOTTING","BELUM PLOTTING"),"-")</f>
        <v>-</v>
      </c>
      <c r="S205" s="37"/>
      <c r="T205" s="37"/>
    </row>
    <row r="206" customFormat="false" ht="15" hidden="false" customHeight="true" outlineLevel="0" collapsed="false">
      <c r="A206" s="36" t="s">
        <v>1028</v>
      </c>
      <c r="B206" s="37" t="s">
        <v>140</v>
      </c>
      <c r="C206" s="37" t="s">
        <v>141</v>
      </c>
      <c r="D206" s="37" t="s">
        <v>1026</v>
      </c>
      <c r="E206" s="36" t="s">
        <v>88</v>
      </c>
      <c r="F206" s="38" t="s">
        <v>11</v>
      </c>
      <c r="G206" s="36" t="s">
        <v>68</v>
      </c>
      <c r="H206" s="36" t="s">
        <v>658</v>
      </c>
      <c r="I206" s="37" t="n">
        <v>145</v>
      </c>
      <c r="J206" s="37"/>
      <c r="K206" s="37" t="n">
        <v>0</v>
      </c>
      <c r="L206" s="37" t="n">
        <v>0</v>
      </c>
      <c r="M206" s="37"/>
      <c r="N206" s="37"/>
      <c r="O206" s="37" t="s">
        <v>659</v>
      </c>
      <c r="P206" s="37" t="s">
        <v>1027</v>
      </c>
      <c r="Q206" s="37" t="s">
        <v>613</v>
      </c>
      <c r="R206" s="36" t="str">
        <f aca="false">IF(H206="Ya",IF(M206&lt;&gt;"","SUDAH PLOTTING","BELUM PLOTTING"),"-")</f>
        <v>-</v>
      </c>
      <c r="S206" s="37"/>
      <c r="T206" s="37"/>
    </row>
    <row r="207" customFormat="false" ht="15" hidden="false" customHeight="true" outlineLevel="0" collapsed="false">
      <c r="A207" s="36" t="s">
        <v>1029</v>
      </c>
      <c r="B207" s="37" t="s">
        <v>140</v>
      </c>
      <c r="C207" s="37" t="s">
        <v>141</v>
      </c>
      <c r="D207" s="37" t="s">
        <v>1026</v>
      </c>
      <c r="E207" s="36" t="s">
        <v>92</v>
      </c>
      <c r="F207" s="38" t="s">
        <v>11</v>
      </c>
      <c r="G207" s="36" t="s">
        <v>68</v>
      </c>
      <c r="H207" s="36" t="s">
        <v>658</v>
      </c>
      <c r="I207" s="37" t="n">
        <v>149</v>
      </c>
      <c r="J207" s="37"/>
      <c r="K207" s="37" t="n">
        <v>0</v>
      </c>
      <c r="L207" s="37" t="n">
        <v>0</v>
      </c>
      <c r="M207" s="37"/>
      <c r="N207" s="37"/>
      <c r="O207" s="37" t="s">
        <v>659</v>
      </c>
      <c r="P207" s="37" t="s">
        <v>1027</v>
      </c>
      <c r="Q207" s="37" t="s">
        <v>613</v>
      </c>
      <c r="R207" s="36" t="str">
        <f aca="false">IF(H207="Ya",IF(M207&lt;&gt;"","SUDAH PLOTTING","BELUM PLOTTING"),"-")</f>
        <v>-</v>
      </c>
      <c r="S207" s="37"/>
      <c r="T207" s="37"/>
    </row>
    <row r="208" customFormat="false" ht="15" hidden="false" customHeight="true" outlineLevel="0" collapsed="false">
      <c r="A208" s="36" t="s">
        <v>1030</v>
      </c>
      <c r="B208" s="37" t="s">
        <v>140</v>
      </c>
      <c r="C208" s="37" t="s">
        <v>141</v>
      </c>
      <c r="D208" s="37" t="s">
        <v>1026</v>
      </c>
      <c r="E208" s="36" t="s">
        <v>97</v>
      </c>
      <c r="F208" s="38" t="s">
        <v>11</v>
      </c>
      <c r="G208" s="36" t="s">
        <v>68</v>
      </c>
      <c r="H208" s="36" t="s">
        <v>658</v>
      </c>
      <c r="I208" s="37" t="n">
        <v>186</v>
      </c>
      <c r="J208" s="37"/>
      <c r="K208" s="37" t="n">
        <v>0</v>
      </c>
      <c r="L208" s="37" t="n">
        <v>0</v>
      </c>
      <c r="M208" s="37"/>
      <c r="N208" s="37"/>
      <c r="O208" s="37" t="s">
        <v>659</v>
      </c>
      <c r="P208" s="37" t="s">
        <v>1027</v>
      </c>
      <c r="Q208" s="37" t="s">
        <v>613</v>
      </c>
      <c r="R208" s="36" t="str">
        <f aca="false">IF(H208="Ya",IF(M208&lt;&gt;"","SUDAH PLOTTING","BELUM PLOTTING"),"-")</f>
        <v>-</v>
      </c>
      <c r="S208" s="37"/>
      <c r="T208" s="37"/>
    </row>
    <row r="209" customFormat="false" ht="15" hidden="false" customHeight="true" outlineLevel="0" collapsed="false">
      <c r="A209" s="36" t="s">
        <v>143</v>
      </c>
      <c r="B209" s="37" t="s">
        <v>140</v>
      </c>
      <c r="C209" s="37" t="s">
        <v>141</v>
      </c>
      <c r="D209" s="37" t="s">
        <v>142</v>
      </c>
      <c r="E209" s="36" t="s">
        <v>79</v>
      </c>
      <c r="F209" s="39" t="s">
        <v>7</v>
      </c>
      <c r="G209" s="36" t="s">
        <v>68</v>
      </c>
      <c r="H209" s="36" t="s">
        <v>68</v>
      </c>
      <c r="I209" s="37" t="n">
        <v>124</v>
      </c>
      <c r="J209" s="37" t="n">
        <v>0.14</v>
      </c>
      <c r="K209" s="37" t="n">
        <v>0</v>
      </c>
      <c r="L209" s="37" t="n">
        <v>0</v>
      </c>
      <c r="M209" s="37"/>
      <c r="N209" s="37" t="n">
        <v>1</v>
      </c>
      <c r="O209" s="37" t="s">
        <v>749</v>
      </c>
      <c r="P209" s="37" t="s">
        <v>1031</v>
      </c>
      <c r="Q209" s="37" t="s">
        <v>613</v>
      </c>
      <c r="R209" s="36" t="str">
        <f aca="false">IF(H209="Ya",IF(M209&lt;&gt;"","SUDAH PLOTTING","BELUM PLOTTING"),"-")</f>
        <v>BELUM PLOTTING</v>
      </c>
      <c r="S209" s="37" t="s">
        <v>76</v>
      </c>
      <c r="T209" s="37" t="s">
        <v>1032</v>
      </c>
      <c r="U209" s="40" t="s">
        <v>752</v>
      </c>
      <c r="V209" s="40" t="s">
        <v>68</v>
      </c>
    </row>
    <row r="210" customFormat="false" ht="15" hidden="false" customHeight="true" outlineLevel="0" collapsed="false">
      <c r="A210" s="36" t="s">
        <v>148</v>
      </c>
      <c r="B210" s="37" t="s">
        <v>140</v>
      </c>
      <c r="C210" s="37" t="s">
        <v>141</v>
      </c>
      <c r="D210" s="37" t="s">
        <v>142</v>
      </c>
      <c r="E210" s="36" t="s">
        <v>88</v>
      </c>
      <c r="F210" s="39" t="s">
        <v>7</v>
      </c>
      <c r="G210" s="36" t="s">
        <v>68</v>
      </c>
      <c r="H210" s="36" t="s">
        <v>68</v>
      </c>
      <c r="I210" s="37" t="n">
        <v>146</v>
      </c>
      <c r="J210" s="37" t="n">
        <v>0.14</v>
      </c>
      <c r="K210" s="37" t="n">
        <v>0</v>
      </c>
      <c r="L210" s="37" t="n">
        <v>0</v>
      </c>
      <c r="M210" s="37"/>
      <c r="N210" s="37" t="n">
        <v>1</v>
      </c>
      <c r="O210" s="37" t="s">
        <v>749</v>
      </c>
      <c r="P210" s="37" t="s">
        <v>1031</v>
      </c>
      <c r="Q210" s="37" t="s">
        <v>613</v>
      </c>
      <c r="R210" s="36" t="str">
        <f aca="false">IF(H210="Ya",IF(M210&lt;&gt;"","SUDAH PLOTTING","BELUM PLOTTING"),"-")</f>
        <v>BELUM PLOTTING</v>
      </c>
      <c r="S210" s="37" t="s">
        <v>76</v>
      </c>
      <c r="T210" s="37" t="s">
        <v>1032</v>
      </c>
      <c r="U210" s="40" t="s">
        <v>752</v>
      </c>
      <c r="V210" s="40" t="s">
        <v>68</v>
      </c>
    </row>
    <row r="211" customFormat="false" ht="15" hidden="false" customHeight="true" outlineLevel="0" collapsed="false">
      <c r="A211" s="36" t="s">
        <v>151</v>
      </c>
      <c r="B211" s="37" t="s">
        <v>140</v>
      </c>
      <c r="C211" s="37" t="s">
        <v>141</v>
      </c>
      <c r="D211" s="37" t="s">
        <v>142</v>
      </c>
      <c r="E211" s="36" t="s">
        <v>92</v>
      </c>
      <c r="F211" s="39" t="s">
        <v>7</v>
      </c>
      <c r="G211" s="36" t="s">
        <v>68</v>
      </c>
      <c r="H211" s="36" t="s">
        <v>68</v>
      </c>
      <c r="I211" s="37" t="n">
        <v>142</v>
      </c>
      <c r="J211" s="37" t="n">
        <v>0.14</v>
      </c>
      <c r="K211" s="37" t="n">
        <v>0</v>
      </c>
      <c r="L211" s="37" t="n">
        <v>0</v>
      </c>
      <c r="M211" s="37"/>
      <c r="N211" s="37" t="n">
        <v>1</v>
      </c>
      <c r="O211" s="37" t="s">
        <v>749</v>
      </c>
      <c r="P211" s="37" t="s">
        <v>1031</v>
      </c>
      <c r="Q211" s="37" t="s">
        <v>613</v>
      </c>
      <c r="R211" s="36" t="str">
        <f aca="false">IF(H211="Ya",IF(M211&lt;&gt;"","SUDAH PLOTTING","BELUM PLOTTING"),"-")</f>
        <v>BELUM PLOTTING</v>
      </c>
      <c r="S211" s="37" t="s">
        <v>76</v>
      </c>
      <c r="T211" s="37" t="s">
        <v>1033</v>
      </c>
      <c r="U211" s="40" t="s">
        <v>752</v>
      </c>
      <c r="V211" s="40" t="s">
        <v>68</v>
      </c>
    </row>
    <row r="212" customFormat="false" ht="15" hidden="false" customHeight="true" outlineLevel="0" collapsed="false">
      <c r="A212" s="36" t="s">
        <v>155</v>
      </c>
      <c r="B212" s="37" t="s">
        <v>140</v>
      </c>
      <c r="C212" s="37" t="s">
        <v>141</v>
      </c>
      <c r="D212" s="37" t="s">
        <v>142</v>
      </c>
      <c r="E212" s="36" t="s">
        <v>97</v>
      </c>
      <c r="F212" s="39" t="s">
        <v>7</v>
      </c>
      <c r="G212" s="36" t="s">
        <v>68</v>
      </c>
      <c r="H212" s="36" t="s">
        <v>68</v>
      </c>
      <c r="I212" s="37" t="n">
        <v>172</v>
      </c>
      <c r="J212" s="37" t="n">
        <v>0.14</v>
      </c>
      <c r="K212" s="37" t="n">
        <v>0</v>
      </c>
      <c r="L212" s="37" t="n">
        <v>0</v>
      </c>
      <c r="M212" s="37"/>
      <c r="N212" s="37" t="n">
        <v>1</v>
      </c>
      <c r="O212" s="37" t="s">
        <v>749</v>
      </c>
      <c r="P212" s="37" t="s">
        <v>1031</v>
      </c>
      <c r="Q212" s="37" t="s">
        <v>613</v>
      </c>
      <c r="R212" s="36" t="str">
        <f aca="false">IF(H212="Ya",IF(M212&lt;&gt;"","SUDAH PLOTTING","BELUM PLOTTING"),"-")</f>
        <v>BELUM PLOTTING</v>
      </c>
      <c r="S212" s="37" t="s">
        <v>76</v>
      </c>
      <c r="T212" s="37" t="s">
        <v>1033</v>
      </c>
      <c r="U212" s="40" t="s">
        <v>752</v>
      </c>
      <c r="V212" s="40" t="s">
        <v>68</v>
      </c>
    </row>
    <row r="213" customFormat="false" ht="15" hidden="false" customHeight="true" outlineLevel="0" collapsed="false">
      <c r="A213" s="36" t="s">
        <v>158</v>
      </c>
      <c r="B213" s="37" t="s">
        <v>140</v>
      </c>
      <c r="C213" s="37" t="s">
        <v>141</v>
      </c>
      <c r="D213" s="37" t="s">
        <v>142</v>
      </c>
      <c r="E213" s="36" t="s">
        <v>103</v>
      </c>
      <c r="F213" s="39" t="s">
        <v>7</v>
      </c>
      <c r="G213" s="36" t="s">
        <v>68</v>
      </c>
      <c r="H213" s="36" t="s">
        <v>68</v>
      </c>
      <c r="I213" s="37" t="n">
        <v>148</v>
      </c>
      <c r="J213" s="37" t="n">
        <v>0.14</v>
      </c>
      <c r="K213" s="37" t="n">
        <v>0</v>
      </c>
      <c r="L213" s="37" t="n">
        <v>0</v>
      </c>
      <c r="M213" s="37"/>
      <c r="N213" s="37" t="n">
        <v>1</v>
      </c>
      <c r="O213" s="37" t="s">
        <v>749</v>
      </c>
      <c r="P213" s="37" t="s">
        <v>1031</v>
      </c>
      <c r="Q213" s="37" t="s">
        <v>613</v>
      </c>
      <c r="R213" s="36" t="str">
        <f aca="false">IF(H213="Ya",IF(M213&lt;&gt;"","SUDAH PLOTTING","BELUM PLOTTING"),"-")</f>
        <v>BELUM PLOTTING</v>
      </c>
      <c r="S213" s="37" t="s">
        <v>76</v>
      </c>
      <c r="T213" s="37" t="s">
        <v>1034</v>
      </c>
      <c r="U213" s="40" t="s">
        <v>752</v>
      </c>
      <c r="V213" s="40" t="s">
        <v>68</v>
      </c>
    </row>
    <row r="214" customFormat="false" ht="15" hidden="false" customHeight="true" outlineLevel="0" collapsed="false">
      <c r="A214" s="36" t="s">
        <v>162</v>
      </c>
      <c r="B214" s="37" t="s">
        <v>140</v>
      </c>
      <c r="C214" s="37" t="s">
        <v>141</v>
      </c>
      <c r="D214" s="37" t="s">
        <v>142</v>
      </c>
      <c r="E214" s="36" t="s">
        <v>111</v>
      </c>
      <c r="F214" s="39" t="s">
        <v>7</v>
      </c>
      <c r="G214" s="36" t="s">
        <v>68</v>
      </c>
      <c r="H214" s="36" t="s">
        <v>68</v>
      </c>
      <c r="I214" s="37" t="n">
        <v>127</v>
      </c>
      <c r="J214" s="37" t="n">
        <v>0.14</v>
      </c>
      <c r="K214" s="37" t="n">
        <v>0</v>
      </c>
      <c r="L214" s="37" t="n">
        <v>0</v>
      </c>
      <c r="M214" s="37"/>
      <c r="N214" s="37" t="n">
        <v>1</v>
      </c>
      <c r="O214" s="37" t="s">
        <v>749</v>
      </c>
      <c r="P214" s="37" t="s">
        <v>1031</v>
      </c>
      <c r="Q214" s="37" t="s">
        <v>613</v>
      </c>
      <c r="R214" s="36" t="str">
        <f aca="false">IF(H214="Ya",IF(M214&lt;&gt;"","SUDAH PLOTTING","BELUM PLOTTING"),"-")</f>
        <v>BELUM PLOTTING</v>
      </c>
      <c r="S214" s="37" t="s">
        <v>76</v>
      </c>
      <c r="T214" s="37" t="s">
        <v>1035</v>
      </c>
      <c r="U214" s="40" t="s">
        <v>752</v>
      </c>
      <c r="V214" s="40" t="s">
        <v>68</v>
      </c>
    </row>
    <row r="215" customFormat="false" ht="15" hidden="false" customHeight="true" outlineLevel="0" collapsed="false">
      <c r="A215" s="36" t="s">
        <v>167</v>
      </c>
      <c r="B215" s="37" t="s">
        <v>140</v>
      </c>
      <c r="C215" s="37" t="s">
        <v>141</v>
      </c>
      <c r="D215" s="37" t="s">
        <v>142</v>
      </c>
      <c r="E215" s="36" t="s">
        <v>166</v>
      </c>
      <c r="F215" s="39" t="s">
        <v>7</v>
      </c>
      <c r="G215" s="36" t="s">
        <v>68</v>
      </c>
      <c r="H215" s="36" t="s">
        <v>68</v>
      </c>
      <c r="I215" s="37" t="n">
        <v>91</v>
      </c>
      <c r="J215" s="37" t="n">
        <v>0.14</v>
      </c>
      <c r="K215" s="37" t="n">
        <v>0</v>
      </c>
      <c r="L215" s="37" t="n">
        <v>0</v>
      </c>
      <c r="M215" s="37"/>
      <c r="N215" s="37" t="n">
        <v>1</v>
      </c>
      <c r="O215" s="37" t="s">
        <v>749</v>
      </c>
      <c r="P215" s="37" t="s">
        <v>1031</v>
      </c>
      <c r="Q215" s="37" t="s">
        <v>613</v>
      </c>
      <c r="R215" s="36" t="str">
        <f aca="false">IF(H215="Ya",IF(M215&lt;&gt;"","SUDAH PLOTTING","BELUM PLOTTING"),"-")</f>
        <v>BELUM PLOTTING</v>
      </c>
      <c r="S215" s="37" t="s">
        <v>76</v>
      </c>
      <c r="T215" s="37" t="s">
        <v>1036</v>
      </c>
      <c r="U215" s="40" t="s">
        <v>752</v>
      </c>
      <c r="V215" s="40" t="s">
        <v>68</v>
      </c>
    </row>
    <row r="216" customFormat="false" ht="15" hidden="false" customHeight="true" outlineLevel="0" collapsed="false">
      <c r="A216" s="36" t="s">
        <v>1037</v>
      </c>
      <c r="B216" s="37" t="s">
        <v>140</v>
      </c>
      <c r="C216" s="37" t="s">
        <v>141</v>
      </c>
      <c r="D216" s="37" t="s">
        <v>1038</v>
      </c>
      <c r="E216" s="36" t="s">
        <v>79</v>
      </c>
      <c r="F216" s="38" t="s">
        <v>11</v>
      </c>
      <c r="G216" s="36" t="s">
        <v>68</v>
      </c>
      <c r="H216" s="36" t="s">
        <v>658</v>
      </c>
      <c r="I216" s="37" t="n">
        <v>151</v>
      </c>
      <c r="J216" s="37"/>
      <c r="K216" s="37" t="n">
        <v>0</v>
      </c>
      <c r="L216" s="37" t="n">
        <v>0</v>
      </c>
      <c r="M216" s="37"/>
      <c r="N216" s="37"/>
      <c r="O216" s="37" t="s">
        <v>659</v>
      </c>
      <c r="P216" s="37" t="s">
        <v>1039</v>
      </c>
      <c r="Q216" s="37" t="s">
        <v>613</v>
      </c>
      <c r="R216" s="36" t="str">
        <f aca="false">IF(H216="Ya",IF(M216&lt;&gt;"","SUDAH PLOTTING","BELUM PLOTTING"),"-")</f>
        <v>-</v>
      </c>
      <c r="S216" s="37"/>
      <c r="T216" s="37"/>
    </row>
    <row r="217" customFormat="false" ht="15" hidden="false" customHeight="true" outlineLevel="0" collapsed="false">
      <c r="A217" s="36" t="s">
        <v>1040</v>
      </c>
      <c r="B217" s="37" t="s">
        <v>140</v>
      </c>
      <c r="C217" s="37" t="s">
        <v>141</v>
      </c>
      <c r="D217" s="37" t="s">
        <v>1038</v>
      </c>
      <c r="E217" s="36" t="s">
        <v>88</v>
      </c>
      <c r="F217" s="38" t="s">
        <v>11</v>
      </c>
      <c r="G217" s="36" t="s">
        <v>68</v>
      </c>
      <c r="H217" s="36" t="s">
        <v>658</v>
      </c>
      <c r="I217" s="37" t="n">
        <v>133</v>
      </c>
      <c r="J217" s="37"/>
      <c r="K217" s="37" t="n">
        <v>0</v>
      </c>
      <c r="L217" s="37" t="n">
        <v>0</v>
      </c>
      <c r="M217" s="37"/>
      <c r="N217" s="37"/>
      <c r="O217" s="37" t="s">
        <v>659</v>
      </c>
      <c r="P217" s="37" t="s">
        <v>1039</v>
      </c>
      <c r="Q217" s="37" t="s">
        <v>613</v>
      </c>
      <c r="R217" s="36" t="str">
        <f aca="false">IF(H217="Ya",IF(M217&lt;&gt;"","SUDAH PLOTTING","BELUM PLOTTING"),"-")</f>
        <v>-</v>
      </c>
      <c r="S217" s="37"/>
      <c r="T217" s="37"/>
    </row>
    <row r="218" customFormat="false" ht="15" hidden="false" customHeight="true" outlineLevel="0" collapsed="false">
      <c r="A218" s="36" t="s">
        <v>1041</v>
      </c>
      <c r="B218" s="37" t="s">
        <v>140</v>
      </c>
      <c r="C218" s="37" t="s">
        <v>141</v>
      </c>
      <c r="D218" s="37" t="s">
        <v>1038</v>
      </c>
      <c r="E218" s="36" t="s">
        <v>92</v>
      </c>
      <c r="F218" s="38" t="s">
        <v>11</v>
      </c>
      <c r="G218" s="36" t="s">
        <v>68</v>
      </c>
      <c r="H218" s="36" t="s">
        <v>658</v>
      </c>
      <c r="I218" s="37" t="n">
        <v>137</v>
      </c>
      <c r="J218" s="37"/>
      <c r="K218" s="37" t="n">
        <v>0</v>
      </c>
      <c r="L218" s="37" t="n">
        <v>0</v>
      </c>
      <c r="M218" s="37"/>
      <c r="N218" s="37"/>
      <c r="O218" s="37" t="s">
        <v>659</v>
      </c>
      <c r="P218" s="37" t="s">
        <v>1039</v>
      </c>
      <c r="Q218" s="37" t="s">
        <v>613</v>
      </c>
      <c r="R218" s="36" t="str">
        <f aca="false">IF(H218="Ya",IF(M218&lt;&gt;"","SUDAH PLOTTING","BELUM PLOTTING"),"-")</f>
        <v>-</v>
      </c>
      <c r="S218" s="37"/>
      <c r="T218" s="37"/>
    </row>
    <row r="219" customFormat="false" ht="15" hidden="false" customHeight="true" outlineLevel="0" collapsed="false">
      <c r="A219" s="36" t="s">
        <v>1042</v>
      </c>
      <c r="B219" s="37" t="s">
        <v>140</v>
      </c>
      <c r="C219" s="37" t="s">
        <v>141</v>
      </c>
      <c r="D219" s="37" t="s">
        <v>1038</v>
      </c>
      <c r="E219" s="36" t="s">
        <v>97</v>
      </c>
      <c r="F219" s="38" t="s">
        <v>11</v>
      </c>
      <c r="G219" s="36" t="s">
        <v>68</v>
      </c>
      <c r="H219" s="36" t="s">
        <v>658</v>
      </c>
      <c r="I219" s="37" t="n">
        <v>119</v>
      </c>
      <c r="J219" s="37"/>
      <c r="K219" s="37" t="n">
        <v>0</v>
      </c>
      <c r="L219" s="37" t="n">
        <v>0</v>
      </c>
      <c r="M219" s="37"/>
      <c r="N219" s="37"/>
      <c r="O219" s="37" t="s">
        <v>659</v>
      </c>
      <c r="P219" s="37" t="s">
        <v>1039</v>
      </c>
      <c r="Q219" s="37" t="s">
        <v>613</v>
      </c>
      <c r="R219" s="36" t="str">
        <f aca="false">IF(H219="Ya",IF(M219&lt;&gt;"","SUDAH PLOTTING","BELUM PLOTTING"),"-")</f>
        <v>-</v>
      </c>
      <c r="S219" s="37"/>
      <c r="T219" s="37"/>
    </row>
    <row r="220" customFormat="false" ht="15" hidden="false" customHeight="true" outlineLevel="0" collapsed="false">
      <c r="A220" s="36" t="s">
        <v>1043</v>
      </c>
      <c r="B220" s="37" t="s">
        <v>140</v>
      </c>
      <c r="C220" s="37" t="s">
        <v>141</v>
      </c>
      <c r="D220" s="37" t="s">
        <v>1044</v>
      </c>
      <c r="E220" s="36" t="s">
        <v>79</v>
      </c>
      <c r="F220" s="38" t="s">
        <v>11</v>
      </c>
      <c r="G220" s="36" t="s">
        <v>68</v>
      </c>
      <c r="H220" s="36" t="s">
        <v>658</v>
      </c>
      <c r="I220" s="37" t="n">
        <v>127</v>
      </c>
      <c r="J220" s="37"/>
      <c r="K220" s="37" t="n">
        <v>0</v>
      </c>
      <c r="L220" s="37" t="n">
        <v>0</v>
      </c>
      <c r="M220" s="37"/>
      <c r="N220" s="37"/>
      <c r="O220" s="37" t="s">
        <v>659</v>
      </c>
      <c r="P220" s="37" t="s">
        <v>1045</v>
      </c>
      <c r="Q220" s="37" t="s">
        <v>613</v>
      </c>
      <c r="R220" s="36" t="str">
        <f aca="false">IF(H220="Ya",IF(M220&lt;&gt;"","SUDAH PLOTTING","BELUM PLOTTING"),"-")</f>
        <v>-</v>
      </c>
      <c r="S220" s="37"/>
      <c r="T220" s="37"/>
    </row>
    <row r="221" customFormat="false" ht="15" hidden="false" customHeight="true" outlineLevel="0" collapsed="false">
      <c r="A221" s="36" t="s">
        <v>1046</v>
      </c>
      <c r="B221" s="37" t="s">
        <v>140</v>
      </c>
      <c r="C221" s="37" t="s">
        <v>141</v>
      </c>
      <c r="D221" s="37" t="s">
        <v>1044</v>
      </c>
      <c r="E221" s="36" t="s">
        <v>88</v>
      </c>
      <c r="F221" s="38" t="s">
        <v>11</v>
      </c>
      <c r="G221" s="36" t="s">
        <v>68</v>
      </c>
      <c r="H221" s="36" t="s">
        <v>658</v>
      </c>
      <c r="I221" s="37" t="n">
        <v>137</v>
      </c>
      <c r="J221" s="37"/>
      <c r="K221" s="37" t="n">
        <v>0</v>
      </c>
      <c r="L221" s="37" t="n">
        <v>0</v>
      </c>
      <c r="M221" s="37"/>
      <c r="N221" s="37"/>
      <c r="O221" s="37" t="s">
        <v>659</v>
      </c>
      <c r="P221" s="37" t="s">
        <v>1045</v>
      </c>
      <c r="Q221" s="37" t="s">
        <v>613</v>
      </c>
      <c r="R221" s="36" t="str">
        <f aca="false">IF(H221="Ya",IF(M221&lt;&gt;"","SUDAH PLOTTING","BELUM PLOTTING"),"-")</f>
        <v>-</v>
      </c>
      <c r="S221" s="37"/>
      <c r="T221" s="37"/>
    </row>
    <row r="222" customFormat="false" ht="15" hidden="false" customHeight="true" outlineLevel="0" collapsed="false">
      <c r="A222" s="36" t="s">
        <v>1047</v>
      </c>
      <c r="B222" s="37" t="s">
        <v>140</v>
      </c>
      <c r="C222" s="37" t="s">
        <v>141</v>
      </c>
      <c r="D222" s="37" t="s">
        <v>1044</v>
      </c>
      <c r="E222" s="36" t="s">
        <v>92</v>
      </c>
      <c r="F222" s="38" t="s">
        <v>11</v>
      </c>
      <c r="G222" s="36" t="s">
        <v>68</v>
      </c>
      <c r="H222" s="36" t="s">
        <v>658</v>
      </c>
      <c r="I222" s="37" t="n">
        <v>133</v>
      </c>
      <c r="J222" s="37"/>
      <c r="K222" s="37" t="n">
        <v>0</v>
      </c>
      <c r="L222" s="37" t="n">
        <v>0</v>
      </c>
      <c r="M222" s="37"/>
      <c r="N222" s="37"/>
      <c r="O222" s="37" t="s">
        <v>659</v>
      </c>
      <c r="P222" s="37" t="s">
        <v>1045</v>
      </c>
      <c r="Q222" s="37" t="s">
        <v>613</v>
      </c>
      <c r="R222" s="36" t="str">
        <f aca="false">IF(H222="Ya",IF(M222&lt;&gt;"","SUDAH PLOTTING","BELUM PLOTTING"),"-")</f>
        <v>-</v>
      </c>
      <c r="S222" s="37"/>
      <c r="T222" s="37"/>
    </row>
    <row r="223" customFormat="false" ht="15" hidden="false" customHeight="true" outlineLevel="0" collapsed="false">
      <c r="A223" s="36" t="s">
        <v>1048</v>
      </c>
      <c r="B223" s="37" t="s">
        <v>140</v>
      </c>
      <c r="C223" s="37" t="s">
        <v>141</v>
      </c>
      <c r="D223" s="37" t="s">
        <v>1044</v>
      </c>
      <c r="E223" s="36" t="s">
        <v>97</v>
      </c>
      <c r="F223" s="38" t="s">
        <v>11</v>
      </c>
      <c r="G223" s="36" t="s">
        <v>68</v>
      </c>
      <c r="H223" s="36" t="s">
        <v>658</v>
      </c>
      <c r="I223" s="37" t="n">
        <v>156</v>
      </c>
      <c r="J223" s="37"/>
      <c r="K223" s="37" t="n">
        <v>0</v>
      </c>
      <c r="L223" s="37" t="n">
        <v>0</v>
      </c>
      <c r="M223" s="37"/>
      <c r="N223" s="37"/>
      <c r="O223" s="37" t="s">
        <v>659</v>
      </c>
      <c r="P223" s="37" t="s">
        <v>1045</v>
      </c>
      <c r="Q223" s="37" t="s">
        <v>613</v>
      </c>
      <c r="R223" s="36" t="str">
        <f aca="false">IF(H223="Ya",IF(M223&lt;&gt;"","SUDAH PLOTTING","BELUM PLOTTING"),"-")</f>
        <v>-</v>
      </c>
      <c r="S223" s="37"/>
      <c r="T223" s="37"/>
    </row>
    <row r="224" customFormat="false" ht="15" hidden="false" customHeight="true" outlineLevel="0" collapsed="false">
      <c r="A224" s="36" t="s">
        <v>1049</v>
      </c>
      <c r="B224" s="37" t="s">
        <v>140</v>
      </c>
      <c r="C224" s="37" t="s">
        <v>141</v>
      </c>
      <c r="D224" s="37" t="s">
        <v>1050</v>
      </c>
      <c r="E224" s="36" t="s">
        <v>79</v>
      </c>
      <c r="F224" s="38" t="s">
        <v>11</v>
      </c>
      <c r="G224" s="36" t="s">
        <v>68</v>
      </c>
      <c r="H224" s="36" t="s">
        <v>658</v>
      </c>
      <c r="I224" s="37" t="n">
        <v>128</v>
      </c>
      <c r="J224" s="37"/>
      <c r="K224" s="37" t="n">
        <v>0</v>
      </c>
      <c r="L224" s="37" t="n">
        <v>0</v>
      </c>
      <c r="M224" s="37"/>
      <c r="N224" s="37"/>
      <c r="O224" s="37" t="s">
        <v>659</v>
      </c>
      <c r="P224" s="37" t="s">
        <v>1051</v>
      </c>
      <c r="Q224" s="37" t="s">
        <v>613</v>
      </c>
      <c r="R224" s="36" t="str">
        <f aca="false">IF(H224="Ya",IF(M224&lt;&gt;"","SUDAH PLOTTING","BELUM PLOTTING"),"-")</f>
        <v>-</v>
      </c>
      <c r="S224" s="37"/>
      <c r="T224" s="37"/>
    </row>
    <row r="225" customFormat="false" ht="15" hidden="false" customHeight="true" outlineLevel="0" collapsed="false">
      <c r="A225" s="36" t="s">
        <v>1052</v>
      </c>
      <c r="B225" s="37" t="s">
        <v>140</v>
      </c>
      <c r="C225" s="37" t="s">
        <v>141</v>
      </c>
      <c r="D225" s="37" t="s">
        <v>1050</v>
      </c>
      <c r="E225" s="36" t="s">
        <v>88</v>
      </c>
      <c r="F225" s="38" t="s">
        <v>11</v>
      </c>
      <c r="G225" s="36" t="s">
        <v>68</v>
      </c>
      <c r="H225" s="36" t="s">
        <v>658</v>
      </c>
      <c r="I225" s="37" t="n">
        <v>144</v>
      </c>
      <c r="J225" s="37"/>
      <c r="K225" s="37" t="n">
        <v>0</v>
      </c>
      <c r="L225" s="37" t="n">
        <v>0</v>
      </c>
      <c r="M225" s="37"/>
      <c r="N225" s="37"/>
      <c r="O225" s="37" t="s">
        <v>659</v>
      </c>
      <c r="P225" s="37" t="s">
        <v>1051</v>
      </c>
      <c r="Q225" s="37" t="s">
        <v>613</v>
      </c>
      <c r="R225" s="36" t="str">
        <f aca="false">IF(H225="Ya",IF(M225&lt;&gt;"","SUDAH PLOTTING","BELUM PLOTTING"),"-")</f>
        <v>-</v>
      </c>
      <c r="S225" s="37"/>
      <c r="T225" s="37"/>
    </row>
    <row r="226" customFormat="false" ht="15" hidden="false" customHeight="true" outlineLevel="0" collapsed="false">
      <c r="A226" s="36" t="s">
        <v>1053</v>
      </c>
      <c r="B226" s="37" t="s">
        <v>140</v>
      </c>
      <c r="C226" s="37" t="s">
        <v>141</v>
      </c>
      <c r="D226" s="37" t="s">
        <v>1050</v>
      </c>
      <c r="E226" s="36" t="s">
        <v>92</v>
      </c>
      <c r="F226" s="38" t="s">
        <v>11</v>
      </c>
      <c r="G226" s="36" t="s">
        <v>68</v>
      </c>
      <c r="H226" s="36" t="s">
        <v>658</v>
      </c>
      <c r="I226" s="37" t="n">
        <v>145</v>
      </c>
      <c r="J226" s="37"/>
      <c r="K226" s="37" t="n">
        <v>0</v>
      </c>
      <c r="L226" s="37" t="n">
        <v>0</v>
      </c>
      <c r="M226" s="37"/>
      <c r="N226" s="37"/>
      <c r="O226" s="37" t="s">
        <v>659</v>
      </c>
      <c r="P226" s="37" t="s">
        <v>1051</v>
      </c>
      <c r="Q226" s="37" t="s">
        <v>613</v>
      </c>
      <c r="R226" s="36" t="str">
        <f aca="false">IF(H226="Ya",IF(M226&lt;&gt;"","SUDAH PLOTTING","BELUM PLOTTING"),"-")</f>
        <v>-</v>
      </c>
      <c r="S226" s="37"/>
      <c r="T226" s="37"/>
    </row>
    <row r="227" customFormat="false" ht="15" hidden="false" customHeight="true" outlineLevel="0" collapsed="false">
      <c r="A227" s="36" t="s">
        <v>1054</v>
      </c>
      <c r="B227" s="37" t="s">
        <v>140</v>
      </c>
      <c r="C227" s="37" t="s">
        <v>141</v>
      </c>
      <c r="D227" s="37" t="s">
        <v>1055</v>
      </c>
      <c r="E227" s="36" t="s">
        <v>79</v>
      </c>
      <c r="F227" s="38" t="s">
        <v>11</v>
      </c>
      <c r="G227" s="36" t="s">
        <v>68</v>
      </c>
      <c r="H227" s="36" t="s">
        <v>658</v>
      </c>
      <c r="I227" s="37" t="n">
        <v>190</v>
      </c>
      <c r="J227" s="37"/>
      <c r="K227" s="37" t="n">
        <v>0</v>
      </c>
      <c r="L227" s="37" t="n">
        <v>0</v>
      </c>
      <c r="M227" s="37"/>
      <c r="N227" s="37"/>
      <c r="O227" s="37" t="s">
        <v>659</v>
      </c>
      <c r="P227" s="37" t="s">
        <v>1056</v>
      </c>
      <c r="Q227" s="37" t="s">
        <v>613</v>
      </c>
      <c r="R227" s="36" t="str">
        <f aca="false">IF(H227="Ya",IF(M227&lt;&gt;"","SUDAH PLOTTING","BELUM PLOTTING"),"-")</f>
        <v>-</v>
      </c>
      <c r="S227" s="37"/>
      <c r="T227" s="37"/>
    </row>
    <row r="228" customFormat="false" ht="15" hidden="false" customHeight="true" outlineLevel="0" collapsed="false">
      <c r="A228" s="36" t="s">
        <v>1057</v>
      </c>
      <c r="B228" s="37" t="s">
        <v>140</v>
      </c>
      <c r="C228" s="37" t="s">
        <v>141</v>
      </c>
      <c r="D228" s="37" t="s">
        <v>1055</v>
      </c>
      <c r="E228" s="36" t="s">
        <v>88</v>
      </c>
      <c r="F228" s="38" t="s">
        <v>11</v>
      </c>
      <c r="G228" s="36" t="s">
        <v>68</v>
      </c>
      <c r="H228" s="36" t="s">
        <v>658</v>
      </c>
      <c r="I228" s="37" t="n">
        <v>179</v>
      </c>
      <c r="J228" s="37"/>
      <c r="K228" s="37" t="n">
        <v>0</v>
      </c>
      <c r="L228" s="37" t="n">
        <v>0</v>
      </c>
      <c r="M228" s="37"/>
      <c r="N228" s="37"/>
      <c r="O228" s="37" t="s">
        <v>659</v>
      </c>
      <c r="P228" s="37" t="s">
        <v>1056</v>
      </c>
      <c r="Q228" s="37" t="s">
        <v>613</v>
      </c>
      <c r="R228" s="36" t="str">
        <f aca="false">IF(H228="Ya",IF(M228&lt;&gt;"","SUDAH PLOTTING","BELUM PLOTTING"),"-")</f>
        <v>-</v>
      </c>
      <c r="S228" s="37"/>
      <c r="T228" s="37"/>
    </row>
    <row r="229" customFormat="false" ht="15" hidden="false" customHeight="true" outlineLevel="0" collapsed="false">
      <c r="A229" s="36" t="s">
        <v>173</v>
      </c>
      <c r="B229" s="37" t="s">
        <v>140</v>
      </c>
      <c r="C229" s="37" t="s">
        <v>141</v>
      </c>
      <c r="D229" s="37" t="s">
        <v>172</v>
      </c>
      <c r="E229" s="36" t="s">
        <v>79</v>
      </c>
      <c r="F229" s="39" t="s">
        <v>7</v>
      </c>
      <c r="G229" s="36" t="s">
        <v>68</v>
      </c>
      <c r="H229" s="36" t="s">
        <v>68</v>
      </c>
      <c r="I229" s="37" t="n">
        <v>167</v>
      </c>
      <c r="J229" s="37" t="n">
        <v>0.25</v>
      </c>
      <c r="K229" s="37" t="n">
        <v>0</v>
      </c>
      <c r="L229" s="37" t="n">
        <v>0</v>
      </c>
      <c r="M229" s="37"/>
      <c r="N229" s="37" t="n">
        <v>1</v>
      </c>
      <c r="O229" s="37" t="s">
        <v>749</v>
      </c>
      <c r="P229" s="37" t="s">
        <v>1058</v>
      </c>
      <c r="Q229" s="37" t="s">
        <v>613</v>
      </c>
      <c r="R229" s="36" t="str">
        <f aca="false">IF(H229="Ya",IF(M229&lt;&gt;"","SUDAH PLOTTING","BELUM PLOTTING"),"-")</f>
        <v>BELUM PLOTTING</v>
      </c>
      <c r="S229" s="37" t="s">
        <v>76</v>
      </c>
      <c r="T229" s="37" t="s">
        <v>1059</v>
      </c>
      <c r="U229" s="40" t="s">
        <v>752</v>
      </c>
      <c r="V229" s="40" t="s">
        <v>68</v>
      </c>
    </row>
    <row r="230" customFormat="false" ht="15" hidden="false" customHeight="true" outlineLevel="0" collapsed="false">
      <c r="A230" s="36" t="s">
        <v>181</v>
      </c>
      <c r="B230" s="37" t="s">
        <v>140</v>
      </c>
      <c r="C230" s="37" t="s">
        <v>141</v>
      </c>
      <c r="D230" s="37" t="s">
        <v>172</v>
      </c>
      <c r="E230" s="36" t="s">
        <v>88</v>
      </c>
      <c r="F230" s="39" t="s">
        <v>7</v>
      </c>
      <c r="G230" s="36" t="s">
        <v>68</v>
      </c>
      <c r="H230" s="36" t="s">
        <v>68</v>
      </c>
      <c r="I230" s="37" t="n">
        <v>153</v>
      </c>
      <c r="J230" s="37" t="n">
        <v>0.25</v>
      </c>
      <c r="K230" s="37" t="n">
        <v>0</v>
      </c>
      <c r="L230" s="37" t="n">
        <v>0</v>
      </c>
      <c r="M230" s="37"/>
      <c r="N230" s="37" t="n">
        <v>1</v>
      </c>
      <c r="O230" s="37" t="s">
        <v>749</v>
      </c>
      <c r="P230" s="37" t="s">
        <v>1058</v>
      </c>
      <c r="Q230" s="37" t="s">
        <v>613</v>
      </c>
      <c r="R230" s="36" t="str">
        <f aca="false">IF(H230="Ya",IF(M230&lt;&gt;"","SUDAH PLOTTING","BELUM PLOTTING"),"-")</f>
        <v>BELUM PLOTTING</v>
      </c>
      <c r="S230" s="37" t="s">
        <v>76</v>
      </c>
      <c r="T230" s="37" t="s">
        <v>1060</v>
      </c>
      <c r="U230" s="40" t="s">
        <v>752</v>
      </c>
      <c r="V230" s="40" t="s">
        <v>68</v>
      </c>
    </row>
    <row r="231" customFormat="false" ht="15" hidden="false" customHeight="true" outlineLevel="0" collapsed="false">
      <c r="A231" s="36" t="s">
        <v>185</v>
      </c>
      <c r="B231" s="37" t="s">
        <v>140</v>
      </c>
      <c r="C231" s="37" t="s">
        <v>141</v>
      </c>
      <c r="D231" s="37" t="s">
        <v>172</v>
      </c>
      <c r="E231" s="36" t="s">
        <v>92</v>
      </c>
      <c r="F231" s="39" t="s">
        <v>7</v>
      </c>
      <c r="G231" s="36" t="s">
        <v>68</v>
      </c>
      <c r="H231" s="36" t="s">
        <v>68</v>
      </c>
      <c r="I231" s="37" t="n">
        <v>118</v>
      </c>
      <c r="J231" s="37" t="n">
        <v>0.25</v>
      </c>
      <c r="K231" s="37" t="n">
        <v>0</v>
      </c>
      <c r="L231" s="37" t="n">
        <v>0</v>
      </c>
      <c r="M231" s="37"/>
      <c r="N231" s="37" t="n">
        <v>1</v>
      </c>
      <c r="O231" s="37" t="s">
        <v>749</v>
      </c>
      <c r="P231" s="37" t="s">
        <v>1058</v>
      </c>
      <c r="Q231" s="37" t="s">
        <v>613</v>
      </c>
      <c r="R231" s="36" t="str">
        <f aca="false">IF(H231="Ya",IF(M231&lt;&gt;"","SUDAH PLOTTING","BELUM PLOTTING"),"-")</f>
        <v>BELUM PLOTTING</v>
      </c>
      <c r="S231" s="37" t="s">
        <v>76</v>
      </c>
      <c r="T231" s="37" t="s">
        <v>1061</v>
      </c>
      <c r="U231" s="40" t="s">
        <v>752</v>
      </c>
      <c r="V231" s="40" t="s">
        <v>68</v>
      </c>
    </row>
    <row r="232" customFormat="false" ht="15" hidden="false" customHeight="true" outlineLevel="0" collapsed="false">
      <c r="A232" s="36" t="s">
        <v>188</v>
      </c>
      <c r="B232" s="37" t="s">
        <v>140</v>
      </c>
      <c r="C232" s="37" t="s">
        <v>141</v>
      </c>
      <c r="D232" s="37" t="s">
        <v>172</v>
      </c>
      <c r="E232" s="36" t="s">
        <v>97</v>
      </c>
      <c r="F232" s="39" t="s">
        <v>7</v>
      </c>
      <c r="G232" s="36" t="s">
        <v>68</v>
      </c>
      <c r="H232" s="36" t="s">
        <v>68</v>
      </c>
      <c r="I232" s="37" t="n">
        <v>129</v>
      </c>
      <c r="J232" s="37" t="n">
        <v>0.25</v>
      </c>
      <c r="K232" s="37" t="n">
        <v>0</v>
      </c>
      <c r="L232" s="37" t="n">
        <v>0</v>
      </c>
      <c r="M232" s="37"/>
      <c r="N232" s="37" t="n">
        <v>1</v>
      </c>
      <c r="O232" s="37" t="s">
        <v>749</v>
      </c>
      <c r="P232" s="37" t="s">
        <v>1058</v>
      </c>
      <c r="Q232" s="37" t="s">
        <v>613</v>
      </c>
      <c r="R232" s="36" t="str">
        <f aca="false">IF(H232="Ya",IF(M232&lt;&gt;"","SUDAH PLOTTING","BELUM PLOTTING"),"-")</f>
        <v>BELUM PLOTTING</v>
      </c>
      <c r="S232" s="37" t="s">
        <v>76</v>
      </c>
      <c r="T232" s="37" t="s">
        <v>1059</v>
      </c>
      <c r="U232" s="40" t="s">
        <v>752</v>
      </c>
      <c r="V232" s="40" t="s">
        <v>68</v>
      </c>
    </row>
    <row r="233" customFormat="false" ht="15" hidden="false" customHeight="true" outlineLevel="0" collapsed="false">
      <c r="A233" s="36" t="s">
        <v>1062</v>
      </c>
      <c r="B233" s="37" t="s">
        <v>140</v>
      </c>
      <c r="C233" s="37" t="s">
        <v>141</v>
      </c>
      <c r="D233" s="37" t="s">
        <v>1063</v>
      </c>
      <c r="E233" s="36" t="s">
        <v>79</v>
      </c>
      <c r="F233" s="38" t="s">
        <v>11</v>
      </c>
      <c r="G233" s="36" t="s">
        <v>68</v>
      </c>
      <c r="H233" s="36" t="s">
        <v>658</v>
      </c>
      <c r="I233" s="37" t="n">
        <v>161</v>
      </c>
      <c r="J233" s="37"/>
      <c r="K233" s="37" t="n">
        <v>0</v>
      </c>
      <c r="L233" s="37" t="n">
        <v>0</v>
      </c>
      <c r="M233" s="37"/>
      <c r="N233" s="37"/>
      <c r="O233" s="37" t="s">
        <v>659</v>
      </c>
      <c r="P233" s="37" t="s">
        <v>1064</v>
      </c>
      <c r="Q233" s="37" t="s">
        <v>613</v>
      </c>
      <c r="R233" s="36" t="str">
        <f aca="false">IF(H233="Ya",IF(M233&lt;&gt;"","SUDAH PLOTTING","BELUM PLOTTING"),"-")</f>
        <v>-</v>
      </c>
      <c r="S233" s="37"/>
      <c r="T233" s="37"/>
    </row>
    <row r="234" customFormat="false" ht="15" hidden="false" customHeight="true" outlineLevel="0" collapsed="false">
      <c r="A234" s="36" t="s">
        <v>1065</v>
      </c>
      <c r="B234" s="37" t="s">
        <v>140</v>
      </c>
      <c r="C234" s="37" t="s">
        <v>141</v>
      </c>
      <c r="D234" s="37" t="s">
        <v>1063</v>
      </c>
      <c r="E234" s="36" t="s">
        <v>88</v>
      </c>
      <c r="F234" s="38" t="s">
        <v>11</v>
      </c>
      <c r="G234" s="36" t="s">
        <v>68</v>
      </c>
      <c r="H234" s="36" t="s">
        <v>658</v>
      </c>
      <c r="I234" s="37" t="n">
        <v>165</v>
      </c>
      <c r="J234" s="37"/>
      <c r="K234" s="37" t="n">
        <v>0</v>
      </c>
      <c r="L234" s="37" t="n">
        <v>0</v>
      </c>
      <c r="M234" s="37"/>
      <c r="N234" s="37"/>
      <c r="O234" s="37" t="s">
        <v>659</v>
      </c>
      <c r="P234" s="37" t="s">
        <v>1064</v>
      </c>
      <c r="Q234" s="37" t="s">
        <v>613</v>
      </c>
      <c r="R234" s="36" t="str">
        <f aca="false">IF(H234="Ya",IF(M234&lt;&gt;"","SUDAH PLOTTING","BELUM PLOTTING"),"-")</f>
        <v>-</v>
      </c>
      <c r="S234" s="37"/>
      <c r="T234" s="37"/>
    </row>
    <row r="235" customFormat="false" ht="15" hidden="false" customHeight="true" outlineLevel="0" collapsed="false">
      <c r="A235" s="36" t="s">
        <v>1066</v>
      </c>
      <c r="B235" s="37" t="s">
        <v>140</v>
      </c>
      <c r="C235" s="37" t="s">
        <v>141</v>
      </c>
      <c r="D235" s="37" t="s">
        <v>1063</v>
      </c>
      <c r="E235" s="36" t="s">
        <v>92</v>
      </c>
      <c r="F235" s="38" t="s">
        <v>11</v>
      </c>
      <c r="G235" s="36" t="s">
        <v>68</v>
      </c>
      <c r="H235" s="36" t="s">
        <v>658</v>
      </c>
      <c r="I235" s="37" t="n">
        <v>136</v>
      </c>
      <c r="J235" s="37"/>
      <c r="K235" s="37" t="n">
        <v>0</v>
      </c>
      <c r="L235" s="37" t="n">
        <v>0</v>
      </c>
      <c r="M235" s="37"/>
      <c r="N235" s="37"/>
      <c r="O235" s="37" t="s">
        <v>659</v>
      </c>
      <c r="P235" s="37" t="s">
        <v>1064</v>
      </c>
      <c r="Q235" s="37" t="s">
        <v>613</v>
      </c>
      <c r="R235" s="36" t="str">
        <f aca="false">IF(H235="Ya",IF(M235&lt;&gt;"","SUDAH PLOTTING","BELUM PLOTTING"),"-")</f>
        <v>-</v>
      </c>
      <c r="S235" s="37"/>
      <c r="T235" s="37"/>
    </row>
    <row r="236" customFormat="false" ht="15" hidden="false" customHeight="true" outlineLevel="0" collapsed="false">
      <c r="A236" s="36" t="s">
        <v>1067</v>
      </c>
      <c r="B236" s="37" t="s">
        <v>140</v>
      </c>
      <c r="C236" s="37" t="s">
        <v>141</v>
      </c>
      <c r="D236" s="37" t="s">
        <v>1063</v>
      </c>
      <c r="E236" s="36" t="s">
        <v>97</v>
      </c>
      <c r="F236" s="38" t="s">
        <v>11</v>
      </c>
      <c r="G236" s="36" t="s">
        <v>68</v>
      </c>
      <c r="H236" s="36" t="s">
        <v>658</v>
      </c>
      <c r="I236" s="37" t="n">
        <v>138</v>
      </c>
      <c r="J236" s="37"/>
      <c r="K236" s="37" t="n">
        <v>0</v>
      </c>
      <c r="L236" s="37" t="n">
        <v>0</v>
      </c>
      <c r="M236" s="37"/>
      <c r="N236" s="37"/>
      <c r="O236" s="37" t="s">
        <v>659</v>
      </c>
      <c r="P236" s="37" t="s">
        <v>1064</v>
      </c>
      <c r="Q236" s="37" t="s">
        <v>613</v>
      </c>
      <c r="R236" s="36" t="str">
        <f aca="false">IF(H236="Ya",IF(M236&lt;&gt;"","SUDAH PLOTTING","BELUM PLOTTING"),"-")</f>
        <v>-</v>
      </c>
      <c r="S236" s="37"/>
      <c r="T236" s="37"/>
    </row>
    <row r="237" customFormat="false" ht="15" hidden="false" customHeight="true" outlineLevel="0" collapsed="false">
      <c r="A237" s="36" t="s">
        <v>1068</v>
      </c>
      <c r="B237" s="37" t="s">
        <v>140</v>
      </c>
      <c r="C237" s="37" t="s">
        <v>141</v>
      </c>
      <c r="D237" s="37" t="s">
        <v>1069</v>
      </c>
      <c r="E237" s="36" t="s">
        <v>62</v>
      </c>
      <c r="F237" s="38" t="s">
        <v>11</v>
      </c>
      <c r="G237" s="36" t="s">
        <v>68</v>
      </c>
      <c r="H237" s="36" t="s">
        <v>658</v>
      </c>
      <c r="I237" s="37" t="n">
        <v>65</v>
      </c>
      <c r="J237" s="37"/>
      <c r="K237" s="37" t="n">
        <v>0</v>
      </c>
      <c r="L237" s="37" t="n">
        <v>0</v>
      </c>
      <c r="M237" s="37"/>
      <c r="N237" s="37"/>
      <c r="O237" s="37" t="s">
        <v>659</v>
      </c>
      <c r="P237" s="37" t="s">
        <v>1070</v>
      </c>
      <c r="Q237" s="37" t="s">
        <v>613</v>
      </c>
      <c r="R237" s="36" t="str">
        <f aca="false">IF(H237="Ya",IF(M237&lt;&gt;"","SUDAH PLOTTING","BELUM PLOTTING"),"-")</f>
        <v>-</v>
      </c>
      <c r="S237" s="37"/>
      <c r="T237" s="37"/>
    </row>
    <row r="238" customFormat="false" ht="15" hidden="false" customHeight="true" outlineLevel="0" collapsed="false">
      <c r="A238" s="36" t="s">
        <v>1071</v>
      </c>
      <c r="B238" s="37" t="s">
        <v>140</v>
      </c>
      <c r="C238" s="37" t="s">
        <v>141</v>
      </c>
      <c r="D238" s="37" t="s">
        <v>1072</v>
      </c>
      <c r="E238" s="36" t="s">
        <v>79</v>
      </c>
      <c r="F238" s="38" t="s">
        <v>11</v>
      </c>
      <c r="G238" s="36" t="s">
        <v>68</v>
      </c>
      <c r="H238" s="36" t="s">
        <v>658</v>
      </c>
      <c r="I238" s="37" t="n">
        <v>166</v>
      </c>
      <c r="J238" s="37"/>
      <c r="K238" s="37" t="n">
        <v>0</v>
      </c>
      <c r="L238" s="37" t="n">
        <v>0</v>
      </c>
      <c r="M238" s="37"/>
      <c r="N238" s="37"/>
      <c r="O238" s="37" t="s">
        <v>659</v>
      </c>
      <c r="P238" s="37" t="s">
        <v>1073</v>
      </c>
      <c r="Q238" s="37" t="s">
        <v>613</v>
      </c>
      <c r="R238" s="36" t="str">
        <f aca="false">IF(H238="Ya",IF(M238&lt;&gt;"","SUDAH PLOTTING","BELUM PLOTTING"),"-")</f>
        <v>-</v>
      </c>
      <c r="S238" s="37"/>
      <c r="T238" s="37"/>
    </row>
    <row r="239" customFormat="false" ht="15" hidden="false" customHeight="true" outlineLevel="0" collapsed="false">
      <c r="A239" s="36" t="s">
        <v>1074</v>
      </c>
      <c r="B239" s="37" t="s">
        <v>140</v>
      </c>
      <c r="C239" s="37" t="s">
        <v>141</v>
      </c>
      <c r="D239" s="37" t="s">
        <v>1072</v>
      </c>
      <c r="E239" s="36" t="s">
        <v>88</v>
      </c>
      <c r="F239" s="38" t="s">
        <v>11</v>
      </c>
      <c r="G239" s="36" t="s">
        <v>68</v>
      </c>
      <c r="H239" s="36" t="s">
        <v>658</v>
      </c>
      <c r="I239" s="37" t="n">
        <v>144</v>
      </c>
      <c r="J239" s="37"/>
      <c r="K239" s="37" t="n">
        <v>0</v>
      </c>
      <c r="L239" s="37" t="n">
        <v>0</v>
      </c>
      <c r="M239" s="37"/>
      <c r="N239" s="37"/>
      <c r="O239" s="37" t="s">
        <v>659</v>
      </c>
      <c r="P239" s="37" t="s">
        <v>1073</v>
      </c>
      <c r="Q239" s="37" t="s">
        <v>613</v>
      </c>
      <c r="R239" s="36" t="str">
        <f aca="false">IF(H239="Ya",IF(M239&lt;&gt;"","SUDAH PLOTTING","BELUM PLOTTING"),"-")</f>
        <v>-</v>
      </c>
      <c r="S239" s="37"/>
      <c r="T239" s="37"/>
    </row>
    <row r="240" customFormat="false" ht="15" hidden="false" customHeight="true" outlineLevel="0" collapsed="false">
      <c r="A240" s="36" t="s">
        <v>1075</v>
      </c>
      <c r="B240" s="37" t="s">
        <v>140</v>
      </c>
      <c r="C240" s="37" t="s">
        <v>141</v>
      </c>
      <c r="D240" s="37" t="s">
        <v>1072</v>
      </c>
      <c r="E240" s="36" t="s">
        <v>92</v>
      </c>
      <c r="F240" s="38" t="s">
        <v>11</v>
      </c>
      <c r="G240" s="36" t="s">
        <v>68</v>
      </c>
      <c r="H240" s="36" t="s">
        <v>658</v>
      </c>
      <c r="I240" s="37" t="n">
        <v>153</v>
      </c>
      <c r="J240" s="37"/>
      <c r="K240" s="37" t="n">
        <v>0</v>
      </c>
      <c r="L240" s="37" t="n">
        <v>0</v>
      </c>
      <c r="M240" s="37"/>
      <c r="N240" s="37"/>
      <c r="O240" s="37" t="s">
        <v>659</v>
      </c>
      <c r="P240" s="37" t="s">
        <v>1073</v>
      </c>
      <c r="Q240" s="37" t="s">
        <v>613</v>
      </c>
      <c r="R240" s="36" t="str">
        <f aca="false">IF(H240="Ya",IF(M240&lt;&gt;"","SUDAH PLOTTING","BELUM PLOTTING"),"-")</f>
        <v>-</v>
      </c>
      <c r="S240" s="37"/>
      <c r="T240" s="37"/>
    </row>
    <row r="241" customFormat="false" ht="15" hidden="false" customHeight="true" outlineLevel="0" collapsed="false">
      <c r="A241" s="36" t="s">
        <v>1076</v>
      </c>
      <c r="B241" s="37" t="s">
        <v>140</v>
      </c>
      <c r="C241" s="37" t="s">
        <v>141</v>
      </c>
      <c r="D241" s="37" t="s">
        <v>140</v>
      </c>
      <c r="E241" s="36" t="s">
        <v>62</v>
      </c>
      <c r="F241" s="38" t="s">
        <v>11</v>
      </c>
      <c r="G241" s="36" t="s">
        <v>68</v>
      </c>
      <c r="H241" s="36" t="s">
        <v>658</v>
      </c>
      <c r="I241" s="37" t="n">
        <v>0</v>
      </c>
      <c r="J241" s="37"/>
      <c r="K241" s="37" t="n">
        <v>0</v>
      </c>
      <c r="L241" s="37" t="n">
        <v>0</v>
      </c>
      <c r="M241" s="37"/>
      <c r="N241" s="37"/>
      <c r="O241" s="37" t="s">
        <v>659</v>
      </c>
      <c r="P241" s="37" t="s">
        <v>1077</v>
      </c>
      <c r="Q241" s="37" t="s">
        <v>613</v>
      </c>
      <c r="R241" s="36" t="str">
        <f aca="false">IF(H241="Ya",IF(M241&lt;&gt;"","SUDAH PLOTTING","BELUM PLOTTING"),"-")</f>
        <v>-</v>
      </c>
      <c r="S241" s="37"/>
      <c r="T241" s="37"/>
    </row>
    <row r="242" customFormat="false" ht="15" hidden="false" customHeight="true" outlineLevel="0" collapsed="false">
      <c r="A242" s="36" t="s">
        <v>1078</v>
      </c>
      <c r="B242" s="37" t="s">
        <v>140</v>
      </c>
      <c r="C242" s="37" t="s">
        <v>426</v>
      </c>
      <c r="D242" s="37" t="s">
        <v>1079</v>
      </c>
      <c r="E242" s="36" t="s">
        <v>79</v>
      </c>
      <c r="F242" s="39" t="s">
        <v>7</v>
      </c>
      <c r="G242" s="36" t="s">
        <v>68</v>
      </c>
      <c r="H242" s="36" t="s">
        <v>68</v>
      </c>
      <c r="I242" s="37" t="n">
        <v>136</v>
      </c>
      <c r="J242" s="37"/>
      <c r="K242" s="37" t="n">
        <v>1</v>
      </c>
      <c r="L242" s="37" t="n">
        <v>0</v>
      </c>
      <c r="M242" s="37" t="s">
        <v>1080</v>
      </c>
      <c r="N242" s="37"/>
      <c r="O242" s="37"/>
      <c r="P242" s="37" t="s">
        <v>1081</v>
      </c>
      <c r="Q242" s="37" t="s">
        <v>619</v>
      </c>
      <c r="R242" s="36" t="str">
        <f aca="false">IF(H242="Ya",IF(M242&lt;&gt;"","SUDAH PLOTTING","BELUM PLOTTING"),"-")</f>
        <v>SUDAH PLOTTING</v>
      </c>
      <c r="S242" s="37" t="s">
        <v>58</v>
      </c>
      <c r="T242" s="37"/>
      <c r="U242" s="40" t="s">
        <v>692</v>
      </c>
      <c r="V242" s="41" t="s">
        <v>658</v>
      </c>
    </row>
    <row r="243" customFormat="false" ht="15" hidden="false" customHeight="true" outlineLevel="0" collapsed="false">
      <c r="A243" s="36" t="s">
        <v>1082</v>
      </c>
      <c r="B243" s="37" t="s">
        <v>140</v>
      </c>
      <c r="C243" s="37" t="s">
        <v>426</v>
      </c>
      <c r="D243" s="37" t="s">
        <v>1079</v>
      </c>
      <c r="E243" s="36" t="s">
        <v>88</v>
      </c>
      <c r="F243" s="38" t="s">
        <v>11</v>
      </c>
      <c r="G243" s="36" t="s">
        <v>68</v>
      </c>
      <c r="H243" s="36" t="s">
        <v>658</v>
      </c>
      <c r="I243" s="37" t="n">
        <v>160</v>
      </c>
      <c r="J243" s="37"/>
      <c r="K243" s="37" t="n">
        <v>0</v>
      </c>
      <c r="L243" s="37" t="n">
        <v>0</v>
      </c>
      <c r="M243" s="37"/>
      <c r="N243" s="37"/>
      <c r="O243" s="37" t="s">
        <v>659</v>
      </c>
      <c r="P243" s="37" t="s">
        <v>1081</v>
      </c>
      <c r="Q243" s="37" t="s">
        <v>619</v>
      </c>
      <c r="R243" s="36" t="str">
        <f aca="false">IF(H243="Ya",IF(M243&lt;&gt;"","SUDAH PLOTTING","BELUM PLOTTING"),"-")</f>
        <v>-</v>
      </c>
      <c r="S243" s="37"/>
      <c r="T243" s="37"/>
    </row>
    <row r="244" customFormat="false" ht="15" hidden="false" customHeight="true" outlineLevel="0" collapsed="false">
      <c r="A244" s="36" t="s">
        <v>1083</v>
      </c>
      <c r="B244" s="37" t="s">
        <v>140</v>
      </c>
      <c r="C244" s="37" t="s">
        <v>426</v>
      </c>
      <c r="D244" s="37" t="s">
        <v>1079</v>
      </c>
      <c r="E244" s="36" t="s">
        <v>92</v>
      </c>
      <c r="F244" s="38" t="s">
        <v>11</v>
      </c>
      <c r="G244" s="36" t="s">
        <v>68</v>
      </c>
      <c r="H244" s="36" t="s">
        <v>658</v>
      </c>
      <c r="I244" s="37" t="n">
        <v>143</v>
      </c>
      <c r="J244" s="37"/>
      <c r="K244" s="37" t="n">
        <v>0</v>
      </c>
      <c r="L244" s="37" t="n">
        <v>0</v>
      </c>
      <c r="M244" s="37"/>
      <c r="N244" s="37"/>
      <c r="O244" s="37" t="s">
        <v>659</v>
      </c>
      <c r="P244" s="37" t="s">
        <v>1081</v>
      </c>
      <c r="Q244" s="37" t="s">
        <v>619</v>
      </c>
      <c r="R244" s="36" t="str">
        <f aca="false">IF(H244="Ya",IF(M244&lt;&gt;"","SUDAH PLOTTING","BELUM PLOTTING"),"-")</f>
        <v>-</v>
      </c>
      <c r="S244" s="37"/>
      <c r="T244" s="37"/>
    </row>
    <row r="245" customFormat="false" ht="15" hidden="false" customHeight="true" outlineLevel="0" collapsed="false">
      <c r="A245" s="36" t="s">
        <v>1084</v>
      </c>
      <c r="B245" s="37" t="s">
        <v>140</v>
      </c>
      <c r="C245" s="37" t="s">
        <v>426</v>
      </c>
      <c r="D245" s="37" t="s">
        <v>1085</v>
      </c>
      <c r="E245" s="36" t="s">
        <v>79</v>
      </c>
      <c r="F245" s="39" t="s">
        <v>7</v>
      </c>
      <c r="G245" s="36" t="s">
        <v>68</v>
      </c>
      <c r="H245" s="36" t="s">
        <v>68</v>
      </c>
      <c r="I245" s="37" t="n">
        <v>205</v>
      </c>
      <c r="J245" s="37" t="n">
        <v>5</v>
      </c>
      <c r="K245" s="37" t="n">
        <v>1</v>
      </c>
      <c r="L245" s="37" t="n">
        <v>1</v>
      </c>
      <c r="M245" s="37" t="s">
        <v>1080</v>
      </c>
      <c r="N245" s="37" t="n">
        <v>1</v>
      </c>
      <c r="O245" s="37"/>
      <c r="P245" s="37" t="s">
        <v>1086</v>
      </c>
      <c r="Q245" s="37" t="s">
        <v>619</v>
      </c>
      <c r="R245" s="36" t="str">
        <f aca="false">IF(H245="Ya",IF(M245&lt;&gt;"","SUDAH PLOTTING","BELUM PLOTTING"),"-")</f>
        <v>SUDAH PLOTTING</v>
      </c>
      <c r="S245" s="37" t="s">
        <v>58</v>
      </c>
      <c r="T245" s="37"/>
      <c r="U245" s="40" t="s">
        <v>692</v>
      </c>
      <c r="V245" s="41" t="s">
        <v>658</v>
      </c>
    </row>
    <row r="246" customFormat="false" ht="15" hidden="false" customHeight="true" outlineLevel="0" collapsed="false">
      <c r="A246" s="36" t="s">
        <v>1087</v>
      </c>
      <c r="B246" s="37" t="s">
        <v>140</v>
      </c>
      <c r="C246" s="37" t="s">
        <v>426</v>
      </c>
      <c r="D246" s="37" t="s">
        <v>1085</v>
      </c>
      <c r="E246" s="36" t="s">
        <v>88</v>
      </c>
      <c r="F246" s="38" t="s">
        <v>11</v>
      </c>
      <c r="G246" s="36" t="s">
        <v>68</v>
      </c>
      <c r="H246" s="36" t="s">
        <v>658</v>
      </c>
      <c r="I246" s="37" t="n">
        <v>165</v>
      </c>
      <c r="J246" s="37"/>
      <c r="K246" s="37" t="n">
        <v>0</v>
      </c>
      <c r="L246" s="37" t="n">
        <v>0</v>
      </c>
      <c r="M246" s="37"/>
      <c r="N246" s="37" t="n">
        <v>1</v>
      </c>
      <c r="O246" s="37" t="s">
        <v>1088</v>
      </c>
      <c r="P246" s="37" t="s">
        <v>1086</v>
      </c>
      <c r="Q246" s="37" t="s">
        <v>619</v>
      </c>
      <c r="R246" s="36" t="str">
        <f aca="false">IF(H246="Ya",IF(M246&lt;&gt;"","SUDAH PLOTTING","BELUM PLOTTING"),"-")</f>
        <v>-</v>
      </c>
      <c r="S246" s="37"/>
      <c r="T246" s="37"/>
    </row>
    <row r="247" customFormat="false" ht="15" hidden="false" customHeight="true" outlineLevel="0" collapsed="false">
      <c r="A247" s="36" t="s">
        <v>1089</v>
      </c>
      <c r="B247" s="37" t="s">
        <v>140</v>
      </c>
      <c r="C247" s="37" t="s">
        <v>426</v>
      </c>
      <c r="D247" s="37" t="s">
        <v>1085</v>
      </c>
      <c r="E247" s="36" t="s">
        <v>92</v>
      </c>
      <c r="F247" s="38" t="s">
        <v>11</v>
      </c>
      <c r="G247" s="36" t="s">
        <v>68</v>
      </c>
      <c r="H247" s="36" t="s">
        <v>658</v>
      </c>
      <c r="I247" s="37" t="n">
        <v>217</v>
      </c>
      <c r="J247" s="37"/>
      <c r="K247" s="37" t="n">
        <v>0</v>
      </c>
      <c r="L247" s="37" t="n">
        <v>0</v>
      </c>
      <c r="M247" s="37"/>
      <c r="N247" s="37" t="n">
        <v>1</v>
      </c>
      <c r="O247" s="37" t="s">
        <v>1088</v>
      </c>
      <c r="P247" s="37" t="s">
        <v>1086</v>
      </c>
      <c r="Q247" s="37" t="s">
        <v>619</v>
      </c>
      <c r="R247" s="36" t="str">
        <f aca="false">IF(H247="Ya",IF(M247&lt;&gt;"","SUDAH PLOTTING","BELUM PLOTTING"),"-")</f>
        <v>-</v>
      </c>
      <c r="S247" s="37"/>
      <c r="T247" s="37"/>
    </row>
    <row r="248" customFormat="false" ht="15" hidden="false" customHeight="true" outlineLevel="0" collapsed="false">
      <c r="A248" s="36" t="s">
        <v>1090</v>
      </c>
      <c r="B248" s="37" t="s">
        <v>140</v>
      </c>
      <c r="C248" s="37" t="s">
        <v>426</v>
      </c>
      <c r="D248" s="37" t="s">
        <v>935</v>
      </c>
      <c r="E248" s="36" t="s">
        <v>79</v>
      </c>
      <c r="F248" s="38" t="s">
        <v>11</v>
      </c>
      <c r="G248" s="36" t="s">
        <v>68</v>
      </c>
      <c r="H248" s="36" t="s">
        <v>658</v>
      </c>
      <c r="I248" s="37" t="n">
        <v>180</v>
      </c>
      <c r="J248" s="37"/>
      <c r="K248" s="37" t="n">
        <v>0</v>
      </c>
      <c r="L248" s="37" t="n">
        <v>0</v>
      </c>
      <c r="M248" s="37"/>
      <c r="N248" s="37"/>
      <c r="O248" s="37" t="s">
        <v>659</v>
      </c>
      <c r="P248" s="37" t="s">
        <v>1091</v>
      </c>
      <c r="Q248" s="37" t="s">
        <v>619</v>
      </c>
      <c r="R248" s="36" t="str">
        <f aca="false">IF(H248="Ya",IF(M248&lt;&gt;"","SUDAH PLOTTING","BELUM PLOTTING"),"-")</f>
        <v>-</v>
      </c>
      <c r="S248" s="37"/>
      <c r="T248" s="37"/>
    </row>
    <row r="249" customFormat="false" ht="15" hidden="false" customHeight="true" outlineLevel="0" collapsed="false">
      <c r="A249" s="36" t="s">
        <v>1092</v>
      </c>
      <c r="B249" s="37" t="s">
        <v>140</v>
      </c>
      <c r="C249" s="37" t="s">
        <v>426</v>
      </c>
      <c r="D249" s="37" t="s">
        <v>935</v>
      </c>
      <c r="E249" s="36" t="s">
        <v>88</v>
      </c>
      <c r="F249" s="38" t="s">
        <v>11</v>
      </c>
      <c r="G249" s="36" t="s">
        <v>68</v>
      </c>
      <c r="H249" s="36" t="s">
        <v>658</v>
      </c>
      <c r="I249" s="37" t="n">
        <v>173</v>
      </c>
      <c r="J249" s="37"/>
      <c r="K249" s="37" t="n">
        <v>0</v>
      </c>
      <c r="L249" s="37" t="n">
        <v>0</v>
      </c>
      <c r="M249" s="37"/>
      <c r="N249" s="37"/>
      <c r="O249" s="37" t="s">
        <v>659</v>
      </c>
      <c r="P249" s="37" t="s">
        <v>1091</v>
      </c>
      <c r="Q249" s="37" t="s">
        <v>619</v>
      </c>
      <c r="R249" s="36" t="str">
        <f aca="false">IF(H249="Ya",IF(M249&lt;&gt;"","SUDAH PLOTTING","BELUM PLOTTING"),"-")</f>
        <v>-</v>
      </c>
      <c r="S249" s="37"/>
      <c r="T249" s="37"/>
    </row>
    <row r="250" customFormat="false" ht="15" hidden="false" customHeight="true" outlineLevel="0" collapsed="false">
      <c r="A250" s="36" t="s">
        <v>1093</v>
      </c>
      <c r="B250" s="37" t="s">
        <v>140</v>
      </c>
      <c r="C250" s="37" t="s">
        <v>426</v>
      </c>
      <c r="D250" s="37" t="s">
        <v>935</v>
      </c>
      <c r="E250" s="36" t="s">
        <v>92</v>
      </c>
      <c r="F250" s="38" t="s">
        <v>11</v>
      </c>
      <c r="G250" s="36" t="s">
        <v>68</v>
      </c>
      <c r="H250" s="36" t="s">
        <v>658</v>
      </c>
      <c r="I250" s="37" t="n">
        <v>143</v>
      </c>
      <c r="J250" s="37"/>
      <c r="K250" s="37" t="n">
        <v>0</v>
      </c>
      <c r="L250" s="37" t="n">
        <v>0</v>
      </c>
      <c r="M250" s="37"/>
      <c r="N250" s="37"/>
      <c r="O250" s="37" t="s">
        <v>659</v>
      </c>
      <c r="P250" s="37" t="s">
        <v>1091</v>
      </c>
      <c r="Q250" s="37" t="s">
        <v>619</v>
      </c>
      <c r="R250" s="36" t="str">
        <f aca="false">IF(H250="Ya",IF(M250&lt;&gt;"","SUDAH PLOTTING","BELUM PLOTTING"),"-")</f>
        <v>-</v>
      </c>
      <c r="S250" s="37"/>
      <c r="T250" s="37"/>
    </row>
    <row r="251" customFormat="false" ht="15" hidden="false" customHeight="true" outlineLevel="0" collapsed="false">
      <c r="A251" s="36" t="s">
        <v>1094</v>
      </c>
      <c r="B251" s="37" t="s">
        <v>140</v>
      </c>
      <c r="C251" s="37" t="s">
        <v>426</v>
      </c>
      <c r="D251" s="37" t="s">
        <v>935</v>
      </c>
      <c r="E251" s="36" t="s">
        <v>97</v>
      </c>
      <c r="F251" s="38" t="s">
        <v>11</v>
      </c>
      <c r="G251" s="36" t="s">
        <v>68</v>
      </c>
      <c r="H251" s="36" t="s">
        <v>658</v>
      </c>
      <c r="I251" s="37" t="n">
        <v>175</v>
      </c>
      <c r="J251" s="37"/>
      <c r="K251" s="37" t="n">
        <v>0</v>
      </c>
      <c r="L251" s="37" t="n">
        <v>0</v>
      </c>
      <c r="M251" s="37"/>
      <c r="N251" s="37"/>
      <c r="O251" s="37" t="s">
        <v>659</v>
      </c>
      <c r="P251" s="37" t="s">
        <v>1091</v>
      </c>
      <c r="Q251" s="37" t="s">
        <v>619</v>
      </c>
      <c r="R251" s="36" t="str">
        <f aca="false">IF(H251="Ya",IF(M251&lt;&gt;"","SUDAH PLOTTING","BELUM PLOTTING"),"-")</f>
        <v>-</v>
      </c>
      <c r="S251" s="37"/>
      <c r="T251" s="37"/>
    </row>
    <row r="252" customFormat="false" ht="15" hidden="false" customHeight="true" outlineLevel="0" collapsed="false">
      <c r="A252" s="36" t="s">
        <v>1095</v>
      </c>
      <c r="B252" s="37" t="s">
        <v>140</v>
      </c>
      <c r="C252" s="37" t="s">
        <v>426</v>
      </c>
      <c r="D252" s="37" t="s">
        <v>935</v>
      </c>
      <c r="E252" s="36" t="s">
        <v>103</v>
      </c>
      <c r="F252" s="38" t="s">
        <v>11</v>
      </c>
      <c r="G252" s="36" t="s">
        <v>68</v>
      </c>
      <c r="H252" s="36" t="s">
        <v>658</v>
      </c>
      <c r="I252" s="37" t="n">
        <v>190</v>
      </c>
      <c r="J252" s="37"/>
      <c r="K252" s="37" t="n">
        <v>0</v>
      </c>
      <c r="L252" s="37" t="n">
        <v>0</v>
      </c>
      <c r="M252" s="37"/>
      <c r="N252" s="37"/>
      <c r="O252" s="37" t="s">
        <v>659</v>
      </c>
      <c r="P252" s="37" t="s">
        <v>1091</v>
      </c>
      <c r="Q252" s="37" t="s">
        <v>619</v>
      </c>
      <c r="R252" s="36" t="str">
        <f aca="false">IF(H252="Ya",IF(M252&lt;&gt;"","SUDAH PLOTTING","BELUM PLOTTING"),"-")</f>
        <v>-</v>
      </c>
      <c r="S252" s="37"/>
      <c r="T252" s="37"/>
    </row>
    <row r="253" customFormat="false" ht="15" hidden="false" customHeight="true" outlineLevel="0" collapsed="false">
      <c r="A253" s="36" t="s">
        <v>1096</v>
      </c>
      <c r="B253" s="37" t="s">
        <v>140</v>
      </c>
      <c r="C253" s="37" t="s">
        <v>426</v>
      </c>
      <c r="D253" s="37" t="s">
        <v>935</v>
      </c>
      <c r="E253" s="36" t="s">
        <v>111</v>
      </c>
      <c r="F253" s="38" t="s">
        <v>11</v>
      </c>
      <c r="G253" s="36" t="s">
        <v>68</v>
      </c>
      <c r="H253" s="36" t="s">
        <v>658</v>
      </c>
      <c r="I253" s="37" t="n">
        <v>228</v>
      </c>
      <c r="J253" s="37"/>
      <c r="K253" s="37" t="n">
        <v>0</v>
      </c>
      <c r="L253" s="37" t="n">
        <v>0</v>
      </c>
      <c r="M253" s="37"/>
      <c r="N253" s="37"/>
      <c r="O253" s="37" t="s">
        <v>659</v>
      </c>
      <c r="P253" s="37" t="s">
        <v>1091</v>
      </c>
      <c r="Q253" s="37" t="s">
        <v>619</v>
      </c>
      <c r="R253" s="36" t="str">
        <f aca="false">IF(H253="Ya",IF(M253&lt;&gt;"","SUDAH PLOTTING","BELUM PLOTTING"),"-")</f>
        <v>-</v>
      </c>
      <c r="S253" s="37"/>
      <c r="T253" s="37"/>
    </row>
    <row r="254" customFormat="false" ht="15" hidden="false" customHeight="true" outlineLevel="0" collapsed="false">
      <c r="A254" s="36" t="s">
        <v>1097</v>
      </c>
      <c r="B254" s="37" t="s">
        <v>140</v>
      </c>
      <c r="C254" s="37" t="s">
        <v>426</v>
      </c>
      <c r="D254" s="37" t="s">
        <v>935</v>
      </c>
      <c r="E254" s="36" t="s">
        <v>166</v>
      </c>
      <c r="F254" s="38" t="s">
        <v>11</v>
      </c>
      <c r="G254" s="36" t="s">
        <v>68</v>
      </c>
      <c r="H254" s="36" t="s">
        <v>658</v>
      </c>
      <c r="I254" s="37" t="n">
        <v>130</v>
      </c>
      <c r="J254" s="37"/>
      <c r="K254" s="37" t="n">
        <v>0</v>
      </c>
      <c r="L254" s="37" t="n">
        <v>0</v>
      </c>
      <c r="M254" s="37"/>
      <c r="N254" s="37"/>
      <c r="O254" s="37" t="s">
        <v>659</v>
      </c>
      <c r="P254" s="37" t="s">
        <v>1091</v>
      </c>
      <c r="Q254" s="37" t="s">
        <v>619</v>
      </c>
      <c r="R254" s="36" t="str">
        <f aca="false">IF(H254="Ya",IF(M254&lt;&gt;"","SUDAH PLOTTING","BELUM PLOTTING"),"-")</f>
        <v>-</v>
      </c>
      <c r="S254" s="37"/>
      <c r="T254" s="37"/>
    </row>
    <row r="255" customFormat="false" ht="15" hidden="false" customHeight="true" outlineLevel="0" collapsed="false">
      <c r="A255" s="36" t="s">
        <v>1098</v>
      </c>
      <c r="B255" s="37" t="s">
        <v>140</v>
      </c>
      <c r="C255" s="37" t="s">
        <v>426</v>
      </c>
      <c r="D255" s="37" t="s">
        <v>935</v>
      </c>
      <c r="E255" s="36" t="s">
        <v>719</v>
      </c>
      <c r="F255" s="38" t="s">
        <v>11</v>
      </c>
      <c r="G255" s="36" t="s">
        <v>68</v>
      </c>
      <c r="H255" s="36" t="s">
        <v>658</v>
      </c>
      <c r="I255" s="37" t="n">
        <v>120</v>
      </c>
      <c r="J255" s="37"/>
      <c r="K255" s="37" t="n">
        <v>0</v>
      </c>
      <c r="L255" s="37" t="n">
        <v>0</v>
      </c>
      <c r="M255" s="37"/>
      <c r="N255" s="37"/>
      <c r="O255" s="37" t="s">
        <v>659</v>
      </c>
      <c r="P255" s="37" t="s">
        <v>1091</v>
      </c>
      <c r="Q255" s="37" t="s">
        <v>619</v>
      </c>
      <c r="R255" s="36" t="str">
        <f aca="false">IF(H255="Ya",IF(M255&lt;&gt;"","SUDAH PLOTTING","BELUM PLOTTING"),"-")</f>
        <v>-</v>
      </c>
      <c r="S255" s="37"/>
      <c r="T255" s="37"/>
    </row>
    <row r="256" customFormat="false" ht="15" hidden="false" customHeight="true" outlineLevel="0" collapsed="false">
      <c r="A256" s="36" t="s">
        <v>1099</v>
      </c>
      <c r="B256" s="37" t="s">
        <v>140</v>
      </c>
      <c r="C256" s="37" t="s">
        <v>426</v>
      </c>
      <c r="D256" s="37" t="s">
        <v>1100</v>
      </c>
      <c r="E256" s="36" t="s">
        <v>79</v>
      </c>
      <c r="F256" s="38" t="s">
        <v>11</v>
      </c>
      <c r="G256" s="36" t="s">
        <v>68</v>
      </c>
      <c r="H256" s="36" t="s">
        <v>658</v>
      </c>
      <c r="I256" s="37" t="n">
        <v>131</v>
      </c>
      <c r="J256" s="37"/>
      <c r="K256" s="37" t="n">
        <v>0</v>
      </c>
      <c r="L256" s="37" t="n">
        <v>0</v>
      </c>
      <c r="M256" s="37"/>
      <c r="N256" s="37"/>
      <c r="O256" s="37" t="s">
        <v>659</v>
      </c>
      <c r="P256" s="37" t="s">
        <v>1101</v>
      </c>
      <c r="Q256" s="37" t="s">
        <v>619</v>
      </c>
      <c r="R256" s="36" t="str">
        <f aca="false">IF(H256="Ya",IF(M256&lt;&gt;"","SUDAH PLOTTING","BELUM PLOTTING"),"-")</f>
        <v>-</v>
      </c>
      <c r="S256" s="37"/>
      <c r="T256" s="37"/>
    </row>
    <row r="257" customFormat="false" ht="15" hidden="false" customHeight="true" outlineLevel="0" collapsed="false">
      <c r="A257" s="36" t="s">
        <v>1102</v>
      </c>
      <c r="B257" s="37" t="s">
        <v>140</v>
      </c>
      <c r="C257" s="37" t="s">
        <v>426</v>
      </c>
      <c r="D257" s="37" t="s">
        <v>1100</v>
      </c>
      <c r="E257" s="36" t="s">
        <v>88</v>
      </c>
      <c r="F257" s="38" t="s">
        <v>11</v>
      </c>
      <c r="G257" s="36" t="s">
        <v>68</v>
      </c>
      <c r="H257" s="36" t="s">
        <v>658</v>
      </c>
      <c r="I257" s="37" t="n">
        <v>132</v>
      </c>
      <c r="J257" s="37"/>
      <c r="K257" s="37" t="n">
        <v>0</v>
      </c>
      <c r="L257" s="37" t="n">
        <v>0</v>
      </c>
      <c r="M257" s="37"/>
      <c r="N257" s="37"/>
      <c r="O257" s="37" t="s">
        <v>659</v>
      </c>
      <c r="P257" s="37" t="s">
        <v>1101</v>
      </c>
      <c r="Q257" s="37" t="s">
        <v>619</v>
      </c>
      <c r="R257" s="36" t="str">
        <f aca="false">IF(H257="Ya",IF(M257&lt;&gt;"","SUDAH PLOTTING","BELUM PLOTTING"),"-")</f>
        <v>-</v>
      </c>
      <c r="S257" s="37"/>
      <c r="T257" s="37"/>
    </row>
    <row r="258" customFormat="false" ht="15" hidden="false" customHeight="true" outlineLevel="0" collapsed="false">
      <c r="A258" s="36" t="s">
        <v>1103</v>
      </c>
      <c r="B258" s="37" t="s">
        <v>140</v>
      </c>
      <c r="C258" s="37" t="s">
        <v>426</v>
      </c>
      <c r="D258" s="37" t="s">
        <v>1100</v>
      </c>
      <c r="E258" s="36" t="s">
        <v>92</v>
      </c>
      <c r="F258" s="38" t="s">
        <v>11</v>
      </c>
      <c r="G258" s="36" t="s">
        <v>68</v>
      </c>
      <c r="H258" s="36" t="s">
        <v>658</v>
      </c>
      <c r="I258" s="37" t="n">
        <v>148</v>
      </c>
      <c r="J258" s="37"/>
      <c r="K258" s="37" t="n">
        <v>0</v>
      </c>
      <c r="L258" s="37" t="n">
        <v>0</v>
      </c>
      <c r="M258" s="37"/>
      <c r="N258" s="37"/>
      <c r="O258" s="37" t="s">
        <v>659</v>
      </c>
      <c r="P258" s="37" t="s">
        <v>1101</v>
      </c>
      <c r="Q258" s="37" t="s">
        <v>619</v>
      </c>
      <c r="R258" s="36" t="str">
        <f aca="false">IF(H258="Ya",IF(M258&lt;&gt;"","SUDAH PLOTTING","BELUM PLOTTING"),"-")</f>
        <v>-</v>
      </c>
      <c r="S258" s="37"/>
      <c r="T258" s="37"/>
    </row>
    <row r="259" customFormat="false" ht="15" hidden="false" customHeight="true" outlineLevel="0" collapsed="false">
      <c r="A259" s="36" t="s">
        <v>1104</v>
      </c>
      <c r="B259" s="37" t="s">
        <v>140</v>
      </c>
      <c r="C259" s="37" t="s">
        <v>426</v>
      </c>
      <c r="D259" s="37" t="s">
        <v>1105</v>
      </c>
      <c r="E259" s="36" t="s">
        <v>79</v>
      </c>
      <c r="F259" s="38" t="s">
        <v>11</v>
      </c>
      <c r="G259" s="36" t="s">
        <v>68</v>
      </c>
      <c r="H259" s="36" t="s">
        <v>658</v>
      </c>
      <c r="I259" s="37" t="n">
        <v>161</v>
      </c>
      <c r="J259" s="37"/>
      <c r="K259" s="37" t="n">
        <v>0</v>
      </c>
      <c r="L259" s="37" t="n">
        <v>0</v>
      </c>
      <c r="M259" s="37"/>
      <c r="N259" s="37"/>
      <c r="O259" s="37" t="s">
        <v>659</v>
      </c>
      <c r="P259" s="37" t="s">
        <v>1106</v>
      </c>
      <c r="Q259" s="37" t="s">
        <v>619</v>
      </c>
      <c r="R259" s="36" t="str">
        <f aca="false">IF(H259="Ya",IF(M259&lt;&gt;"","SUDAH PLOTTING","BELUM PLOTTING"),"-")</f>
        <v>-</v>
      </c>
      <c r="S259" s="37"/>
      <c r="T259" s="37"/>
    </row>
    <row r="260" customFormat="false" ht="15" hidden="false" customHeight="true" outlineLevel="0" collapsed="false">
      <c r="A260" s="36" t="s">
        <v>1107</v>
      </c>
      <c r="B260" s="37" t="s">
        <v>140</v>
      </c>
      <c r="C260" s="37" t="s">
        <v>426</v>
      </c>
      <c r="D260" s="37" t="s">
        <v>1105</v>
      </c>
      <c r="E260" s="36" t="s">
        <v>88</v>
      </c>
      <c r="F260" s="38" t="s">
        <v>11</v>
      </c>
      <c r="G260" s="36" t="s">
        <v>68</v>
      </c>
      <c r="H260" s="36" t="s">
        <v>658</v>
      </c>
      <c r="I260" s="37" t="n">
        <v>134</v>
      </c>
      <c r="J260" s="37"/>
      <c r="K260" s="37" t="n">
        <v>0</v>
      </c>
      <c r="L260" s="37" t="n">
        <v>0</v>
      </c>
      <c r="M260" s="37"/>
      <c r="N260" s="37"/>
      <c r="O260" s="37" t="s">
        <v>659</v>
      </c>
      <c r="P260" s="37" t="s">
        <v>1106</v>
      </c>
      <c r="Q260" s="37" t="s">
        <v>619</v>
      </c>
      <c r="R260" s="36" t="str">
        <f aca="false">IF(H260="Ya",IF(M260&lt;&gt;"","SUDAH PLOTTING","BELUM PLOTTING"),"-")</f>
        <v>-</v>
      </c>
      <c r="S260" s="37"/>
      <c r="T260" s="37"/>
    </row>
    <row r="261" customFormat="false" ht="15" hidden="false" customHeight="true" outlineLevel="0" collapsed="false">
      <c r="A261" s="36" t="s">
        <v>1108</v>
      </c>
      <c r="B261" s="37" t="s">
        <v>140</v>
      </c>
      <c r="C261" s="37" t="s">
        <v>426</v>
      </c>
      <c r="D261" s="37" t="s">
        <v>1105</v>
      </c>
      <c r="E261" s="36" t="s">
        <v>92</v>
      </c>
      <c r="F261" s="38" t="s">
        <v>11</v>
      </c>
      <c r="G261" s="36" t="s">
        <v>68</v>
      </c>
      <c r="H261" s="36" t="s">
        <v>658</v>
      </c>
      <c r="I261" s="37" t="n">
        <v>201</v>
      </c>
      <c r="J261" s="37"/>
      <c r="K261" s="37" t="n">
        <v>0</v>
      </c>
      <c r="L261" s="37" t="n">
        <v>0</v>
      </c>
      <c r="M261" s="37"/>
      <c r="N261" s="37"/>
      <c r="O261" s="37" t="s">
        <v>659</v>
      </c>
      <c r="P261" s="37" t="s">
        <v>1106</v>
      </c>
      <c r="Q261" s="37" t="s">
        <v>619</v>
      </c>
      <c r="R261" s="36" t="str">
        <f aca="false">IF(H261="Ya",IF(M261&lt;&gt;"","SUDAH PLOTTING","BELUM PLOTTING"),"-")</f>
        <v>-</v>
      </c>
      <c r="S261" s="37"/>
      <c r="T261" s="37"/>
    </row>
    <row r="262" customFormat="false" ht="15" hidden="false" customHeight="true" outlineLevel="0" collapsed="false">
      <c r="A262" s="36" t="s">
        <v>1109</v>
      </c>
      <c r="B262" s="37" t="s">
        <v>140</v>
      </c>
      <c r="C262" s="37" t="s">
        <v>426</v>
      </c>
      <c r="D262" s="37" t="s">
        <v>1110</v>
      </c>
      <c r="E262" s="36" t="s">
        <v>79</v>
      </c>
      <c r="F262" s="38" t="s">
        <v>11</v>
      </c>
      <c r="G262" s="36" t="s">
        <v>68</v>
      </c>
      <c r="H262" s="36" t="s">
        <v>658</v>
      </c>
      <c r="I262" s="37" t="n">
        <v>130</v>
      </c>
      <c r="J262" s="37"/>
      <c r="K262" s="37" t="n">
        <v>0</v>
      </c>
      <c r="L262" s="37" t="n">
        <v>0</v>
      </c>
      <c r="M262" s="37"/>
      <c r="N262" s="37"/>
      <c r="O262" s="37" t="s">
        <v>659</v>
      </c>
      <c r="P262" s="37" t="s">
        <v>1111</v>
      </c>
      <c r="Q262" s="37" t="s">
        <v>619</v>
      </c>
      <c r="R262" s="36" t="str">
        <f aca="false">IF(H262="Ya",IF(M262&lt;&gt;"","SUDAH PLOTTING","BELUM PLOTTING"),"-")</f>
        <v>-</v>
      </c>
      <c r="S262" s="37"/>
      <c r="T262" s="37"/>
    </row>
    <row r="263" customFormat="false" ht="15" hidden="false" customHeight="true" outlineLevel="0" collapsed="false">
      <c r="A263" s="36" t="s">
        <v>1112</v>
      </c>
      <c r="B263" s="37" t="s">
        <v>140</v>
      </c>
      <c r="C263" s="37" t="s">
        <v>426</v>
      </c>
      <c r="D263" s="37" t="s">
        <v>1110</v>
      </c>
      <c r="E263" s="36" t="s">
        <v>88</v>
      </c>
      <c r="F263" s="38" t="s">
        <v>11</v>
      </c>
      <c r="G263" s="36" t="s">
        <v>68</v>
      </c>
      <c r="H263" s="36" t="s">
        <v>658</v>
      </c>
      <c r="I263" s="37" t="n">
        <v>150</v>
      </c>
      <c r="J263" s="37"/>
      <c r="K263" s="37" t="n">
        <v>0</v>
      </c>
      <c r="L263" s="37" t="n">
        <v>0</v>
      </c>
      <c r="M263" s="37"/>
      <c r="N263" s="37"/>
      <c r="O263" s="37" t="s">
        <v>659</v>
      </c>
      <c r="P263" s="37" t="s">
        <v>1111</v>
      </c>
      <c r="Q263" s="37" t="s">
        <v>619</v>
      </c>
      <c r="R263" s="36" t="str">
        <f aca="false">IF(H263="Ya",IF(M263&lt;&gt;"","SUDAH PLOTTING","BELUM PLOTTING"),"-")</f>
        <v>-</v>
      </c>
      <c r="S263" s="37"/>
      <c r="T263" s="37"/>
    </row>
    <row r="264" customFormat="false" ht="15" hidden="false" customHeight="true" outlineLevel="0" collapsed="false">
      <c r="A264" s="36" t="s">
        <v>1113</v>
      </c>
      <c r="B264" s="37" t="s">
        <v>140</v>
      </c>
      <c r="C264" s="37" t="s">
        <v>426</v>
      </c>
      <c r="D264" s="37" t="s">
        <v>1114</v>
      </c>
      <c r="E264" s="36" t="s">
        <v>62</v>
      </c>
      <c r="F264" s="39" t="s">
        <v>7</v>
      </c>
      <c r="G264" s="36" t="s">
        <v>68</v>
      </c>
      <c r="H264" s="36" t="s">
        <v>68</v>
      </c>
      <c r="I264" s="37" t="n">
        <v>208</v>
      </c>
      <c r="J264" s="37"/>
      <c r="K264" s="37" t="n">
        <v>1</v>
      </c>
      <c r="L264" s="37" t="n">
        <v>0</v>
      </c>
      <c r="M264" s="37" t="s">
        <v>1080</v>
      </c>
      <c r="N264" s="37" t="n">
        <v>1</v>
      </c>
      <c r="O264" s="37"/>
      <c r="P264" s="37" t="s">
        <v>1115</v>
      </c>
      <c r="Q264" s="37" t="s">
        <v>619</v>
      </c>
      <c r="R264" s="36" t="str">
        <f aca="false">IF(H264="Ya",IF(M264&lt;&gt;"","SUDAH PLOTTING","BELUM PLOTTING"),"-")</f>
        <v>SUDAH PLOTTING</v>
      </c>
      <c r="S264" s="37" t="s">
        <v>58</v>
      </c>
      <c r="T264" s="37"/>
      <c r="U264" s="40" t="s">
        <v>692</v>
      </c>
      <c r="V264" s="41" t="s">
        <v>658</v>
      </c>
    </row>
    <row r="265" customFormat="false" ht="15" hidden="false" customHeight="true" outlineLevel="0" collapsed="false">
      <c r="A265" s="36" t="s">
        <v>1116</v>
      </c>
      <c r="B265" s="37" t="s">
        <v>140</v>
      </c>
      <c r="C265" s="37" t="s">
        <v>426</v>
      </c>
      <c r="D265" s="37" t="s">
        <v>1117</v>
      </c>
      <c r="E265" s="36" t="s">
        <v>79</v>
      </c>
      <c r="F265" s="38" t="s">
        <v>11</v>
      </c>
      <c r="G265" s="36" t="s">
        <v>68</v>
      </c>
      <c r="H265" s="36" t="s">
        <v>658</v>
      </c>
      <c r="I265" s="37" t="n">
        <v>168</v>
      </c>
      <c r="J265" s="37"/>
      <c r="K265" s="37" t="n">
        <v>0</v>
      </c>
      <c r="L265" s="37" t="n">
        <v>0</v>
      </c>
      <c r="M265" s="37"/>
      <c r="N265" s="37" t="n">
        <v>2</v>
      </c>
      <c r="O265" s="37" t="s">
        <v>1118</v>
      </c>
      <c r="P265" s="37" t="s">
        <v>1119</v>
      </c>
      <c r="Q265" s="37" t="s">
        <v>619</v>
      </c>
      <c r="R265" s="36" t="str">
        <f aca="false">IF(H265="Ya",IF(M265&lt;&gt;"","SUDAH PLOTTING","BELUM PLOTTING"),"-")</f>
        <v>-</v>
      </c>
      <c r="S265" s="37"/>
      <c r="T265" s="37"/>
    </row>
    <row r="266" customFormat="false" ht="15" hidden="false" customHeight="true" outlineLevel="0" collapsed="false">
      <c r="A266" s="36" t="s">
        <v>1120</v>
      </c>
      <c r="B266" s="37" t="s">
        <v>140</v>
      </c>
      <c r="C266" s="37" t="s">
        <v>426</v>
      </c>
      <c r="D266" s="37" t="s">
        <v>1117</v>
      </c>
      <c r="E266" s="36" t="s">
        <v>88</v>
      </c>
      <c r="F266" s="39" t="s">
        <v>7</v>
      </c>
      <c r="G266" s="36" t="s">
        <v>68</v>
      </c>
      <c r="H266" s="36" t="s">
        <v>68</v>
      </c>
      <c r="I266" s="37" t="n">
        <v>194</v>
      </c>
      <c r="J266" s="37"/>
      <c r="K266" s="37" t="n">
        <v>1</v>
      </c>
      <c r="L266" s="37" t="n">
        <v>0</v>
      </c>
      <c r="M266" s="37" t="s">
        <v>1080</v>
      </c>
      <c r="N266" s="37" t="n">
        <v>2</v>
      </c>
      <c r="O266" s="37"/>
      <c r="P266" s="37" t="s">
        <v>1119</v>
      </c>
      <c r="Q266" s="37" t="s">
        <v>619</v>
      </c>
      <c r="R266" s="36" t="str">
        <f aca="false">IF(H266="Ya",IF(M266&lt;&gt;"","SUDAH PLOTTING","BELUM PLOTTING"),"-")</f>
        <v>SUDAH PLOTTING</v>
      </c>
      <c r="S266" s="37" t="s">
        <v>58</v>
      </c>
      <c r="T266" s="37"/>
      <c r="U266" s="40" t="s">
        <v>692</v>
      </c>
      <c r="V266" s="41" t="s">
        <v>658</v>
      </c>
    </row>
    <row r="267" customFormat="false" ht="15" hidden="false" customHeight="true" outlineLevel="0" collapsed="false">
      <c r="A267" s="36" t="s">
        <v>1121</v>
      </c>
      <c r="B267" s="37" t="s">
        <v>140</v>
      </c>
      <c r="C267" s="37" t="s">
        <v>426</v>
      </c>
      <c r="D267" s="37" t="s">
        <v>1122</v>
      </c>
      <c r="E267" s="36" t="s">
        <v>79</v>
      </c>
      <c r="F267" s="39" t="s">
        <v>7</v>
      </c>
      <c r="G267" s="36" t="s">
        <v>68</v>
      </c>
      <c r="H267" s="36" t="s">
        <v>68</v>
      </c>
      <c r="I267" s="37" t="n">
        <v>156</v>
      </c>
      <c r="J267" s="37"/>
      <c r="K267" s="37" t="n">
        <v>1</v>
      </c>
      <c r="L267" s="37" t="n">
        <v>0</v>
      </c>
      <c r="M267" s="37" t="s">
        <v>1080</v>
      </c>
      <c r="N267" s="37"/>
      <c r="O267" s="37"/>
      <c r="P267" s="37" t="s">
        <v>1123</v>
      </c>
      <c r="Q267" s="37" t="s">
        <v>619</v>
      </c>
      <c r="R267" s="36" t="str">
        <f aca="false">IF(H267="Ya",IF(M267&lt;&gt;"","SUDAH PLOTTING","BELUM PLOTTING"),"-")</f>
        <v>SUDAH PLOTTING</v>
      </c>
      <c r="S267" s="37" t="s">
        <v>58</v>
      </c>
      <c r="T267" s="37"/>
      <c r="U267" s="40" t="s">
        <v>692</v>
      </c>
      <c r="V267" s="41" t="s">
        <v>658</v>
      </c>
    </row>
    <row r="268" customFormat="false" ht="15" hidden="false" customHeight="true" outlineLevel="0" collapsed="false">
      <c r="A268" s="36" t="s">
        <v>1124</v>
      </c>
      <c r="B268" s="37" t="s">
        <v>140</v>
      </c>
      <c r="C268" s="37" t="s">
        <v>426</v>
      </c>
      <c r="D268" s="37" t="s">
        <v>1122</v>
      </c>
      <c r="E268" s="36" t="s">
        <v>88</v>
      </c>
      <c r="F268" s="38" t="s">
        <v>11</v>
      </c>
      <c r="G268" s="36" t="s">
        <v>68</v>
      </c>
      <c r="H268" s="36" t="s">
        <v>658</v>
      </c>
      <c r="I268" s="37" t="n">
        <v>181</v>
      </c>
      <c r="J268" s="37"/>
      <c r="K268" s="37" t="n">
        <v>0</v>
      </c>
      <c r="L268" s="37" t="n">
        <v>0</v>
      </c>
      <c r="M268" s="37"/>
      <c r="N268" s="37"/>
      <c r="O268" s="37" t="s">
        <v>659</v>
      </c>
      <c r="P268" s="37" t="s">
        <v>1123</v>
      </c>
      <c r="Q268" s="37" t="s">
        <v>619</v>
      </c>
      <c r="R268" s="36" t="str">
        <f aca="false">IF(H268="Ya",IF(M268&lt;&gt;"","SUDAH PLOTTING","BELUM PLOTTING"),"-")</f>
        <v>-</v>
      </c>
      <c r="S268" s="37"/>
      <c r="T268" s="37"/>
    </row>
    <row r="269" customFormat="false" ht="15" hidden="false" customHeight="true" outlineLevel="0" collapsed="false">
      <c r="A269" s="36" t="s">
        <v>1125</v>
      </c>
      <c r="B269" s="37" t="s">
        <v>140</v>
      </c>
      <c r="C269" s="37" t="s">
        <v>426</v>
      </c>
      <c r="D269" s="37" t="s">
        <v>1122</v>
      </c>
      <c r="E269" s="36" t="s">
        <v>92</v>
      </c>
      <c r="F269" s="38" t="s">
        <v>11</v>
      </c>
      <c r="G269" s="36" t="s">
        <v>68</v>
      </c>
      <c r="H269" s="36" t="s">
        <v>658</v>
      </c>
      <c r="I269" s="37" t="n">
        <v>116</v>
      </c>
      <c r="J269" s="37"/>
      <c r="K269" s="37" t="n">
        <v>0</v>
      </c>
      <c r="L269" s="37" t="n">
        <v>0</v>
      </c>
      <c r="M269" s="37"/>
      <c r="N269" s="37"/>
      <c r="O269" s="37" t="s">
        <v>659</v>
      </c>
      <c r="P269" s="37" t="s">
        <v>1123</v>
      </c>
      <c r="Q269" s="37" t="s">
        <v>619</v>
      </c>
      <c r="R269" s="36" t="str">
        <f aca="false">IF(H269="Ya",IF(M269&lt;&gt;"","SUDAH PLOTTING","BELUM PLOTTING"),"-")</f>
        <v>-</v>
      </c>
      <c r="S269" s="37"/>
      <c r="T269" s="37"/>
    </row>
    <row r="270" customFormat="false" ht="15" hidden="false" customHeight="true" outlineLevel="0" collapsed="false">
      <c r="A270" s="36" t="s">
        <v>1126</v>
      </c>
      <c r="B270" s="37" t="s">
        <v>140</v>
      </c>
      <c r="C270" s="37" t="s">
        <v>426</v>
      </c>
      <c r="D270" s="37" t="s">
        <v>1127</v>
      </c>
      <c r="E270" s="36" t="s">
        <v>62</v>
      </c>
      <c r="F270" s="38" t="s">
        <v>11</v>
      </c>
      <c r="G270" s="36" t="s">
        <v>68</v>
      </c>
      <c r="H270" s="36" t="s">
        <v>658</v>
      </c>
      <c r="I270" s="37" t="n">
        <v>0</v>
      </c>
      <c r="J270" s="37"/>
      <c r="K270" s="37" t="n">
        <v>1</v>
      </c>
      <c r="L270" s="37" t="n">
        <v>0</v>
      </c>
      <c r="M270" s="37"/>
      <c r="N270" s="37"/>
      <c r="O270" s="37" t="s">
        <v>1128</v>
      </c>
      <c r="P270" s="37" t="s">
        <v>1129</v>
      </c>
      <c r="Q270" s="37" t="s">
        <v>619</v>
      </c>
      <c r="R270" s="36" t="str">
        <f aca="false">IF(H270="Ya",IF(M270&lt;&gt;"","SUDAH PLOTTING","BELUM PLOTTING"),"-")</f>
        <v>-</v>
      </c>
      <c r="S270" s="37"/>
      <c r="T270" s="37"/>
    </row>
    <row r="271" customFormat="false" ht="15" hidden="false" customHeight="true" outlineLevel="0" collapsed="false">
      <c r="A271" s="36" t="s">
        <v>1130</v>
      </c>
      <c r="B271" s="37" t="s">
        <v>193</v>
      </c>
      <c r="C271" s="37" t="s">
        <v>194</v>
      </c>
      <c r="D271" s="37" t="s">
        <v>1131</v>
      </c>
      <c r="E271" s="36" t="s">
        <v>79</v>
      </c>
      <c r="F271" s="38" t="s">
        <v>11</v>
      </c>
      <c r="G271" s="36" t="s">
        <v>68</v>
      </c>
      <c r="H271" s="36" t="s">
        <v>658</v>
      </c>
      <c r="I271" s="37" t="n">
        <v>166</v>
      </c>
      <c r="J271" s="37"/>
      <c r="K271" s="37" t="n">
        <v>0</v>
      </c>
      <c r="L271" s="37" t="n">
        <v>0</v>
      </c>
      <c r="M271" s="37"/>
      <c r="N271" s="37"/>
      <c r="O271" s="37" t="s">
        <v>659</v>
      </c>
      <c r="P271" s="37" t="s">
        <v>1132</v>
      </c>
      <c r="Q271" s="37" t="s">
        <v>605</v>
      </c>
      <c r="R271" s="36" t="str">
        <f aca="false">IF(H271="Ya",IF(M271&lt;&gt;"","SUDAH PLOTTING","BELUM PLOTTING"),"-")</f>
        <v>-</v>
      </c>
      <c r="S271" s="37"/>
      <c r="T271" s="37"/>
    </row>
    <row r="272" customFormat="false" ht="15" hidden="false" customHeight="true" outlineLevel="0" collapsed="false">
      <c r="A272" s="36" t="s">
        <v>1133</v>
      </c>
      <c r="B272" s="37" t="s">
        <v>193</v>
      </c>
      <c r="C272" s="37" t="s">
        <v>194</v>
      </c>
      <c r="D272" s="37" t="s">
        <v>1131</v>
      </c>
      <c r="E272" s="36" t="s">
        <v>88</v>
      </c>
      <c r="F272" s="38" t="s">
        <v>11</v>
      </c>
      <c r="G272" s="36" t="s">
        <v>68</v>
      </c>
      <c r="H272" s="36" t="s">
        <v>658</v>
      </c>
      <c r="I272" s="37" t="n">
        <v>186</v>
      </c>
      <c r="J272" s="37"/>
      <c r="K272" s="37" t="n">
        <v>0</v>
      </c>
      <c r="L272" s="37" t="n">
        <v>0</v>
      </c>
      <c r="M272" s="37"/>
      <c r="N272" s="37"/>
      <c r="O272" s="37" t="s">
        <v>659</v>
      </c>
      <c r="P272" s="37" t="s">
        <v>1132</v>
      </c>
      <c r="Q272" s="37" t="s">
        <v>605</v>
      </c>
      <c r="R272" s="36" t="str">
        <f aca="false">IF(H272="Ya",IF(M272&lt;&gt;"","SUDAH PLOTTING","BELUM PLOTTING"),"-")</f>
        <v>-</v>
      </c>
      <c r="S272" s="37"/>
      <c r="T272" s="37"/>
    </row>
    <row r="273" customFormat="false" ht="15" hidden="false" customHeight="true" outlineLevel="0" collapsed="false">
      <c r="A273" s="36" t="s">
        <v>1134</v>
      </c>
      <c r="B273" s="37" t="s">
        <v>193</v>
      </c>
      <c r="C273" s="37" t="s">
        <v>194</v>
      </c>
      <c r="D273" s="37" t="s">
        <v>1131</v>
      </c>
      <c r="E273" s="36" t="s">
        <v>92</v>
      </c>
      <c r="F273" s="38" t="s">
        <v>11</v>
      </c>
      <c r="G273" s="36" t="s">
        <v>68</v>
      </c>
      <c r="H273" s="36" t="s">
        <v>658</v>
      </c>
      <c r="I273" s="37" t="n">
        <v>187</v>
      </c>
      <c r="J273" s="37"/>
      <c r="K273" s="37" t="n">
        <v>0</v>
      </c>
      <c r="L273" s="37" t="n">
        <v>0</v>
      </c>
      <c r="M273" s="37"/>
      <c r="N273" s="37"/>
      <c r="O273" s="37" t="s">
        <v>659</v>
      </c>
      <c r="P273" s="37" t="s">
        <v>1132</v>
      </c>
      <c r="Q273" s="37" t="s">
        <v>605</v>
      </c>
      <c r="R273" s="36" t="str">
        <f aca="false">IF(H273="Ya",IF(M273&lt;&gt;"","SUDAH PLOTTING","BELUM PLOTTING"),"-")</f>
        <v>-</v>
      </c>
      <c r="S273" s="37"/>
      <c r="T273" s="37"/>
    </row>
    <row r="274" customFormat="false" ht="15" hidden="false" customHeight="true" outlineLevel="0" collapsed="false">
      <c r="A274" s="36" t="s">
        <v>1135</v>
      </c>
      <c r="B274" s="37" t="s">
        <v>193</v>
      </c>
      <c r="C274" s="37" t="s">
        <v>194</v>
      </c>
      <c r="D274" s="37" t="s">
        <v>1131</v>
      </c>
      <c r="E274" s="36" t="s">
        <v>97</v>
      </c>
      <c r="F274" s="38" t="s">
        <v>11</v>
      </c>
      <c r="G274" s="36" t="s">
        <v>68</v>
      </c>
      <c r="H274" s="36" t="s">
        <v>658</v>
      </c>
      <c r="I274" s="37" t="n">
        <v>199</v>
      </c>
      <c r="J274" s="37"/>
      <c r="K274" s="37" t="n">
        <v>0</v>
      </c>
      <c r="L274" s="37" t="n">
        <v>0</v>
      </c>
      <c r="M274" s="37"/>
      <c r="N274" s="37"/>
      <c r="O274" s="37" t="s">
        <v>659</v>
      </c>
      <c r="P274" s="37" t="s">
        <v>1132</v>
      </c>
      <c r="Q274" s="37" t="s">
        <v>605</v>
      </c>
      <c r="R274" s="36" t="str">
        <f aca="false">IF(H274="Ya",IF(M274&lt;&gt;"","SUDAH PLOTTING","BELUM PLOTTING"),"-")</f>
        <v>-</v>
      </c>
      <c r="S274" s="37"/>
      <c r="T274" s="37"/>
    </row>
    <row r="275" customFormat="false" ht="15" hidden="false" customHeight="true" outlineLevel="0" collapsed="false">
      <c r="A275" s="36" t="s">
        <v>1136</v>
      </c>
      <c r="B275" s="37" t="s">
        <v>193</v>
      </c>
      <c r="C275" s="37" t="s">
        <v>194</v>
      </c>
      <c r="D275" s="37" t="s">
        <v>1131</v>
      </c>
      <c r="E275" s="36" t="s">
        <v>103</v>
      </c>
      <c r="F275" s="38" t="s">
        <v>11</v>
      </c>
      <c r="G275" s="36" t="s">
        <v>68</v>
      </c>
      <c r="H275" s="36" t="s">
        <v>658</v>
      </c>
      <c r="I275" s="37" t="n">
        <v>125</v>
      </c>
      <c r="J275" s="37"/>
      <c r="K275" s="37" t="n">
        <v>0</v>
      </c>
      <c r="L275" s="37" t="n">
        <v>0</v>
      </c>
      <c r="M275" s="37"/>
      <c r="N275" s="37"/>
      <c r="O275" s="37" t="s">
        <v>659</v>
      </c>
      <c r="P275" s="37" t="s">
        <v>1132</v>
      </c>
      <c r="Q275" s="37" t="s">
        <v>605</v>
      </c>
      <c r="R275" s="36" t="str">
        <f aca="false">IF(H275="Ya",IF(M275&lt;&gt;"","SUDAH PLOTTING","BELUM PLOTTING"),"-")</f>
        <v>-</v>
      </c>
      <c r="S275" s="37"/>
      <c r="T275" s="37"/>
    </row>
    <row r="276" customFormat="false" ht="15" hidden="false" customHeight="true" outlineLevel="0" collapsed="false">
      <c r="A276" s="36" t="s">
        <v>1137</v>
      </c>
      <c r="B276" s="37" t="s">
        <v>193</v>
      </c>
      <c r="C276" s="37" t="s">
        <v>194</v>
      </c>
      <c r="D276" s="37" t="s">
        <v>1131</v>
      </c>
      <c r="E276" s="36" t="s">
        <v>111</v>
      </c>
      <c r="F276" s="39" t="s">
        <v>7</v>
      </c>
      <c r="G276" s="36" t="s">
        <v>68</v>
      </c>
      <c r="H276" s="36" t="s">
        <v>68</v>
      </c>
      <c r="I276" s="37" t="n">
        <v>170</v>
      </c>
      <c r="J276" s="37"/>
      <c r="K276" s="37" t="n">
        <v>1</v>
      </c>
      <c r="L276" s="37" t="n">
        <v>0</v>
      </c>
      <c r="M276" s="37" t="s">
        <v>1138</v>
      </c>
      <c r="N276" s="37"/>
      <c r="O276" s="37"/>
      <c r="P276" s="37" t="s">
        <v>1132</v>
      </c>
      <c r="Q276" s="37" t="s">
        <v>605</v>
      </c>
      <c r="R276" s="36" t="str">
        <f aca="false">IF(H276="Ya",IF(M276&lt;&gt;"","SUDAH PLOTTING","BELUM PLOTTING"),"-")</f>
        <v>SUDAH PLOTTING</v>
      </c>
      <c r="S276" s="37" t="s">
        <v>298</v>
      </c>
      <c r="T276" s="37"/>
      <c r="U276" s="40" t="s">
        <v>692</v>
      </c>
      <c r="V276" s="40" t="s">
        <v>68</v>
      </c>
    </row>
    <row r="277" customFormat="false" ht="15" hidden="false" customHeight="true" outlineLevel="0" collapsed="false">
      <c r="A277" s="36" t="s">
        <v>1139</v>
      </c>
      <c r="B277" s="37" t="s">
        <v>193</v>
      </c>
      <c r="C277" s="37" t="s">
        <v>194</v>
      </c>
      <c r="D277" s="37" t="s">
        <v>1131</v>
      </c>
      <c r="E277" s="36" t="s">
        <v>166</v>
      </c>
      <c r="F277" s="38" t="s">
        <v>11</v>
      </c>
      <c r="G277" s="36" t="s">
        <v>68</v>
      </c>
      <c r="H277" s="36" t="s">
        <v>658</v>
      </c>
      <c r="I277" s="37" t="n">
        <v>167</v>
      </c>
      <c r="J277" s="37"/>
      <c r="K277" s="37" t="n">
        <v>0</v>
      </c>
      <c r="L277" s="37" t="n">
        <v>0</v>
      </c>
      <c r="M277" s="37"/>
      <c r="N277" s="37"/>
      <c r="O277" s="37" t="s">
        <v>659</v>
      </c>
      <c r="P277" s="37" t="s">
        <v>1132</v>
      </c>
      <c r="Q277" s="37" t="s">
        <v>605</v>
      </c>
      <c r="R277" s="36" t="str">
        <f aca="false">IF(H277="Ya",IF(M277&lt;&gt;"","SUDAH PLOTTING","BELUM PLOTTING"),"-")</f>
        <v>-</v>
      </c>
      <c r="S277" s="37"/>
      <c r="T277" s="37"/>
    </row>
    <row r="278" customFormat="false" ht="15" hidden="false" customHeight="true" outlineLevel="0" collapsed="false">
      <c r="A278" s="36" t="s">
        <v>1140</v>
      </c>
      <c r="B278" s="37" t="s">
        <v>193</v>
      </c>
      <c r="C278" s="37" t="s">
        <v>194</v>
      </c>
      <c r="D278" s="37" t="s">
        <v>1141</v>
      </c>
      <c r="E278" s="36" t="s">
        <v>79</v>
      </c>
      <c r="F278" s="38" t="s">
        <v>11</v>
      </c>
      <c r="G278" s="36" t="s">
        <v>68</v>
      </c>
      <c r="H278" s="36" t="s">
        <v>658</v>
      </c>
      <c r="I278" s="37" t="n">
        <v>128</v>
      </c>
      <c r="J278" s="37"/>
      <c r="K278" s="37" t="n">
        <v>0</v>
      </c>
      <c r="L278" s="37" t="n">
        <v>0</v>
      </c>
      <c r="M278" s="37"/>
      <c r="N278" s="37"/>
      <c r="O278" s="37" t="s">
        <v>659</v>
      </c>
      <c r="P278" s="37" t="s">
        <v>1142</v>
      </c>
      <c r="Q278" s="37" t="s">
        <v>605</v>
      </c>
      <c r="R278" s="36" t="str">
        <f aca="false">IF(H278="Ya",IF(M278&lt;&gt;"","SUDAH PLOTTING","BELUM PLOTTING"),"-")</f>
        <v>-</v>
      </c>
      <c r="S278" s="37"/>
      <c r="T278" s="37"/>
    </row>
    <row r="279" customFormat="false" ht="15" hidden="false" customHeight="true" outlineLevel="0" collapsed="false">
      <c r="A279" s="36" t="s">
        <v>1143</v>
      </c>
      <c r="B279" s="37" t="s">
        <v>193</v>
      </c>
      <c r="C279" s="37" t="s">
        <v>194</v>
      </c>
      <c r="D279" s="37" t="s">
        <v>1141</v>
      </c>
      <c r="E279" s="36" t="s">
        <v>88</v>
      </c>
      <c r="F279" s="38" t="s">
        <v>11</v>
      </c>
      <c r="G279" s="36" t="s">
        <v>68</v>
      </c>
      <c r="H279" s="36" t="s">
        <v>658</v>
      </c>
      <c r="I279" s="37" t="n">
        <v>115</v>
      </c>
      <c r="J279" s="37"/>
      <c r="K279" s="37" t="n">
        <v>0</v>
      </c>
      <c r="L279" s="37" t="n">
        <v>0</v>
      </c>
      <c r="M279" s="37"/>
      <c r="N279" s="37"/>
      <c r="O279" s="37" t="s">
        <v>659</v>
      </c>
      <c r="P279" s="37" t="s">
        <v>1142</v>
      </c>
      <c r="Q279" s="37" t="s">
        <v>605</v>
      </c>
      <c r="R279" s="36" t="str">
        <f aca="false">IF(H279="Ya",IF(M279&lt;&gt;"","SUDAH PLOTTING","BELUM PLOTTING"),"-")</f>
        <v>-</v>
      </c>
      <c r="S279" s="37"/>
      <c r="T279" s="37"/>
    </row>
    <row r="280" customFormat="false" ht="15" hidden="false" customHeight="true" outlineLevel="0" collapsed="false">
      <c r="A280" s="36" t="s">
        <v>1144</v>
      </c>
      <c r="B280" s="37" t="s">
        <v>193</v>
      </c>
      <c r="C280" s="37" t="s">
        <v>194</v>
      </c>
      <c r="D280" s="37" t="s">
        <v>1141</v>
      </c>
      <c r="E280" s="36" t="s">
        <v>92</v>
      </c>
      <c r="F280" s="38" t="s">
        <v>11</v>
      </c>
      <c r="G280" s="36" t="s">
        <v>68</v>
      </c>
      <c r="H280" s="36" t="s">
        <v>658</v>
      </c>
      <c r="I280" s="37" t="n">
        <v>148</v>
      </c>
      <c r="J280" s="37"/>
      <c r="K280" s="37" t="n">
        <v>0</v>
      </c>
      <c r="L280" s="37" t="n">
        <v>0</v>
      </c>
      <c r="M280" s="37"/>
      <c r="N280" s="37"/>
      <c r="O280" s="37" t="s">
        <v>659</v>
      </c>
      <c r="P280" s="37" t="s">
        <v>1142</v>
      </c>
      <c r="Q280" s="37" t="s">
        <v>605</v>
      </c>
      <c r="R280" s="36" t="str">
        <f aca="false">IF(H280="Ya",IF(M280&lt;&gt;"","SUDAH PLOTTING","BELUM PLOTTING"),"-")</f>
        <v>-</v>
      </c>
      <c r="S280" s="37"/>
      <c r="T280" s="37"/>
    </row>
    <row r="281" customFormat="false" ht="15" hidden="false" customHeight="true" outlineLevel="0" collapsed="false">
      <c r="A281" s="36" t="s">
        <v>1145</v>
      </c>
      <c r="B281" s="37" t="s">
        <v>193</v>
      </c>
      <c r="C281" s="37" t="s">
        <v>194</v>
      </c>
      <c r="D281" s="37" t="s">
        <v>1141</v>
      </c>
      <c r="E281" s="36" t="s">
        <v>97</v>
      </c>
      <c r="F281" s="38" t="s">
        <v>11</v>
      </c>
      <c r="G281" s="36" t="s">
        <v>68</v>
      </c>
      <c r="H281" s="36" t="s">
        <v>658</v>
      </c>
      <c r="I281" s="37" t="n">
        <v>131</v>
      </c>
      <c r="J281" s="37"/>
      <c r="K281" s="37" t="n">
        <v>0</v>
      </c>
      <c r="L281" s="37" t="n">
        <v>0</v>
      </c>
      <c r="M281" s="37"/>
      <c r="N281" s="37"/>
      <c r="O281" s="37" t="s">
        <v>659</v>
      </c>
      <c r="P281" s="37" t="s">
        <v>1142</v>
      </c>
      <c r="Q281" s="37" t="s">
        <v>605</v>
      </c>
      <c r="R281" s="36" t="str">
        <f aca="false">IF(H281="Ya",IF(M281&lt;&gt;"","SUDAH PLOTTING","BELUM PLOTTING"),"-")</f>
        <v>-</v>
      </c>
      <c r="S281" s="37"/>
      <c r="T281" s="37"/>
    </row>
    <row r="282" customFormat="false" ht="15" hidden="false" customHeight="true" outlineLevel="0" collapsed="false">
      <c r="A282" s="36" t="s">
        <v>1146</v>
      </c>
      <c r="B282" s="37" t="s">
        <v>193</v>
      </c>
      <c r="C282" s="37" t="s">
        <v>194</v>
      </c>
      <c r="D282" s="37" t="s">
        <v>1141</v>
      </c>
      <c r="E282" s="36" t="s">
        <v>103</v>
      </c>
      <c r="F282" s="38" t="s">
        <v>11</v>
      </c>
      <c r="G282" s="36" t="s">
        <v>68</v>
      </c>
      <c r="H282" s="36" t="s">
        <v>658</v>
      </c>
      <c r="I282" s="37" t="n">
        <v>155</v>
      </c>
      <c r="J282" s="37"/>
      <c r="K282" s="37" t="n">
        <v>0</v>
      </c>
      <c r="L282" s="37" t="n">
        <v>0</v>
      </c>
      <c r="M282" s="37"/>
      <c r="N282" s="37"/>
      <c r="O282" s="37" t="s">
        <v>659</v>
      </c>
      <c r="P282" s="37" t="s">
        <v>1142</v>
      </c>
      <c r="Q282" s="37" t="s">
        <v>605</v>
      </c>
      <c r="R282" s="36" t="str">
        <f aca="false">IF(H282="Ya",IF(M282&lt;&gt;"","SUDAH PLOTTING","BELUM PLOTTING"),"-")</f>
        <v>-</v>
      </c>
      <c r="S282" s="37"/>
      <c r="T282" s="37"/>
    </row>
    <row r="283" customFormat="false" ht="15" hidden="false" customHeight="true" outlineLevel="0" collapsed="false">
      <c r="A283" s="36" t="s">
        <v>1147</v>
      </c>
      <c r="B283" s="37" t="s">
        <v>193</v>
      </c>
      <c r="C283" s="37" t="s">
        <v>194</v>
      </c>
      <c r="D283" s="37" t="s">
        <v>1141</v>
      </c>
      <c r="E283" s="36" t="s">
        <v>111</v>
      </c>
      <c r="F283" s="38" t="s">
        <v>11</v>
      </c>
      <c r="G283" s="36" t="s">
        <v>68</v>
      </c>
      <c r="H283" s="36" t="s">
        <v>658</v>
      </c>
      <c r="I283" s="37" t="n">
        <v>151</v>
      </c>
      <c r="J283" s="37"/>
      <c r="K283" s="37" t="n">
        <v>0</v>
      </c>
      <c r="L283" s="37" t="n">
        <v>0</v>
      </c>
      <c r="M283" s="37"/>
      <c r="N283" s="37"/>
      <c r="O283" s="37" t="s">
        <v>659</v>
      </c>
      <c r="P283" s="37" t="s">
        <v>1142</v>
      </c>
      <c r="Q283" s="37" t="s">
        <v>605</v>
      </c>
      <c r="R283" s="36" t="str">
        <f aca="false">IF(H283="Ya",IF(M283&lt;&gt;"","SUDAH PLOTTING","BELUM PLOTTING"),"-")</f>
        <v>-</v>
      </c>
      <c r="S283" s="37"/>
      <c r="T283" s="37"/>
    </row>
    <row r="284" customFormat="false" ht="15" hidden="false" customHeight="true" outlineLevel="0" collapsed="false">
      <c r="A284" s="36" t="s">
        <v>1148</v>
      </c>
      <c r="B284" s="37" t="s">
        <v>193</v>
      </c>
      <c r="C284" s="37" t="s">
        <v>194</v>
      </c>
      <c r="D284" s="37" t="s">
        <v>1141</v>
      </c>
      <c r="E284" s="36" t="s">
        <v>166</v>
      </c>
      <c r="F284" s="38" t="s">
        <v>11</v>
      </c>
      <c r="G284" s="36" t="s">
        <v>68</v>
      </c>
      <c r="H284" s="36" t="s">
        <v>658</v>
      </c>
      <c r="I284" s="37" t="n">
        <v>166</v>
      </c>
      <c r="J284" s="37"/>
      <c r="K284" s="37" t="n">
        <v>0</v>
      </c>
      <c r="L284" s="37" t="n">
        <v>0</v>
      </c>
      <c r="M284" s="37"/>
      <c r="N284" s="37"/>
      <c r="O284" s="37" t="s">
        <v>659</v>
      </c>
      <c r="P284" s="37" t="s">
        <v>1142</v>
      </c>
      <c r="Q284" s="37" t="s">
        <v>605</v>
      </c>
      <c r="R284" s="36" t="str">
        <f aca="false">IF(H284="Ya",IF(M284&lt;&gt;"","SUDAH PLOTTING","BELUM PLOTTING"),"-")</f>
        <v>-</v>
      </c>
      <c r="S284" s="37"/>
      <c r="T284" s="37"/>
    </row>
    <row r="285" customFormat="false" ht="15" hidden="false" customHeight="true" outlineLevel="0" collapsed="false">
      <c r="A285" s="36" t="s">
        <v>1149</v>
      </c>
      <c r="B285" s="37" t="s">
        <v>193</v>
      </c>
      <c r="C285" s="37" t="s">
        <v>194</v>
      </c>
      <c r="D285" s="37" t="s">
        <v>1141</v>
      </c>
      <c r="E285" s="36" t="s">
        <v>719</v>
      </c>
      <c r="F285" s="38" t="s">
        <v>11</v>
      </c>
      <c r="G285" s="36" t="s">
        <v>68</v>
      </c>
      <c r="H285" s="36" t="s">
        <v>658</v>
      </c>
      <c r="I285" s="37" t="n">
        <v>156</v>
      </c>
      <c r="J285" s="37"/>
      <c r="K285" s="37" t="n">
        <v>0</v>
      </c>
      <c r="L285" s="37" t="n">
        <v>0</v>
      </c>
      <c r="M285" s="37"/>
      <c r="N285" s="37"/>
      <c r="O285" s="37" t="s">
        <v>659</v>
      </c>
      <c r="P285" s="37" t="s">
        <v>1142</v>
      </c>
      <c r="Q285" s="37" t="s">
        <v>605</v>
      </c>
      <c r="R285" s="36" t="str">
        <f aca="false">IF(H285="Ya",IF(M285&lt;&gt;"","SUDAH PLOTTING","BELUM PLOTTING"),"-")</f>
        <v>-</v>
      </c>
      <c r="S285" s="37"/>
      <c r="T285" s="37"/>
    </row>
    <row r="286" customFormat="false" ht="15" hidden="false" customHeight="true" outlineLevel="0" collapsed="false">
      <c r="A286" s="36" t="s">
        <v>1150</v>
      </c>
      <c r="B286" s="37" t="s">
        <v>193</v>
      </c>
      <c r="C286" s="37" t="s">
        <v>194</v>
      </c>
      <c r="D286" s="37" t="s">
        <v>1151</v>
      </c>
      <c r="E286" s="36" t="s">
        <v>79</v>
      </c>
      <c r="F286" s="38" t="s">
        <v>11</v>
      </c>
      <c r="G286" s="36" t="s">
        <v>68</v>
      </c>
      <c r="H286" s="36" t="s">
        <v>658</v>
      </c>
      <c r="I286" s="37" t="n">
        <v>143</v>
      </c>
      <c r="J286" s="37"/>
      <c r="K286" s="37" t="n">
        <v>0</v>
      </c>
      <c r="L286" s="37" t="n">
        <v>0</v>
      </c>
      <c r="M286" s="37"/>
      <c r="N286" s="37"/>
      <c r="O286" s="37" t="s">
        <v>659</v>
      </c>
      <c r="P286" s="37" t="s">
        <v>1152</v>
      </c>
      <c r="Q286" s="37" t="s">
        <v>605</v>
      </c>
      <c r="R286" s="36" t="str">
        <f aca="false">IF(H286="Ya",IF(M286&lt;&gt;"","SUDAH PLOTTING","BELUM PLOTTING"),"-")</f>
        <v>-</v>
      </c>
      <c r="S286" s="37"/>
      <c r="T286" s="37"/>
    </row>
    <row r="287" customFormat="false" ht="15" hidden="false" customHeight="true" outlineLevel="0" collapsed="false">
      <c r="A287" s="36" t="s">
        <v>1153</v>
      </c>
      <c r="B287" s="37" t="s">
        <v>193</v>
      </c>
      <c r="C287" s="37" t="s">
        <v>194</v>
      </c>
      <c r="D287" s="37" t="s">
        <v>1151</v>
      </c>
      <c r="E287" s="36" t="s">
        <v>88</v>
      </c>
      <c r="F287" s="38" t="s">
        <v>11</v>
      </c>
      <c r="G287" s="36" t="s">
        <v>68</v>
      </c>
      <c r="H287" s="36" t="s">
        <v>658</v>
      </c>
      <c r="I287" s="37" t="n">
        <v>170</v>
      </c>
      <c r="J287" s="37"/>
      <c r="K287" s="37" t="n">
        <v>0</v>
      </c>
      <c r="L287" s="37" t="n">
        <v>0</v>
      </c>
      <c r="M287" s="37"/>
      <c r="N287" s="37"/>
      <c r="O287" s="37" t="s">
        <v>659</v>
      </c>
      <c r="P287" s="37" t="s">
        <v>1152</v>
      </c>
      <c r="Q287" s="37" t="s">
        <v>605</v>
      </c>
      <c r="R287" s="36" t="str">
        <f aca="false">IF(H287="Ya",IF(M287&lt;&gt;"","SUDAH PLOTTING","BELUM PLOTTING"),"-")</f>
        <v>-</v>
      </c>
      <c r="S287" s="37"/>
      <c r="T287" s="37"/>
    </row>
    <row r="288" customFormat="false" ht="15" hidden="false" customHeight="true" outlineLevel="0" collapsed="false">
      <c r="A288" s="36" t="s">
        <v>1154</v>
      </c>
      <c r="B288" s="37" t="s">
        <v>193</v>
      </c>
      <c r="C288" s="37" t="s">
        <v>194</v>
      </c>
      <c r="D288" s="37" t="s">
        <v>1151</v>
      </c>
      <c r="E288" s="36" t="s">
        <v>92</v>
      </c>
      <c r="F288" s="38" t="s">
        <v>11</v>
      </c>
      <c r="G288" s="36" t="s">
        <v>68</v>
      </c>
      <c r="H288" s="36" t="s">
        <v>658</v>
      </c>
      <c r="I288" s="37" t="n">
        <v>172</v>
      </c>
      <c r="J288" s="37"/>
      <c r="K288" s="37" t="n">
        <v>0</v>
      </c>
      <c r="L288" s="37" t="n">
        <v>0</v>
      </c>
      <c r="M288" s="37"/>
      <c r="N288" s="37"/>
      <c r="O288" s="37" t="s">
        <v>659</v>
      </c>
      <c r="P288" s="37" t="s">
        <v>1152</v>
      </c>
      <c r="Q288" s="37" t="s">
        <v>605</v>
      </c>
      <c r="R288" s="36" t="str">
        <f aca="false">IF(H288="Ya",IF(M288&lt;&gt;"","SUDAH PLOTTING","BELUM PLOTTING"),"-")</f>
        <v>-</v>
      </c>
      <c r="S288" s="37"/>
      <c r="T288" s="37"/>
    </row>
    <row r="289" customFormat="false" ht="15" hidden="false" customHeight="true" outlineLevel="0" collapsed="false">
      <c r="A289" s="36" t="s">
        <v>1155</v>
      </c>
      <c r="B289" s="37" t="s">
        <v>193</v>
      </c>
      <c r="C289" s="37" t="s">
        <v>194</v>
      </c>
      <c r="D289" s="37" t="s">
        <v>1151</v>
      </c>
      <c r="E289" s="36" t="s">
        <v>97</v>
      </c>
      <c r="F289" s="38" t="s">
        <v>11</v>
      </c>
      <c r="G289" s="36" t="s">
        <v>68</v>
      </c>
      <c r="H289" s="36" t="s">
        <v>658</v>
      </c>
      <c r="I289" s="37" t="n">
        <v>130</v>
      </c>
      <c r="J289" s="37"/>
      <c r="K289" s="37" t="n">
        <v>0</v>
      </c>
      <c r="L289" s="37" t="n">
        <v>0</v>
      </c>
      <c r="M289" s="37"/>
      <c r="N289" s="37"/>
      <c r="O289" s="37" t="s">
        <v>659</v>
      </c>
      <c r="P289" s="37" t="s">
        <v>1152</v>
      </c>
      <c r="Q289" s="37" t="s">
        <v>605</v>
      </c>
      <c r="R289" s="36" t="str">
        <f aca="false">IF(H289="Ya",IF(M289&lt;&gt;"","SUDAH PLOTTING","BELUM PLOTTING"),"-")</f>
        <v>-</v>
      </c>
      <c r="S289" s="37"/>
      <c r="T289" s="37"/>
    </row>
    <row r="290" customFormat="false" ht="15" hidden="false" customHeight="true" outlineLevel="0" collapsed="false">
      <c r="A290" s="36" t="s">
        <v>1156</v>
      </c>
      <c r="B290" s="37" t="s">
        <v>193</v>
      </c>
      <c r="C290" s="37" t="s">
        <v>194</v>
      </c>
      <c r="D290" s="37" t="s">
        <v>1157</v>
      </c>
      <c r="E290" s="36" t="s">
        <v>79</v>
      </c>
      <c r="F290" s="38" t="s">
        <v>11</v>
      </c>
      <c r="G290" s="36" t="s">
        <v>68</v>
      </c>
      <c r="H290" s="36" t="s">
        <v>658</v>
      </c>
      <c r="I290" s="37" t="n">
        <v>119</v>
      </c>
      <c r="J290" s="37"/>
      <c r="K290" s="37" t="n">
        <v>0</v>
      </c>
      <c r="L290" s="37" t="n">
        <v>0</v>
      </c>
      <c r="M290" s="37"/>
      <c r="N290" s="37"/>
      <c r="O290" s="37" t="s">
        <v>659</v>
      </c>
      <c r="P290" s="37" t="s">
        <v>1158</v>
      </c>
      <c r="Q290" s="37" t="s">
        <v>605</v>
      </c>
      <c r="R290" s="36" t="str">
        <f aca="false">IF(H290="Ya",IF(M290&lt;&gt;"","SUDAH PLOTTING","BELUM PLOTTING"),"-")</f>
        <v>-</v>
      </c>
      <c r="S290" s="37"/>
      <c r="T290" s="37"/>
    </row>
    <row r="291" customFormat="false" ht="15" hidden="false" customHeight="true" outlineLevel="0" collapsed="false">
      <c r="A291" s="36" t="s">
        <v>1159</v>
      </c>
      <c r="B291" s="37" t="s">
        <v>193</v>
      </c>
      <c r="C291" s="37" t="s">
        <v>194</v>
      </c>
      <c r="D291" s="37" t="s">
        <v>1157</v>
      </c>
      <c r="E291" s="36" t="s">
        <v>88</v>
      </c>
      <c r="F291" s="38" t="s">
        <v>11</v>
      </c>
      <c r="G291" s="36" t="s">
        <v>68</v>
      </c>
      <c r="H291" s="36" t="s">
        <v>658</v>
      </c>
      <c r="I291" s="37" t="n">
        <v>126</v>
      </c>
      <c r="J291" s="37"/>
      <c r="K291" s="37" t="n">
        <v>0</v>
      </c>
      <c r="L291" s="37" t="n">
        <v>0</v>
      </c>
      <c r="M291" s="37"/>
      <c r="N291" s="37"/>
      <c r="O291" s="37" t="s">
        <v>659</v>
      </c>
      <c r="P291" s="37" t="s">
        <v>1158</v>
      </c>
      <c r="Q291" s="37" t="s">
        <v>605</v>
      </c>
      <c r="R291" s="36" t="str">
        <f aca="false">IF(H291="Ya",IF(M291&lt;&gt;"","SUDAH PLOTTING","BELUM PLOTTING"),"-")</f>
        <v>-</v>
      </c>
      <c r="S291" s="37"/>
      <c r="T291" s="37"/>
    </row>
    <row r="292" customFormat="false" ht="15" hidden="false" customHeight="true" outlineLevel="0" collapsed="false">
      <c r="A292" s="36" t="s">
        <v>1160</v>
      </c>
      <c r="B292" s="37" t="s">
        <v>193</v>
      </c>
      <c r="C292" s="37" t="s">
        <v>194</v>
      </c>
      <c r="D292" s="37" t="s">
        <v>1157</v>
      </c>
      <c r="E292" s="36" t="s">
        <v>92</v>
      </c>
      <c r="F292" s="38" t="s">
        <v>11</v>
      </c>
      <c r="G292" s="36" t="s">
        <v>68</v>
      </c>
      <c r="H292" s="36" t="s">
        <v>658</v>
      </c>
      <c r="I292" s="37" t="n">
        <v>111</v>
      </c>
      <c r="J292" s="37"/>
      <c r="K292" s="37" t="n">
        <v>0</v>
      </c>
      <c r="L292" s="37" t="n">
        <v>0</v>
      </c>
      <c r="M292" s="37"/>
      <c r="N292" s="37"/>
      <c r="O292" s="37" t="s">
        <v>659</v>
      </c>
      <c r="P292" s="37" t="s">
        <v>1158</v>
      </c>
      <c r="Q292" s="37" t="s">
        <v>605</v>
      </c>
      <c r="R292" s="36" t="str">
        <f aca="false">IF(H292="Ya",IF(M292&lt;&gt;"","SUDAH PLOTTING","BELUM PLOTTING"),"-")</f>
        <v>-</v>
      </c>
      <c r="S292" s="37"/>
      <c r="T292" s="37"/>
    </row>
    <row r="293" customFormat="false" ht="15" hidden="false" customHeight="true" outlineLevel="0" collapsed="false">
      <c r="A293" s="36" t="s">
        <v>1161</v>
      </c>
      <c r="B293" s="37" t="s">
        <v>193</v>
      </c>
      <c r="C293" s="37" t="s">
        <v>194</v>
      </c>
      <c r="D293" s="37" t="s">
        <v>1157</v>
      </c>
      <c r="E293" s="36" t="s">
        <v>97</v>
      </c>
      <c r="F293" s="38" t="s">
        <v>11</v>
      </c>
      <c r="G293" s="36" t="s">
        <v>68</v>
      </c>
      <c r="H293" s="36" t="s">
        <v>658</v>
      </c>
      <c r="I293" s="37" t="n">
        <v>144</v>
      </c>
      <c r="J293" s="37"/>
      <c r="K293" s="37" t="n">
        <v>0</v>
      </c>
      <c r="L293" s="37" t="n">
        <v>0</v>
      </c>
      <c r="M293" s="37"/>
      <c r="N293" s="37"/>
      <c r="O293" s="37" t="s">
        <v>659</v>
      </c>
      <c r="P293" s="37" t="s">
        <v>1158</v>
      </c>
      <c r="Q293" s="37" t="s">
        <v>605</v>
      </c>
      <c r="R293" s="36" t="str">
        <f aca="false">IF(H293="Ya",IF(M293&lt;&gt;"","SUDAH PLOTTING","BELUM PLOTTING"),"-")</f>
        <v>-</v>
      </c>
      <c r="S293" s="37"/>
      <c r="T293" s="37"/>
    </row>
    <row r="294" customFormat="false" ht="15" hidden="false" customHeight="true" outlineLevel="0" collapsed="false">
      <c r="A294" s="36" t="s">
        <v>1162</v>
      </c>
      <c r="B294" s="37" t="s">
        <v>193</v>
      </c>
      <c r="C294" s="37" t="s">
        <v>194</v>
      </c>
      <c r="D294" s="37" t="s">
        <v>1157</v>
      </c>
      <c r="E294" s="36" t="s">
        <v>103</v>
      </c>
      <c r="F294" s="38" t="s">
        <v>11</v>
      </c>
      <c r="G294" s="36" t="s">
        <v>68</v>
      </c>
      <c r="H294" s="36" t="s">
        <v>658</v>
      </c>
      <c r="I294" s="37" t="n">
        <v>125</v>
      </c>
      <c r="J294" s="37"/>
      <c r="K294" s="37" t="n">
        <v>0</v>
      </c>
      <c r="L294" s="37" t="n">
        <v>0</v>
      </c>
      <c r="M294" s="37"/>
      <c r="N294" s="37"/>
      <c r="O294" s="37" t="s">
        <v>659</v>
      </c>
      <c r="P294" s="37" t="s">
        <v>1158</v>
      </c>
      <c r="Q294" s="37" t="s">
        <v>605</v>
      </c>
      <c r="R294" s="36" t="str">
        <f aca="false">IF(H294="Ya",IF(M294&lt;&gt;"","SUDAH PLOTTING","BELUM PLOTTING"),"-")</f>
        <v>-</v>
      </c>
      <c r="S294" s="37"/>
      <c r="T294" s="37"/>
    </row>
    <row r="295" customFormat="false" ht="15" hidden="false" customHeight="true" outlineLevel="0" collapsed="false">
      <c r="A295" s="36" t="s">
        <v>1163</v>
      </c>
      <c r="B295" s="37" t="s">
        <v>193</v>
      </c>
      <c r="C295" s="37" t="s">
        <v>194</v>
      </c>
      <c r="D295" s="37" t="s">
        <v>1157</v>
      </c>
      <c r="E295" s="36" t="s">
        <v>111</v>
      </c>
      <c r="F295" s="38" t="s">
        <v>11</v>
      </c>
      <c r="G295" s="36" t="s">
        <v>68</v>
      </c>
      <c r="H295" s="36" t="s">
        <v>658</v>
      </c>
      <c r="I295" s="37" t="n">
        <v>128</v>
      </c>
      <c r="J295" s="37"/>
      <c r="K295" s="37" t="n">
        <v>0</v>
      </c>
      <c r="L295" s="37" t="n">
        <v>0</v>
      </c>
      <c r="M295" s="37"/>
      <c r="N295" s="37"/>
      <c r="O295" s="37" t="s">
        <v>659</v>
      </c>
      <c r="P295" s="37" t="s">
        <v>1158</v>
      </c>
      <c r="Q295" s="37" t="s">
        <v>605</v>
      </c>
      <c r="R295" s="36" t="str">
        <f aca="false">IF(H295="Ya",IF(M295&lt;&gt;"","SUDAH PLOTTING","BELUM PLOTTING"),"-")</f>
        <v>-</v>
      </c>
      <c r="S295" s="37"/>
      <c r="T295" s="37"/>
    </row>
    <row r="296" customFormat="false" ht="15" hidden="false" customHeight="true" outlineLevel="0" collapsed="false">
      <c r="A296" s="36" t="s">
        <v>1164</v>
      </c>
      <c r="B296" s="37" t="s">
        <v>193</v>
      </c>
      <c r="C296" s="37" t="s">
        <v>194</v>
      </c>
      <c r="D296" s="37" t="s">
        <v>1157</v>
      </c>
      <c r="E296" s="36" t="s">
        <v>166</v>
      </c>
      <c r="F296" s="38" t="s">
        <v>11</v>
      </c>
      <c r="G296" s="36" t="s">
        <v>68</v>
      </c>
      <c r="H296" s="36" t="s">
        <v>658</v>
      </c>
      <c r="I296" s="37" t="n">
        <v>143</v>
      </c>
      <c r="J296" s="37"/>
      <c r="K296" s="37" t="n">
        <v>0</v>
      </c>
      <c r="L296" s="37" t="n">
        <v>0</v>
      </c>
      <c r="M296" s="37"/>
      <c r="N296" s="37"/>
      <c r="O296" s="37" t="s">
        <v>659</v>
      </c>
      <c r="P296" s="37" t="s">
        <v>1158</v>
      </c>
      <c r="Q296" s="37" t="s">
        <v>605</v>
      </c>
      <c r="R296" s="36" t="str">
        <f aca="false">IF(H296="Ya",IF(M296&lt;&gt;"","SUDAH PLOTTING","BELUM PLOTTING"),"-")</f>
        <v>-</v>
      </c>
      <c r="S296" s="37"/>
      <c r="T296" s="37"/>
    </row>
    <row r="297" customFormat="false" ht="15" hidden="false" customHeight="true" outlineLevel="0" collapsed="false">
      <c r="A297" s="36" t="s">
        <v>196</v>
      </c>
      <c r="B297" s="37" t="s">
        <v>193</v>
      </c>
      <c r="C297" s="37" t="s">
        <v>194</v>
      </c>
      <c r="D297" s="37" t="s">
        <v>195</v>
      </c>
      <c r="E297" s="36" t="s">
        <v>79</v>
      </c>
      <c r="F297" s="39" t="s">
        <v>7</v>
      </c>
      <c r="G297" s="36" t="s">
        <v>68</v>
      </c>
      <c r="H297" s="36" t="s">
        <v>68</v>
      </c>
      <c r="I297" s="37" t="n">
        <v>126</v>
      </c>
      <c r="J297" s="37" t="n">
        <v>0.33</v>
      </c>
      <c r="K297" s="37" t="n">
        <v>0</v>
      </c>
      <c r="L297" s="37" t="n">
        <v>0</v>
      </c>
      <c r="M297" s="37"/>
      <c r="N297" s="37" t="n">
        <v>1</v>
      </c>
      <c r="O297" s="37" t="s">
        <v>749</v>
      </c>
      <c r="P297" s="37" t="s">
        <v>1165</v>
      </c>
      <c r="Q297" s="37" t="s">
        <v>605</v>
      </c>
      <c r="R297" s="36" t="str">
        <f aca="false">IF(H297="Ya",IF(M297&lt;&gt;"","SUDAH PLOTTING","BELUM PLOTTING"),"-")</f>
        <v>BELUM PLOTTING</v>
      </c>
      <c r="S297" s="37" t="s">
        <v>192</v>
      </c>
      <c r="T297" s="37" t="s">
        <v>1166</v>
      </c>
      <c r="U297" s="40" t="s">
        <v>1167</v>
      </c>
      <c r="V297" s="41" t="s">
        <v>658</v>
      </c>
    </row>
    <row r="298" customFormat="false" ht="15" hidden="false" customHeight="true" outlineLevel="0" collapsed="false">
      <c r="A298" s="36" t="s">
        <v>201</v>
      </c>
      <c r="B298" s="37" t="s">
        <v>193</v>
      </c>
      <c r="C298" s="37" t="s">
        <v>194</v>
      </c>
      <c r="D298" s="37" t="s">
        <v>195</v>
      </c>
      <c r="E298" s="36" t="s">
        <v>88</v>
      </c>
      <c r="F298" s="39" t="s">
        <v>7</v>
      </c>
      <c r="G298" s="36" t="s">
        <v>68</v>
      </c>
      <c r="H298" s="36" t="s">
        <v>68</v>
      </c>
      <c r="I298" s="37" t="n">
        <v>171</v>
      </c>
      <c r="J298" s="37" t="n">
        <v>0.33</v>
      </c>
      <c r="K298" s="37" t="n">
        <v>0</v>
      </c>
      <c r="L298" s="37" t="n">
        <v>0</v>
      </c>
      <c r="M298" s="37"/>
      <c r="N298" s="37" t="n">
        <v>1</v>
      </c>
      <c r="O298" s="37" t="s">
        <v>749</v>
      </c>
      <c r="P298" s="37" t="s">
        <v>1165</v>
      </c>
      <c r="Q298" s="37" t="s">
        <v>605</v>
      </c>
      <c r="R298" s="36" t="str">
        <f aca="false">IF(H298="Ya",IF(M298&lt;&gt;"","SUDAH PLOTTING","BELUM PLOTTING"),"-")</f>
        <v>BELUM PLOTTING</v>
      </c>
      <c r="S298" s="37" t="s">
        <v>192</v>
      </c>
      <c r="T298" s="37" t="s">
        <v>1168</v>
      </c>
      <c r="U298" s="40" t="s">
        <v>1167</v>
      </c>
      <c r="V298" s="41" t="s">
        <v>658</v>
      </c>
    </row>
    <row r="299" customFormat="false" ht="15" hidden="false" customHeight="true" outlineLevel="0" collapsed="false">
      <c r="A299" s="36" t="s">
        <v>207</v>
      </c>
      <c r="B299" s="37" t="s">
        <v>193</v>
      </c>
      <c r="C299" s="37" t="s">
        <v>194</v>
      </c>
      <c r="D299" s="37" t="s">
        <v>195</v>
      </c>
      <c r="E299" s="36" t="s">
        <v>92</v>
      </c>
      <c r="F299" s="39" t="s">
        <v>7</v>
      </c>
      <c r="G299" s="36" t="s">
        <v>68</v>
      </c>
      <c r="H299" s="36" t="s">
        <v>68</v>
      </c>
      <c r="I299" s="37" t="n">
        <v>119</v>
      </c>
      <c r="J299" s="37" t="n">
        <v>0.33</v>
      </c>
      <c r="K299" s="37" t="n">
        <v>0</v>
      </c>
      <c r="L299" s="37" t="n">
        <v>0</v>
      </c>
      <c r="M299" s="37"/>
      <c r="N299" s="37" t="n">
        <v>1</v>
      </c>
      <c r="O299" s="37" t="s">
        <v>749</v>
      </c>
      <c r="P299" s="37" t="s">
        <v>1165</v>
      </c>
      <c r="Q299" s="37" t="s">
        <v>605</v>
      </c>
      <c r="R299" s="36" t="str">
        <f aca="false">IF(H299="Ya",IF(M299&lt;&gt;"","SUDAH PLOTTING","BELUM PLOTTING"),"-")</f>
        <v>BELUM PLOTTING</v>
      </c>
      <c r="S299" s="37" t="s">
        <v>206</v>
      </c>
      <c r="T299" s="37" t="s">
        <v>1169</v>
      </c>
      <c r="U299" s="40" t="s">
        <v>1167</v>
      </c>
      <c r="V299" s="41" t="s">
        <v>658</v>
      </c>
    </row>
    <row r="300" customFormat="false" ht="15" hidden="false" customHeight="true" outlineLevel="0" collapsed="false">
      <c r="A300" s="36" t="s">
        <v>1170</v>
      </c>
      <c r="B300" s="37" t="s">
        <v>193</v>
      </c>
      <c r="C300" s="37" t="s">
        <v>194</v>
      </c>
      <c r="D300" s="37" t="s">
        <v>1171</v>
      </c>
      <c r="E300" s="36" t="s">
        <v>79</v>
      </c>
      <c r="F300" s="38" t="s">
        <v>11</v>
      </c>
      <c r="G300" s="36" t="s">
        <v>68</v>
      </c>
      <c r="H300" s="36" t="s">
        <v>658</v>
      </c>
      <c r="I300" s="37" t="n">
        <v>127</v>
      </c>
      <c r="J300" s="37"/>
      <c r="K300" s="37" t="n">
        <v>0</v>
      </c>
      <c r="L300" s="37" t="n">
        <v>1</v>
      </c>
      <c r="M300" s="37"/>
      <c r="N300" s="37"/>
      <c r="O300" s="37" t="s">
        <v>916</v>
      </c>
      <c r="P300" s="37" t="s">
        <v>1172</v>
      </c>
      <c r="Q300" s="37" t="s">
        <v>605</v>
      </c>
      <c r="R300" s="36" t="str">
        <f aca="false">IF(H300="Ya",IF(M300&lt;&gt;"","SUDAH PLOTTING","BELUM PLOTTING"),"-")</f>
        <v>-</v>
      </c>
      <c r="S300" s="37"/>
      <c r="T300" s="37"/>
    </row>
    <row r="301" customFormat="false" ht="15" hidden="false" customHeight="true" outlineLevel="0" collapsed="false">
      <c r="A301" s="36" t="s">
        <v>1173</v>
      </c>
      <c r="B301" s="37" t="s">
        <v>193</v>
      </c>
      <c r="C301" s="37" t="s">
        <v>194</v>
      </c>
      <c r="D301" s="37" t="s">
        <v>1171</v>
      </c>
      <c r="E301" s="36" t="s">
        <v>88</v>
      </c>
      <c r="F301" s="38" t="s">
        <v>11</v>
      </c>
      <c r="G301" s="36" t="s">
        <v>68</v>
      </c>
      <c r="H301" s="36" t="s">
        <v>658</v>
      </c>
      <c r="I301" s="37" t="n">
        <v>141</v>
      </c>
      <c r="J301" s="37"/>
      <c r="K301" s="37" t="n">
        <v>0</v>
      </c>
      <c r="L301" s="37" t="n">
        <v>1</v>
      </c>
      <c r="M301" s="37"/>
      <c r="N301" s="37"/>
      <c r="O301" s="37" t="s">
        <v>916</v>
      </c>
      <c r="P301" s="37" t="s">
        <v>1172</v>
      </c>
      <c r="Q301" s="37" t="s">
        <v>605</v>
      </c>
      <c r="R301" s="36" t="str">
        <f aca="false">IF(H301="Ya",IF(M301&lt;&gt;"","SUDAH PLOTTING","BELUM PLOTTING"),"-")</f>
        <v>-</v>
      </c>
      <c r="S301" s="37"/>
      <c r="T301" s="37"/>
    </row>
    <row r="302" customFormat="false" ht="15" hidden="false" customHeight="true" outlineLevel="0" collapsed="false">
      <c r="A302" s="36" t="s">
        <v>1174</v>
      </c>
      <c r="B302" s="37" t="s">
        <v>193</v>
      </c>
      <c r="C302" s="37" t="s">
        <v>194</v>
      </c>
      <c r="D302" s="37" t="s">
        <v>1171</v>
      </c>
      <c r="E302" s="36" t="s">
        <v>92</v>
      </c>
      <c r="F302" s="38" t="s">
        <v>11</v>
      </c>
      <c r="G302" s="36" t="s">
        <v>68</v>
      </c>
      <c r="H302" s="36" t="s">
        <v>658</v>
      </c>
      <c r="I302" s="37" t="n">
        <v>139</v>
      </c>
      <c r="J302" s="37"/>
      <c r="K302" s="37" t="n">
        <v>0</v>
      </c>
      <c r="L302" s="37" t="n">
        <v>1</v>
      </c>
      <c r="M302" s="37"/>
      <c r="N302" s="37"/>
      <c r="O302" s="37" t="s">
        <v>916</v>
      </c>
      <c r="P302" s="37" t="s">
        <v>1172</v>
      </c>
      <c r="Q302" s="37" t="s">
        <v>605</v>
      </c>
      <c r="R302" s="36" t="str">
        <f aca="false">IF(H302="Ya",IF(M302&lt;&gt;"","SUDAH PLOTTING","BELUM PLOTTING"),"-")</f>
        <v>-</v>
      </c>
      <c r="S302" s="37"/>
      <c r="T302" s="37"/>
    </row>
    <row r="303" customFormat="false" ht="15" hidden="false" customHeight="true" outlineLevel="0" collapsed="false">
      <c r="A303" s="36" t="s">
        <v>1175</v>
      </c>
      <c r="B303" s="37" t="s">
        <v>193</v>
      </c>
      <c r="C303" s="37" t="s">
        <v>194</v>
      </c>
      <c r="D303" s="37" t="s">
        <v>1171</v>
      </c>
      <c r="E303" s="36" t="s">
        <v>97</v>
      </c>
      <c r="F303" s="38" t="s">
        <v>11</v>
      </c>
      <c r="G303" s="36" t="s">
        <v>68</v>
      </c>
      <c r="H303" s="36" t="s">
        <v>658</v>
      </c>
      <c r="I303" s="37" t="n">
        <v>141</v>
      </c>
      <c r="J303" s="37"/>
      <c r="K303" s="37" t="n">
        <v>0</v>
      </c>
      <c r="L303" s="37" t="n">
        <v>1</v>
      </c>
      <c r="M303" s="37"/>
      <c r="N303" s="37"/>
      <c r="O303" s="37" t="s">
        <v>916</v>
      </c>
      <c r="P303" s="37" t="s">
        <v>1172</v>
      </c>
      <c r="Q303" s="37" t="s">
        <v>605</v>
      </c>
      <c r="R303" s="36" t="str">
        <f aca="false">IF(H303="Ya",IF(M303&lt;&gt;"","SUDAH PLOTTING","BELUM PLOTTING"),"-")</f>
        <v>-</v>
      </c>
      <c r="S303" s="37"/>
      <c r="T303" s="37"/>
    </row>
    <row r="304" customFormat="false" ht="15" hidden="false" customHeight="true" outlineLevel="0" collapsed="false">
      <c r="A304" s="36" t="s">
        <v>1176</v>
      </c>
      <c r="B304" s="37" t="s">
        <v>193</v>
      </c>
      <c r="C304" s="37" t="s">
        <v>194</v>
      </c>
      <c r="D304" s="37" t="s">
        <v>1171</v>
      </c>
      <c r="E304" s="36" t="s">
        <v>103</v>
      </c>
      <c r="F304" s="38" t="s">
        <v>11</v>
      </c>
      <c r="G304" s="36" t="s">
        <v>68</v>
      </c>
      <c r="H304" s="36" t="s">
        <v>658</v>
      </c>
      <c r="I304" s="37" t="n">
        <v>156</v>
      </c>
      <c r="J304" s="37"/>
      <c r="K304" s="37" t="n">
        <v>0</v>
      </c>
      <c r="L304" s="37" t="n">
        <v>1</v>
      </c>
      <c r="M304" s="37"/>
      <c r="N304" s="37"/>
      <c r="O304" s="37" t="s">
        <v>916</v>
      </c>
      <c r="P304" s="37" t="s">
        <v>1172</v>
      </c>
      <c r="Q304" s="37" t="s">
        <v>605</v>
      </c>
      <c r="R304" s="36" t="str">
        <f aca="false">IF(H304="Ya",IF(M304&lt;&gt;"","SUDAH PLOTTING","BELUM PLOTTING"),"-")</f>
        <v>-</v>
      </c>
      <c r="S304" s="37"/>
      <c r="T304" s="37"/>
    </row>
    <row r="305" customFormat="false" ht="15" hidden="false" customHeight="true" outlineLevel="0" collapsed="false">
      <c r="A305" s="36" t="s">
        <v>1177</v>
      </c>
      <c r="B305" s="37" t="s">
        <v>193</v>
      </c>
      <c r="C305" s="37" t="s">
        <v>194</v>
      </c>
      <c r="D305" s="37" t="s">
        <v>1171</v>
      </c>
      <c r="E305" s="36" t="s">
        <v>111</v>
      </c>
      <c r="F305" s="38" t="s">
        <v>11</v>
      </c>
      <c r="G305" s="36" t="s">
        <v>68</v>
      </c>
      <c r="H305" s="36" t="s">
        <v>658</v>
      </c>
      <c r="I305" s="37" t="n">
        <v>169</v>
      </c>
      <c r="J305" s="37"/>
      <c r="K305" s="37" t="n">
        <v>0</v>
      </c>
      <c r="L305" s="37" t="n">
        <v>1</v>
      </c>
      <c r="M305" s="37"/>
      <c r="N305" s="37"/>
      <c r="O305" s="37" t="s">
        <v>916</v>
      </c>
      <c r="P305" s="37" t="s">
        <v>1172</v>
      </c>
      <c r="Q305" s="37" t="s">
        <v>605</v>
      </c>
      <c r="R305" s="36" t="str">
        <f aca="false">IF(H305="Ya",IF(M305&lt;&gt;"","SUDAH PLOTTING","BELUM PLOTTING"),"-")</f>
        <v>-</v>
      </c>
      <c r="S305" s="37"/>
      <c r="T305" s="37"/>
    </row>
    <row r="306" customFormat="false" ht="15" hidden="false" customHeight="true" outlineLevel="0" collapsed="false">
      <c r="A306" s="36" t="s">
        <v>1178</v>
      </c>
      <c r="B306" s="37" t="s">
        <v>193</v>
      </c>
      <c r="C306" s="37" t="s">
        <v>194</v>
      </c>
      <c r="D306" s="37" t="s">
        <v>1171</v>
      </c>
      <c r="E306" s="36" t="s">
        <v>166</v>
      </c>
      <c r="F306" s="38" t="s">
        <v>11</v>
      </c>
      <c r="G306" s="36" t="s">
        <v>68</v>
      </c>
      <c r="H306" s="36" t="s">
        <v>658</v>
      </c>
      <c r="I306" s="37" t="n">
        <v>124</v>
      </c>
      <c r="J306" s="37"/>
      <c r="K306" s="37" t="n">
        <v>0</v>
      </c>
      <c r="L306" s="37" t="n">
        <v>1</v>
      </c>
      <c r="M306" s="37"/>
      <c r="N306" s="37"/>
      <c r="O306" s="37" t="s">
        <v>916</v>
      </c>
      <c r="P306" s="37" t="s">
        <v>1172</v>
      </c>
      <c r="Q306" s="37" t="s">
        <v>605</v>
      </c>
      <c r="R306" s="36" t="str">
        <f aca="false">IF(H306="Ya",IF(M306&lt;&gt;"","SUDAH PLOTTING","BELUM PLOTTING"),"-")</f>
        <v>-</v>
      </c>
      <c r="S306" s="37"/>
      <c r="T306" s="37"/>
    </row>
    <row r="307" customFormat="false" ht="15" hidden="false" customHeight="true" outlineLevel="0" collapsed="false">
      <c r="A307" s="36" t="s">
        <v>1179</v>
      </c>
      <c r="B307" s="37" t="s">
        <v>193</v>
      </c>
      <c r="C307" s="37" t="s">
        <v>194</v>
      </c>
      <c r="D307" s="37" t="s">
        <v>1171</v>
      </c>
      <c r="E307" s="36" t="s">
        <v>719</v>
      </c>
      <c r="F307" s="38" t="s">
        <v>11</v>
      </c>
      <c r="G307" s="36" t="s">
        <v>68</v>
      </c>
      <c r="H307" s="36" t="s">
        <v>658</v>
      </c>
      <c r="I307" s="37" t="n">
        <v>116</v>
      </c>
      <c r="J307" s="37"/>
      <c r="K307" s="37" t="n">
        <v>0</v>
      </c>
      <c r="L307" s="37" t="n">
        <v>1</v>
      </c>
      <c r="M307" s="37"/>
      <c r="N307" s="37"/>
      <c r="O307" s="37" t="s">
        <v>916</v>
      </c>
      <c r="P307" s="37" t="s">
        <v>1172</v>
      </c>
      <c r="Q307" s="37" t="s">
        <v>605</v>
      </c>
      <c r="R307" s="36" t="str">
        <f aca="false">IF(H307="Ya",IF(M307&lt;&gt;"","SUDAH PLOTTING","BELUM PLOTTING"),"-")</f>
        <v>-</v>
      </c>
      <c r="S307" s="37"/>
      <c r="T307" s="37"/>
    </row>
    <row r="308" customFormat="false" ht="15" hidden="false" customHeight="true" outlineLevel="0" collapsed="false">
      <c r="A308" s="36" t="s">
        <v>1180</v>
      </c>
      <c r="B308" s="37" t="s">
        <v>193</v>
      </c>
      <c r="C308" s="37" t="s">
        <v>194</v>
      </c>
      <c r="D308" s="37" t="s">
        <v>1181</v>
      </c>
      <c r="E308" s="36" t="s">
        <v>79</v>
      </c>
      <c r="F308" s="38" t="s">
        <v>11</v>
      </c>
      <c r="G308" s="36" t="s">
        <v>68</v>
      </c>
      <c r="H308" s="36" t="s">
        <v>658</v>
      </c>
      <c r="I308" s="37" t="n">
        <v>125</v>
      </c>
      <c r="J308" s="37"/>
      <c r="K308" s="37" t="n">
        <v>0</v>
      </c>
      <c r="L308" s="37" t="n">
        <v>0</v>
      </c>
      <c r="M308" s="37"/>
      <c r="N308" s="37"/>
      <c r="O308" s="37" t="s">
        <v>659</v>
      </c>
      <c r="P308" s="37" t="s">
        <v>1182</v>
      </c>
      <c r="Q308" s="37" t="s">
        <v>605</v>
      </c>
      <c r="R308" s="36" t="str">
        <f aca="false">IF(H308="Ya",IF(M308&lt;&gt;"","SUDAH PLOTTING","BELUM PLOTTING"),"-")</f>
        <v>-</v>
      </c>
      <c r="S308" s="37"/>
      <c r="T308" s="37"/>
    </row>
    <row r="309" customFormat="false" ht="15" hidden="false" customHeight="true" outlineLevel="0" collapsed="false">
      <c r="A309" s="36" t="s">
        <v>1183</v>
      </c>
      <c r="B309" s="37" t="s">
        <v>193</v>
      </c>
      <c r="C309" s="37" t="s">
        <v>194</v>
      </c>
      <c r="D309" s="37" t="s">
        <v>1181</v>
      </c>
      <c r="E309" s="36" t="s">
        <v>88</v>
      </c>
      <c r="F309" s="38" t="s">
        <v>11</v>
      </c>
      <c r="G309" s="36" t="s">
        <v>68</v>
      </c>
      <c r="H309" s="36" t="s">
        <v>658</v>
      </c>
      <c r="I309" s="37" t="n">
        <v>139</v>
      </c>
      <c r="J309" s="37"/>
      <c r="K309" s="37" t="n">
        <v>0</v>
      </c>
      <c r="L309" s="37" t="n">
        <v>0</v>
      </c>
      <c r="M309" s="37"/>
      <c r="N309" s="37"/>
      <c r="O309" s="37" t="s">
        <v>659</v>
      </c>
      <c r="P309" s="37" t="s">
        <v>1182</v>
      </c>
      <c r="Q309" s="37" t="s">
        <v>605</v>
      </c>
      <c r="R309" s="36" t="str">
        <f aca="false">IF(H309="Ya",IF(M309&lt;&gt;"","SUDAH PLOTTING","BELUM PLOTTING"),"-")</f>
        <v>-</v>
      </c>
      <c r="S309" s="37"/>
      <c r="T309" s="37"/>
    </row>
    <row r="310" customFormat="false" ht="15" hidden="false" customHeight="true" outlineLevel="0" collapsed="false">
      <c r="A310" s="36" t="s">
        <v>1184</v>
      </c>
      <c r="B310" s="37" t="s">
        <v>193</v>
      </c>
      <c r="C310" s="37" t="s">
        <v>194</v>
      </c>
      <c r="D310" s="37" t="s">
        <v>1181</v>
      </c>
      <c r="E310" s="36" t="s">
        <v>92</v>
      </c>
      <c r="F310" s="38" t="s">
        <v>11</v>
      </c>
      <c r="G310" s="36" t="s">
        <v>68</v>
      </c>
      <c r="H310" s="36" t="s">
        <v>658</v>
      </c>
      <c r="I310" s="37" t="n">
        <v>169</v>
      </c>
      <c r="J310" s="37"/>
      <c r="K310" s="37" t="n">
        <v>0</v>
      </c>
      <c r="L310" s="37" t="n">
        <v>0</v>
      </c>
      <c r="M310" s="37"/>
      <c r="N310" s="37"/>
      <c r="O310" s="37" t="s">
        <v>659</v>
      </c>
      <c r="P310" s="37" t="s">
        <v>1182</v>
      </c>
      <c r="Q310" s="37" t="s">
        <v>605</v>
      </c>
      <c r="R310" s="36" t="str">
        <f aca="false">IF(H310="Ya",IF(M310&lt;&gt;"","SUDAH PLOTTING","BELUM PLOTTING"),"-")</f>
        <v>-</v>
      </c>
      <c r="S310" s="37"/>
      <c r="T310" s="37"/>
    </row>
    <row r="311" customFormat="false" ht="15" hidden="false" customHeight="true" outlineLevel="0" collapsed="false">
      <c r="A311" s="36" t="s">
        <v>1185</v>
      </c>
      <c r="B311" s="37" t="s">
        <v>193</v>
      </c>
      <c r="C311" s="37" t="s">
        <v>194</v>
      </c>
      <c r="D311" s="37" t="s">
        <v>1186</v>
      </c>
      <c r="E311" s="36" t="s">
        <v>79</v>
      </c>
      <c r="F311" s="39" t="s">
        <v>7</v>
      </c>
      <c r="G311" s="36" t="s">
        <v>68</v>
      </c>
      <c r="H311" s="36" t="s">
        <v>68</v>
      </c>
      <c r="I311" s="37" t="n">
        <v>114</v>
      </c>
      <c r="J311" s="37"/>
      <c r="K311" s="37" t="n">
        <v>1</v>
      </c>
      <c r="L311" s="37" t="n">
        <v>0</v>
      </c>
      <c r="M311" s="37" t="s">
        <v>1138</v>
      </c>
      <c r="N311" s="37"/>
      <c r="O311" s="37"/>
      <c r="P311" s="37" t="s">
        <v>1187</v>
      </c>
      <c r="Q311" s="37" t="s">
        <v>605</v>
      </c>
      <c r="R311" s="36" t="str">
        <f aca="false">IF(H311="Ya",IF(M311&lt;&gt;"","SUDAH PLOTTING","BELUM PLOTTING"),"-")</f>
        <v>SUDAH PLOTTING</v>
      </c>
      <c r="S311" s="37" t="s">
        <v>298</v>
      </c>
      <c r="T311" s="37"/>
      <c r="U311" s="40" t="s">
        <v>692</v>
      </c>
      <c r="V311" s="40" t="s">
        <v>68</v>
      </c>
    </row>
    <row r="312" customFormat="false" ht="15" hidden="false" customHeight="true" outlineLevel="0" collapsed="false">
      <c r="A312" s="36" t="s">
        <v>1188</v>
      </c>
      <c r="B312" s="37" t="s">
        <v>193</v>
      </c>
      <c r="C312" s="37" t="s">
        <v>194</v>
      </c>
      <c r="D312" s="37" t="s">
        <v>1186</v>
      </c>
      <c r="E312" s="36" t="s">
        <v>88</v>
      </c>
      <c r="F312" s="39" t="s">
        <v>7</v>
      </c>
      <c r="G312" s="36" t="s">
        <v>68</v>
      </c>
      <c r="H312" s="36" t="s">
        <v>68</v>
      </c>
      <c r="I312" s="37" t="n">
        <v>129</v>
      </c>
      <c r="J312" s="37"/>
      <c r="K312" s="37" t="n">
        <v>1</v>
      </c>
      <c r="L312" s="37" t="n">
        <v>0</v>
      </c>
      <c r="M312" s="37" t="s">
        <v>1189</v>
      </c>
      <c r="N312" s="37"/>
      <c r="O312" s="37"/>
      <c r="P312" s="37" t="s">
        <v>1187</v>
      </c>
      <c r="Q312" s="37" t="s">
        <v>605</v>
      </c>
      <c r="R312" s="36" t="str">
        <f aca="false">IF(H312="Ya",IF(M312&lt;&gt;"","SUDAH PLOTTING","BELUM PLOTTING"),"-")</f>
        <v>SUDAH PLOTTING</v>
      </c>
      <c r="S312" s="37" t="s">
        <v>298</v>
      </c>
      <c r="T312" s="37"/>
      <c r="U312" s="40" t="s">
        <v>692</v>
      </c>
      <c r="V312" s="40" t="s">
        <v>68</v>
      </c>
    </row>
    <row r="313" customFormat="false" ht="15" hidden="false" customHeight="true" outlineLevel="0" collapsed="false">
      <c r="A313" s="36" t="s">
        <v>1190</v>
      </c>
      <c r="B313" s="37" t="s">
        <v>193</v>
      </c>
      <c r="C313" s="37" t="s">
        <v>194</v>
      </c>
      <c r="D313" s="37" t="s">
        <v>1186</v>
      </c>
      <c r="E313" s="36" t="s">
        <v>92</v>
      </c>
      <c r="F313" s="38" t="s">
        <v>11</v>
      </c>
      <c r="G313" s="36" t="s">
        <v>68</v>
      </c>
      <c r="H313" s="36" t="s">
        <v>658</v>
      </c>
      <c r="I313" s="37" t="n">
        <v>137</v>
      </c>
      <c r="J313" s="37"/>
      <c r="K313" s="37" t="n">
        <v>0</v>
      </c>
      <c r="L313" s="37" t="n">
        <v>1</v>
      </c>
      <c r="M313" s="37"/>
      <c r="N313" s="37"/>
      <c r="O313" s="37" t="s">
        <v>916</v>
      </c>
      <c r="P313" s="37" t="s">
        <v>1187</v>
      </c>
      <c r="Q313" s="37" t="s">
        <v>605</v>
      </c>
      <c r="R313" s="36" t="str">
        <f aca="false">IF(H313="Ya",IF(M313&lt;&gt;"","SUDAH PLOTTING","BELUM PLOTTING"),"-")</f>
        <v>-</v>
      </c>
      <c r="S313" s="37"/>
      <c r="T313" s="37"/>
    </row>
    <row r="314" customFormat="false" ht="15" hidden="false" customHeight="true" outlineLevel="0" collapsed="false">
      <c r="A314" s="36" t="s">
        <v>1191</v>
      </c>
      <c r="B314" s="37" t="s">
        <v>193</v>
      </c>
      <c r="C314" s="37" t="s">
        <v>194</v>
      </c>
      <c r="D314" s="37" t="s">
        <v>1186</v>
      </c>
      <c r="E314" s="36" t="s">
        <v>97</v>
      </c>
      <c r="F314" s="39" t="s">
        <v>7</v>
      </c>
      <c r="G314" s="36" t="s">
        <v>68</v>
      </c>
      <c r="H314" s="36" t="s">
        <v>68</v>
      </c>
      <c r="I314" s="37" t="n">
        <v>180</v>
      </c>
      <c r="J314" s="37"/>
      <c r="K314" s="37" t="n">
        <v>1</v>
      </c>
      <c r="L314" s="37" t="n">
        <v>0</v>
      </c>
      <c r="M314" s="37" t="s">
        <v>1192</v>
      </c>
      <c r="N314" s="37"/>
      <c r="O314" s="37"/>
      <c r="P314" s="37" t="s">
        <v>1187</v>
      </c>
      <c r="Q314" s="37" t="s">
        <v>605</v>
      </c>
      <c r="R314" s="36" t="str">
        <f aca="false">IF(H314="Ya",IF(M314&lt;&gt;"","SUDAH PLOTTING","BELUM PLOTTING"),"-")</f>
        <v>SUDAH PLOTTING</v>
      </c>
      <c r="S314" s="37" t="s">
        <v>192</v>
      </c>
      <c r="T314" s="37"/>
      <c r="U314" s="40" t="s">
        <v>692</v>
      </c>
      <c r="V314" s="41" t="s">
        <v>658</v>
      </c>
    </row>
    <row r="315" customFormat="false" ht="15" hidden="false" customHeight="true" outlineLevel="0" collapsed="false">
      <c r="A315" s="36" t="s">
        <v>1193</v>
      </c>
      <c r="B315" s="37" t="s">
        <v>193</v>
      </c>
      <c r="C315" s="37" t="s">
        <v>194</v>
      </c>
      <c r="D315" s="37" t="s">
        <v>1194</v>
      </c>
      <c r="E315" s="36" t="s">
        <v>79</v>
      </c>
      <c r="F315" s="39" t="s">
        <v>7</v>
      </c>
      <c r="G315" s="36" t="s">
        <v>68</v>
      </c>
      <c r="H315" s="36" t="s">
        <v>68</v>
      </c>
      <c r="I315" s="37" t="n">
        <v>166</v>
      </c>
      <c r="J315" s="37"/>
      <c r="K315" s="37" t="n">
        <v>1</v>
      </c>
      <c r="L315" s="37" t="n">
        <v>0</v>
      </c>
      <c r="M315" s="37" t="s">
        <v>1195</v>
      </c>
      <c r="N315" s="37"/>
      <c r="O315" s="37"/>
      <c r="P315" s="37" t="s">
        <v>1196</v>
      </c>
      <c r="Q315" s="37" t="s">
        <v>605</v>
      </c>
      <c r="R315" s="36" t="str">
        <f aca="false">IF(H315="Ya",IF(M315&lt;&gt;"","SUDAH PLOTTING","BELUM PLOTTING"),"-")</f>
        <v>SUDAH PLOTTING</v>
      </c>
      <c r="S315" s="37" t="s">
        <v>192</v>
      </c>
      <c r="T315" s="37"/>
      <c r="U315" s="40" t="s">
        <v>692</v>
      </c>
      <c r="V315" s="41" t="s">
        <v>658</v>
      </c>
    </row>
    <row r="316" customFormat="false" ht="15" hidden="false" customHeight="true" outlineLevel="0" collapsed="false">
      <c r="A316" s="36" t="s">
        <v>1197</v>
      </c>
      <c r="B316" s="37" t="s">
        <v>193</v>
      </c>
      <c r="C316" s="37" t="s">
        <v>194</v>
      </c>
      <c r="D316" s="37" t="s">
        <v>1194</v>
      </c>
      <c r="E316" s="36" t="s">
        <v>88</v>
      </c>
      <c r="F316" s="39" t="s">
        <v>7</v>
      </c>
      <c r="G316" s="36" t="s">
        <v>68</v>
      </c>
      <c r="H316" s="36" t="s">
        <v>68</v>
      </c>
      <c r="I316" s="37" t="n">
        <v>168</v>
      </c>
      <c r="J316" s="37"/>
      <c r="K316" s="37" t="n">
        <v>1</v>
      </c>
      <c r="L316" s="37" t="n">
        <v>0</v>
      </c>
      <c r="M316" s="37" t="s">
        <v>1138</v>
      </c>
      <c r="N316" s="37"/>
      <c r="O316" s="37"/>
      <c r="P316" s="37" t="s">
        <v>1196</v>
      </c>
      <c r="Q316" s="37" t="s">
        <v>605</v>
      </c>
      <c r="R316" s="36" t="str">
        <f aca="false">IF(H316="Ya",IF(M316&lt;&gt;"","SUDAH PLOTTING","BELUM PLOTTING"),"-")</f>
        <v>SUDAH PLOTTING</v>
      </c>
      <c r="S316" s="37" t="s">
        <v>298</v>
      </c>
      <c r="T316" s="37"/>
      <c r="U316" s="40" t="s">
        <v>692</v>
      </c>
      <c r="V316" s="40" t="s">
        <v>68</v>
      </c>
    </row>
    <row r="317" customFormat="false" ht="15" hidden="false" customHeight="true" outlineLevel="0" collapsed="false">
      <c r="A317" s="36" t="s">
        <v>1198</v>
      </c>
      <c r="B317" s="37" t="s">
        <v>193</v>
      </c>
      <c r="C317" s="37" t="s">
        <v>194</v>
      </c>
      <c r="D317" s="37" t="s">
        <v>1194</v>
      </c>
      <c r="E317" s="36" t="s">
        <v>92</v>
      </c>
      <c r="F317" s="38" t="s">
        <v>11</v>
      </c>
      <c r="G317" s="36" t="s">
        <v>68</v>
      </c>
      <c r="H317" s="36" t="s">
        <v>658</v>
      </c>
      <c r="I317" s="37" t="n">
        <v>119</v>
      </c>
      <c r="J317" s="37"/>
      <c r="K317" s="37" t="n">
        <v>0</v>
      </c>
      <c r="L317" s="37" t="n">
        <v>1</v>
      </c>
      <c r="M317" s="37"/>
      <c r="N317" s="37"/>
      <c r="O317" s="37" t="s">
        <v>916</v>
      </c>
      <c r="P317" s="37" t="s">
        <v>1196</v>
      </c>
      <c r="Q317" s="37" t="s">
        <v>605</v>
      </c>
      <c r="R317" s="36" t="str">
        <f aca="false">IF(H317="Ya",IF(M317&lt;&gt;"","SUDAH PLOTTING","BELUM PLOTTING"),"-")</f>
        <v>-</v>
      </c>
      <c r="S317" s="37"/>
      <c r="T317" s="37"/>
    </row>
    <row r="318" customFormat="false" ht="15" hidden="false" customHeight="true" outlineLevel="0" collapsed="false">
      <c r="A318" s="36" t="s">
        <v>1199</v>
      </c>
      <c r="B318" s="37" t="s">
        <v>193</v>
      </c>
      <c r="C318" s="37" t="s">
        <v>194</v>
      </c>
      <c r="D318" s="37" t="s">
        <v>1194</v>
      </c>
      <c r="E318" s="36" t="s">
        <v>97</v>
      </c>
      <c r="F318" s="38" t="s">
        <v>11</v>
      </c>
      <c r="G318" s="36" t="s">
        <v>68</v>
      </c>
      <c r="H318" s="36" t="s">
        <v>658</v>
      </c>
      <c r="I318" s="37" t="n">
        <v>133</v>
      </c>
      <c r="J318" s="37"/>
      <c r="K318" s="37" t="n">
        <v>0</v>
      </c>
      <c r="L318" s="37" t="n">
        <v>1</v>
      </c>
      <c r="M318" s="37"/>
      <c r="N318" s="37"/>
      <c r="O318" s="37" t="s">
        <v>916</v>
      </c>
      <c r="P318" s="37" t="s">
        <v>1196</v>
      </c>
      <c r="Q318" s="37" t="s">
        <v>605</v>
      </c>
      <c r="R318" s="36" t="str">
        <f aca="false">IF(H318="Ya",IF(M318&lt;&gt;"","SUDAH PLOTTING","BELUM PLOTTING"),"-")</f>
        <v>-</v>
      </c>
      <c r="S318" s="37"/>
      <c r="T318" s="37"/>
    </row>
    <row r="319" customFormat="false" ht="15" hidden="false" customHeight="true" outlineLevel="0" collapsed="false">
      <c r="A319" s="36" t="s">
        <v>1200</v>
      </c>
      <c r="B319" s="37" t="s">
        <v>193</v>
      </c>
      <c r="C319" s="37" t="s">
        <v>397</v>
      </c>
      <c r="D319" s="37" t="s">
        <v>1201</v>
      </c>
      <c r="E319" s="36" t="s">
        <v>79</v>
      </c>
      <c r="F319" s="38" t="s">
        <v>11</v>
      </c>
      <c r="G319" s="36" t="s">
        <v>68</v>
      </c>
      <c r="H319" s="36" t="s">
        <v>658</v>
      </c>
      <c r="I319" s="37" t="n">
        <v>143</v>
      </c>
      <c r="J319" s="37"/>
      <c r="K319" s="37" t="n">
        <v>0</v>
      </c>
      <c r="L319" s="37" t="n">
        <v>0</v>
      </c>
      <c r="M319" s="37"/>
      <c r="N319" s="37"/>
      <c r="O319" s="37" t="s">
        <v>659</v>
      </c>
      <c r="P319" s="37" t="s">
        <v>1202</v>
      </c>
      <c r="Q319" s="37" t="s">
        <v>595</v>
      </c>
      <c r="R319" s="36" t="str">
        <f aca="false">IF(H319="Ya",IF(M319&lt;&gt;"","SUDAH PLOTTING","BELUM PLOTTING"),"-")</f>
        <v>-</v>
      </c>
      <c r="S319" s="37"/>
      <c r="T319" s="37"/>
    </row>
    <row r="320" customFormat="false" ht="15" hidden="false" customHeight="true" outlineLevel="0" collapsed="false">
      <c r="A320" s="36" t="s">
        <v>1203</v>
      </c>
      <c r="B320" s="37" t="s">
        <v>193</v>
      </c>
      <c r="C320" s="37" t="s">
        <v>397</v>
      </c>
      <c r="D320" s="37" t="s">
        <v>1201</v>
      </c>
      <c r="E320" s="36" t="s">
        <v>88</v>
      </c>
      <c r="F320" s="38" t="s">
        <v>11</v>
      </c>
      <c r="G320" s="36" t="s">
        <v>68</v>
      </c>
      <c r="H320" s="36" t="s">
        <v>658</v>
      </c>
      <c r="I320" s="37" t="n">
        <v>144</v>
      </c>
      <c r="J320" s="37"/>
      <c r="K320" s="37" t="n">
        <v>0</v>
      </c>
      <c r="L320" s="37" t="n">
        <v>0</v>
      </c>
      <c r="M320" s="37"/>
      <c r="N320" s="37"/>
      <c r="O320" s="37" t="s">
        <v>659</v>
      </c>
      <c r="P320" s="37" t="s">
        <v>1202</v>
      </c>
      <c r="Q320" s="37" t="s">
        <v>595</v>
      </c>
      <c r="R320" s="36" t="str">
        <f aca="false">IF(H320="Ya",IF(M320&lt;&gt;"","SUDAH PLOTTING","BELUM PLOTTING"),"-")</f>
        <v>-</v>
      </c>
      <c r="S320" s="37"/>
      <c r="T320" s="37"/>
    </row>
    <row r="321" customFormat="false" ht="15" hidden="false" customHeight="true" outlineLevel="0" collapsed="false">
      <c r="A321" s="36" t="s">
        <v>1204</v>
      </c>
      <c r="B321" s="37" t="s">
        <v>193</v>
      </c>
      <c r="C321" s="37" t="s">
        <v>397</v>
      </c>
      <c r="D321" s="37" t="s">
        <v>1201</v>
      </c>
      <c r="E321" s="36" t="s">
        <v>92</v>
      </c>
      <c r="F321" s="38" t="s">
        <v>11</v>
      </c>
      <c r="G321" s="36" t="s">
        <v>68</v>
      </c>
      <c r="H321" s="36" t="s">
        <v>658</v>
      </c>
      <c r="I321" s="37" t="n">
        <v>136</v>
      </c>
      <c r="J321" s="37"/>
      <c r="K321" s="37" t="n">
        <v>0</v>
      </c>
      <c r="L321" s="37" t="n">
        <v>0</v>
      </c>
      <c r="M321" s="37"/>
      <c r="N321" s="37"/>
      <c r="O321" s="37" t="s">
        <v>659</v>
      </c>
      <c r="P321" s="37" t="s">
        <v>1202</v>
      </c>
      <c r="Q321" s="37" t="s">
        <v>595</v>
      </c>
      <c r="R321" s="36" t="str">
        <f aca="false">IF(H321="Ya",IF(M321&lt;&gt;"","SUDAH PLOTTING","BELUM PLOTTING"),"-")</f>
        <v>-</v>
      </c>
      <c r="S321" s="37"/>
      <c r="T321" s="37"/>
    </row>
    <row r="322" customFormat="false" ht="15" hidden="false" customHeight="true" outlineLevel="0" collapsed="false">
      <c r="A322" s="36" t="s">
        <v>1205</v>
      </c>
      <c r="B322" s="37" t="s">
        <v>193</v>
      </c>
      <c r="C322" s="37" t="s">
        <v>397</v>
      </c>
      <c r="D322" s="37" t="s">
        <v>1201</v>
      </c>
      <c r="E322" s="36" t="s">
        <v>97</v>
      </c>
      <c r="F322" s="38" t="s">
        <v>11</v>
      </c>
      <c r="G322" s="36" t="s">
        <v>68</v>
      </c>
      <c r="H322" s="36" t="s">
        <v>658</v>
      </c>
      <c r="I322" s="37" t="n">
        <v>169</v>
      </c>
      <c r="J322" s="37"/>
      <c r="K322" s="37" t="n">
        <v>0</v>
      </c>
      <c r="L322" s="37" t="n">
        <v>0</v>
      </c>
      <c r="M322" s="37"/>
      <c r="N322" s="37"/>
      <c r="O322" s="37" t="s">
        <v>659</v>
      </c>
      <c r="P322" s="37" t="s">
        <v>1202</v>
      </c>
      <c r="Q322" s="37" t="s">
        <v>595</v>
      </c>
      <c r="R322" s="36" t="str">
        <f aca="false">IF(H322="Ya",IF(M322&lt;&gt;"","SUDAH PLOTTING","BELUM PLOTTING"),"-")</f>
        <v>-</v>
      </c>
      <c r="S322" s="37"/>
      <c r="T322" s="37"/>
    </row>
    <row r="323" customFormat="false" ht="15" hidden="false" customHeight="true" outlineLevel="0" collapsed="false">
      <c r="A323" s="36" t="s">
        <v>1206</v>
      </c>
      <c r="B323" s="37" t="s">
        <v>193</v>
      </c>
      <c r="C323" s="37" t="s">
        <v>397</v>
      </c>
      <c r="D323" s="37" t="s">
        <v>1201</v>
      </c>
      <c r="E323" s="36" t="s">
        <v>103</v>
      </c>
      <c r="F323" s="38" t="s">
        <v>11</v>
      </c>
      <c r="G323" s="36" t="s">
        <v>68</v>
      </c>
      <c r="H323" s="36" t="s">
        <v>658</v>
      </c>
      <c r="I323" s="37" t="n">
        <v>224</v>
      </c>
      <c r="J323" s="37"/>
      <c r="K323" s="37" t="n">
        <v>0</v>
      </c>
      <c r="L323" s="37" t="n">
        <v>0</v>
      </c>
      <c r="M323" s="37"/>
      <c r="N323" s="37"/>
      <c r="O323" s="37" t="s">
        <v>659</v>
      </c>
      <c r="P323" s="37" t="s">
        <v>1202</v>
      </c>
      <c r="Q323" s="37" t="s">
        <v>595</v>
      </c>
      <c r="R323" s="36" t="str">
        <f aca="false">IF(H323="Ya",IF(M323&lt;&gt;"","SUDAH PLOTTING","BELUM PLOTTING"),"-")</f>
        <v>-</v>
      </c>
      <c r="S323" s="37"/>
      <c r="T323" s="37"/>
    </row>
    <row r="324" customFormat="false" ht="15" hidden="false" customHeight="true" outlineLevel="0" collapsed="false">
      <c r="A324" s="36" t="s">
        <v>1207</v>
      </c>
      <c r="B324" s="37" t="s">
        <v>193</v>
      </c>
      <c r="C324" s="37" t="s">
        <v>397</v>
      </c>
      <c r="D324" s="37" t="s">
        <v>1201</v>
      </c>
      <c r="E324" s="36" t="s">
        <v>111</v>
      </c>
      <c r="F324" s="38" t="s">
        <v>11</v>
      </c>
      <c r="G324" s="36" t="s">
        <v>68</v>
      </c>
      <c r="H324" s="36" t="s">
        <v>658</v>
      </c>
      <c r="I324" s="37" t="n">
        <v>176</v>
      </c>
      <c r="J324" s="37"/>
      <c r="K324" s="37" t="n">
        <v>0</v>
      </c>
      <c r="L324" s="37" t="n">
        <v>0</v>
      </c>
      <c r="M324" s="37"/>
      <c r="N324" s="37"/>
      <c r="O324" s="37" t="s">
        <v>659</v>
      </c>
      <c r="P324" s="37" t="s">
        <v>1202</v>
      </c>
      <c r="Q324" s="37" t="s">
        <v>595</v>
      </c>
      <c r="R324" s="36" t="str">
        <f aca="false">IF(H324="Ya",IF(M324&lt;&gt;"","SUDAH PLOTTING","BELUM PLOTTING"),"-")</f>
        <v>-</v>
      </c>
      <c r="S324" s="37"/>
      <c r="T324" s="37"/>
    </row>
    <row r="325" customFormat="false" ht="15" hidden="false" customHeight="true" outlineLevel="0" collapsed="false">
      <c r="A325" s="36" t="s">
        <v>1208</v>
      </c>
      <c r="B325" s="37" t="s">
        <v>193</v>
      </c>
      <c r="C325" s="37" t="s">
        <v>397</v>
      </c>
      <c r="D325" s="37" t="s">
        <v>1201</v>
      </c>
      <c r="E325" s="36" t="s">
        <v>166</v>
      </c>
      <c r="F325" s="38" t="s">
        <v>11</v>
      </c>
      <c r="G325" s="36" t="s">
        <v>68</v>
      </c>
      <c r="H325" s="36" t="s">
        <v>658</v>
      </c>
      <c r="I325" s="37" t="n">
        <v>149</v>
      </c>
      <c r="J325" s="37"/>
      <c r="K325" s="37" t="n">
        <v>0</v>
      </c>
      <c r="L325" s="37" t="n">
        <v>0</v>
      </c>
      <c r="M325" s="37"/>
      <c r="N325" s="37"/>
      <c r="O325" s="37" t="s">
        <v>659</v>
      </c>
      <c r="P325" s="37" t="s">
        <v>1202</v>
      </c>
      <c r="Q325" s="37" t="s">
        <v>595</v>
      </c>
      <c r="R325" s="36" t="str">
        <f aca="false">IF(H325="Ya",IF(M325&lt;&gt;"","SUDAH PLOTTING","BELUM PLOTTING"),"-")</f>
        <v>-</v>
      </c>
      <c r="S325" s="37"/>
      <c r="T325" s="37"/>
    </row>
    <row r="326" customFormat="false" ht="15" hidden="false" customHeight="true" outlineLevel="0" collapsed="false">
      <c r="A326" s="36" t="s">
        <v>1209</v>
      </c>
      <c r="B326" s="37" t="s">
        <v>193</v>
      </c>
      <c r="C326" s="37" t="s">
        <v>397</v>
      </c>
      <c r="D326" s="37" t="s">
        <v>1201</v>
      </c>
      <c r="E326" s="36" t="s">
        <v>719</v>
      </c>
      <c r="F326" s="38" t="s">
        <v>11</v>
      </c>
      <c r="G326" s="36" t="s">
        <v>68</v>
      </c>
      <c r="H326" s="36" t="s">
        <v>658</v>
      </c>
      <c r="I326" s="37" t="n">
        <v>185</v>
      </c>
      <c r="J326" s="37"/>
      <c r="K326" s="37" t="n">
        <v>0</v>
      </c>
      <c r="L326" s="37" t="n">
        <v>0</v>
      </c>
      <c r="M326" s="37"/>
      <c r="N326" s="37"/>
      <c r="O326" s="37" t="s">
        <v>659</v>
      </c>
      <c r="P326" s="37" t="s">
        <v>1202</v>
      </c>
      <c r="Q326" s="37" t="s">
        <v>595</v>
      </c>
      <c r="R326" s="36" t="str">
        <f aca="false">IF(H326="Ya",IF(M326&lt;&gt;"","SUDAH PLOTTING","BELUM PLOTTING"),"-")</f>
        <v>-</v>
      </c>
      <c r="S326" s="37"/>
      <c r="T326" s="37"/>
    </row>
    <row r="327" customFormat="false" ht="15" hidden="false" customHeight="true" outlineLevel="0" collapsed="false">
      <c r="A327" s="36" t="s">
        <v>1210</v>
      </c>
      <c r="B327" s="37" t="s">
        <v>193</v>
      </c>
      <c r="C327" s="37" t="s">
        <v>397</v>
      </c>
      <c r="D327" s="37" t="s">
        <v>1201</v>
      </c>
      <c r="E327" s="36" t="s">
        <v>721</v>
      </c>
      <c r="F327" s="38" t="s">
        <v>11</v>
      </c>
      <c r="G327" s="36" t="s">
        <v>68</v>
      </c>
      <c r="H327" s="36" t="s">
        <v>658</v>
      </c>
      <c r="I327" s="37" t="n">
        <v>179</v>
      </c>
      <c r="J327" s="37"/>
      <c r="K327" s="37" t="n">
        <v>0</v>
      </c>
      <c r="L327" s="37" t="n">
        <v>0</v>
      </c>
      <c r="M327" s="37"/>
      <c r="N327" s="37"/>
      <c r="O327" s="37" t="s">
        <v>659</v>
      </c>
      <c r="P327" s="37" t="s">
        <v>1202</v>
      </c>
      <c r="Q327" s="37" t="s">
        <v>595</v>
      </c>
      <c r="R327" s="36" t="str">
        <f aca="false">IF(H327="Ya",IF(M327&lt;&gt;"","SUDAH PLOTTING","BELUM PLOTTING"),"-")</f>
        <v>-</v>
      </c>
      <c r="S327" s="37"/>
      <c r="T327" s="37"/>
    </row>
    <row r="328" customFormat="false" ht="15" hidden="false" customHeight="true" outlineLevel="0" collapsed="false">
      <c r="A328" s="36" t="s">
        <v>1211</v>
      </c>
      <c r="B328" s="37" t="s">
        <v>193</v>
      </c>
      <c r="C328" s="37" t="s">
        <v>397</v>
      </c>
      <c r="D328" s="37" t="s">
        <v>1201</v>
      </c>
      <c r="E328" s="36" t="s">
        <v>723</v>
      </c>
      <c r="F328" s="38" t="s">
        <v>11</v>
      </c>
      <c r="G328" s="36" t="s">
        <v>68</v>
      </c>
      <c r="H328" s="36" t="s">
        <v>658</v>
      </c>
      <c r="I328" s="37" t="n">
        <v>193</v>
      </c>
      <c r="J328" s="37"/>
      <c r="K328" s="37" t="n">
        <v>0</v>
      </c>
      <c r="L328" s="37" t="n">
        <v>0</v>
      </c>
      <c r="M328" s="37"/>
      <c r="N328" s="37"/>
      <c r="O328" s="37" t="s">
        <v>659</v>
      </c>
      <c r="P328" s="37" t="s">
        <v>1202</v>
      </c>
      <c r="Q328" s="37" t="s">
        <v>595</v>
      </c>
      <c r="R328" s="36" t="str">
        <f aca="false">IF(H328="Ya",IF(M328&lt;&gt;"","SUDAH PLOTTING","BELUM PLOTTING"),"-")</f>
        <v>-</v>
      </c>
      <c r="S328" s="37"/>
      <c r="T328" s="37"/>
    </row>
    <row r="329" customFormat="false" ht="15" hidden="false" customHeight="true" outlineLevel="0" collapsed="false">
      <c r="A329" s="36" t="s">
        <v>1212</v>
      </c>
      <c r="B329" s="37" t="s">
        <v>193</v>
      </c>
      <c r="C329" s="37" t="s">
        <v>397</v>
      </c>
      <c r="D329" s="37" t="s">
        <v>1213</v>
      </c>
      <c r="E329" s="36" t="s">
        <v>79</v>
      </c>
      <c r="F329" s="38" t="s">
        <v>11</v>
      </c>
      <c r="G329" s="36" t="s">
        <v>68</v>
      </c>
      <c r="H329" s="36" t="s">
        <v>658</v>
      </c>
      <c r="I329" s="37" t="n">
        <v>198</v>
      </c>
      <c r="J329" s="37"/>
      <c r="K329" s="37" t="n">
        <v>0</v>
      </c>
      <c r="L329" s="37" t="n">
        <v>0</v>
      </c>
      <c r="M329" s="37"/>
      <c r="N329" s="37"/>
      <c r="O329" s="37" t="s">
        <v>659</v>
      </c>
      <c r="P329" s="37" t="s">
        <v>1214</v>
      </c>
      <c r="Q329" s="37" t="s">
        <v>595</v>
      </c>
      <c r="R329" s="36" t="str">
        <f aca="false">IF(H329="Ya",IF(M329&lt;&gt;"","SUDAH PLOTTING","BELUM PLOTTING"),"-")</f>
        <v>-</v>
      </c>
      <c r="S329" s="37"/>
      <c r="T329" s="37"/>
    </row>
    <row r="330" customFormat="false" ht="15" hidden="false" customHeight="true" outlineLevel="0" collapsed="false">
      <c r="A330" s="36" t="s">
        <v>1215</v>
      </c>
      <c r="B330" s="37" t="s">
        <v>193</v>
      </c>
      <c r="C330" s="37" t="s">
        <v>397</v>
      </c>
      <c r="D330" s="37" t="s">
        <v>1213</v>
      </c>
      <c r="E330" s="36" t="s">
        <v>88</v>
      </c>
      <c r="F330" s="38" t="s">
        <v>11</v>
      </c>
      <c r="G330" s="36" t="s">
        <v>68</v>
      </c>
      <c r="H330" s="36" t="s">
        <v>658</v>
      </c>
      <c r="I330" s="37" t="n">
        <v>193</v>
      </c>
      <c r="J330" s="37"/>
      <c r="K330" s="37" t="n">
        <v>0</v>
      </c>
      <c r="L330" s="37" t="n">
        <v>0</v>
      </c>
      <c r="M330" s="37"/>
      <c r="N330" s="37"/>
      <c r="O330" s="37" t="s">
        <v>659</v>
      </c>
      <c r="P330" s="37" t="s">
        <v>1214</v>
      </c>
      <c r="Q330" s="37" t="s">
        <v>595</v>
      </c>
      <c r="R330" s="36" t="str">
        <f aca="false">IF(H330="Ya",IF(M330&lt;&gt;"","SUDAH PLOTTING","BELUM PLOTTING"),"-")</f>
        <v>-</v>
      </c>
      <c r="S330" s="37"/>
      <c r="T330" s="37"/>
    </row>
    <row r="331" customFormat="false" ht="15" hidden="false" customHeight="true" outlineLevel="0" collapsed="false">
      <c r="A331" s="36" t="s">
        <v>1216</v>
      </c>
      <c r="B331" s="37" t="s">
        <v>193</v>
      </c>
      <c r="C331" s="37" t="s">
        <v>397</v>
      </c>
      <c r="D331" s="37" t="s">
        <v>1217</v>
      </c>
      <c r="E331" s="36" t="s">
        <v>79</v>
      </c>
      <c r="F331" s="38" t="s">
        <v>11</v>
      </c>
      <c r="G331" s="36" t="s">
        <v>68</v>
      </c>
      <c r="H331" s="36" t="s">
        <v>658</v>
      </c>
      <c r="I331" s="37" t="n">
        <v>162</v>
      </c>
      <c r="J331" s="37"/>
      <c r="K331" s="37" t="n">
        <v>0</v>
      </c>
      <c r="L331" s="37" t="n">
        <v>0</v>
      </c>
      <c r="M331" s="37"/>
      <c r="N331" s="37"/>
      <c r="O331" s="37" t="s">
        <v>659</v>
      </c>
      <c r="P331" s="37" t="s">
        <v>1218</v>
      </c>
      <c r="Q331" s="37" t="s">
        <v>595</v>
      </c>
      <c r="R331" s="36" t="str">
        <f aca="false">IF(H331="Ya",IF(M331&lt;&gt;"","SUDAH PLOTTING","BELUM PLOTTING"),"-")</f>
        <v>-</v>
      </c>
      <c r="S331" s="37"/>
      <c r="T331" s="37"/>
    </row>
    <row r="332" customFormat="false" ht="15" hidden="false" customHeight="true" outlineLevel="0" collapsed="false">
      <c r="A332" s="36" t="s">
        <v>1219</v>
      </c>
      <c r="B332" s="37" t="s">
        <v>193</v>
      </c>
      <c r="C332" s="37" t="s">
        <v>397</v>
      </c>
      <c r="D332" s="37" t="s">
        <v>1217</v>
      </c>
      <c r="E332" s="36" t="s">
        <v>88</v>
      </c>
      <c r="F332" s="38" t="s">
        <v>11</v>
      </c>
      <c r="G332" s="36" t="s">
        <v>68</v>
      </c>
      <c r="H332" s="36" t="s">
        <v>658</v>
      </c>
      <c r="I332" s="37" t="n">
        <v>144</v>
      </c>
      <c r="J332" s="37"/>
      <c r="K332" s="37" t="n">
        <v>0</v>
      </c>
      <c r="L332" s="37" t="n">
        <v>0</v>
      </c>
      <c r="M332" s="37"/>
      <c r="N332" s="37"/>
      <c r="O332" s="37" t="s">
        <v>659</v>
      </c>
      <c r="P332" s="37" t="s">
        <v>1218</v>
      </c>
      <c r="Q332" s="37" t="s">
        <v>595</v>
      </c>
      <c r="R332" s="36" t="str">
        <f aca="false">IF(H332="Ya",IF(M332&lt;&gt;"","SUDAH PLOTTING","BELUM PLOTTING"),"-")</f>
        <v>-</v>
      </c>
      <c r="S332" s="37"/>
      <c r="T332" s="37"/>
    </row>
    <row r="333" customFormat="false" ht="15" hidden="false" customHeight="true" outlineLevel="0" collapsed="false">
      <c r="A333" s="36" t="s">
        <v>1220</v>
      </c>
      <c r="B333" s="37" t="s">
        <v>193</v>
      </c>
      <c r="C333" s="37" t="s">
        <v>397</v>
      </c>
      <c r="D333" s="37" t="s">
        <v>1217</v>
      </c>
      <c r="E333" s="36" t="s">
        <v>92</v>
      </c>
      <c r="F333" s="38" t="s">
        <v>11</v>
      </c>
      <c r="G333" s="36" t="s">
        <v>68</v>
      </c>
      <c r="H333" s="36" t="s">
        <v>658</v>
      </c>
      <c r="I333" s="37" t="n">
        <v>132</v>
      </c>
      <c r="J333" s="37"/>
      <c r="K333" s="37" t="n">
        <v>0</v>
      </c>
      <c r="L333" s="37" t="n">
        <v>0</v>
      </c>
      <c r="M333" s="37"/>
      <c r="N333" s="37"/>
      <c r="O333" s="37" t="s">
        <v>659</v>
      </c>
      <c r="P333" s="37" t="s">
        <v>1218</v>
      </c>
      <c r="Q333" s="37" t="s">
        <v>595</v>
      </c>
      <c r="R333" s="36" t="str">
        <f aca="false">IF(H333="Ya",IF(M333&lt;&gt;"","SUDAH PLOTTING","BELUM PLOTTING"),"-")</f>
        <v>-</v>
      </c>
      <c r="S333" s="37"/>
      <c r="T333" s="37"/>
    </row>
    <row r="334" customFormat="false" ht="15" hidden="false" customHeight="true" outlineLevel="0" collapsed="false">
      <c r="A334" s="36" t="s">
        <v>1221</v>
      </c>
      <c r="B334" s="37" t="s">
        <v>193</v>
      </c>
      <c r="C334" s="37" t="s">
        <v>397</v>
      </c>
      <c r="D334" s="37" t="s">
        <v>1222</v>
      </c>
      <c r="E334" s="36" t="s">
        <v>62</v>
      </c>
      <c r="F334" s="38" t="s">
        <v>11</v>
      </c>
      <c r="G334" s="36" t="s">
        <v>68</v>
      </c>
      <c r="H334" s="36" t="s">
        <v>658</v>
      </c>
      <c r="I334" s="37" t="n">
        <v>171</v>
      </c>
      <c r="J334" s="37"/>
      <c r="K334" s="37" t="n">
        <v>0</v>
      </c>
      <c r="L334" s="37" t="n">
        <v>0</v>
      </c>
      <c r="M334" s="37"/>
      <c r="N334" s="37"/>
      <c r="O334" s="37" t="s">
        <v>659</v>
      </c>
      <c r="P334" s="37" t="s">
        <v>1223</v>
      </c>
      <c r="Q334" s="37" t="s">
        <v>595</v>
      </c>
      <c r="R334" s="36" t="str">
        <f aca="false">IF(H334="Ya",IF(M334&lt;&gt;"","SUDAH PLOTTING","BELUM PLOTTING"),"-")</f>
        <v>-</v>
      </c>
      <c r="S334" s="37"/>
      <c r="T334" s="37"/>
    </row>
    <row r="335" customFormat="false" ht="15" hidden="false" customHeight="true" outlineLevel="0" collapsed="false">
      <c r="A335" s="36" t="s">
        <v>1224</v>
      </c>
      <c r="B335" s="37" t="s">
        <v>193</v>
      </c>
      <c r="C335" s="37" t="s">
        <v>397</v>
      </c>
      <c r="D335" s="37" t="s">
        <v>1225</v>
      </c>
      <c r="E335" s="36" t="s">
        <v>79</v>
      </c>
      <c r="F335" s="39" t="s">
        <v>7</v>
      </c>
      <c r="G335" s="36" t="s">
        <v>68</v>
      </c>
      <c r="H335" s="36" t="s">
        <v>68</v>
      </c>
      <c r="I335" s="37" t="n">
        <v>119</v>
      </c>
      <c r="J335" s="37"/>
      <c r="K335" s="37" t="n">
        <v>1</v>
      </c>
      <c r="L335" s="37" t="n">
        <v>0</v>
      </c>
      <c r="M335" s="37" t="s">
        <v>1226</v>
      </c>
      <c r="N335" s="37"/>
      <c r="O335" s="37"/>
      <c r="P335" s="37" t="s">
        <v>1227</v>
      </c>
      <c r="Q335" s="37" t="s">
        <v>595</v>
      </c>
      <c r="R335" s="36" t="str">
        <f aca="false">IF(H335="Ya",IF(M335&lt;&gt;"","SUDAH PLOTTING","BELUM PLOTTING"),"-")</f>
        <v>SUDAH PLOTTING</v>
      </c>
      <c r="S335" s="37" t="s">
        <v>298</v>
      </c>
      <c r="T335" s="37"/>
      <c r="U335" s="40" t="s">
        <v>692</v>
      </c>
      <c r="V335" s="41" t="s">
        <v>658</v>
      </c>
    </row>
    <row r="336" customFormat="false" ht="15" hidden="false" customHeight="true" outlineLevel="0" collapsed="false">
      <c r="A336" s="36" t="s">
        <v>1228</v>
      </c>
      <c r="B336" s="37" t="s">
        <v>193</v>
      </c>
      <c r="C336" s="37" t="s">
        <v>397</v>
      </c>
      <c r="D336" s="37" t="s">
        <v>1225</v>
      </c>
      <c r="E336" s="36" t="s">
        <v>88</v>
      </c>
      <c r="F336" s="39" t="s">
        <v>7</v>
      </c>
      <c r="G336" s="36" t="s">
        <v>68</v>
      </c>
      <c r="H336" s="36" t="s">
        <v>68</v>
      </c>
      <c r="I336" s="37" t="n">
        <v>129</v>
      </c>
      <c r="J336" s="37"/>
      <c r="K336" s="37" t="n">
        <v>1</v>
      </c>
      <c r="L336" s="37" t="n">
        <v>0</v>
      </c>
      <c r="M336" s="37" t="s">
        <v>491</v>
      </c>
      <c r="N336" s="37"/>
      <c r="O336" s="37"/>
      <c r="P336" s="37" t="s">
        <v>1227</v>
      </c>
      <c r="Q336" s="37" t="s">
        <v>595</v>
      </c>
      <c r="R336" s="36" t="str">
        <f aca="false">IF(H336="Ya",IF(M336&lt;&gt;"","SUDAH PLOTTING","BELUM PLOTTING"),"-")</f>
        <v>SUDAH PLOTTING</v>
      </c>
      <c r="S336" s="37" t="s">
        <v>192</v>
      </c>
      <c r="T336" s="37"/>
      <c r="U336" s="40" t="s">
        <v>692</v>
      </c>
      <c r="V336" s="41" t="s">
        <v>658</v>
      </c>
    </row>
    <row r="337" customFormat="false" ht="15" hidden="false" customHeight="true" outlineLevel="0" collapsed="false">
      <c r="A337" s="36" t="s">
        <v>1229</v>
      </c>
      <c r="B337" s="37" t="s">
        <v>193</v>
      </c>
      <c r="C337" s="37" t="s">
        <v>397</v>
      </c>
      <c r="D337" s="37" t="s">
        <v>1225</v>
      </c>
      <c r="E337" s="36" t="s">
        <v>92</v>
      </c>
      <c r="F337" s="39" t="s">
        <v>7</v>
      </c>
      <c r="G337" s="36" t="s">
        <v>68</v>
      </c>
      <c r="H337" s="36" t="s">
        <v>68</v>
      </c>
      <c r="I337" s="37" t="n">
        <v>127</v>
      </c>
      <c r="J337" s="37"/>
      <c r="K337" s="37" t="n">
        <v>1</v>
      </c>
      <c r="L337" s="37" t="n">
        <v>0</v>
      </c>
      <c r="M337" s="37" t="s">
        <v>1230</v>
      </c>
      <c r="N337" s="37"/>
      <c r="O337" s="37"/>
      <c r="P337" s="37" t="s">
        <v>1227</v>
      </c>
      <c r="Q337" s="37" t="s">
        <v>595</v>
      </c>
      <c r="R337" s="36" t="str">
        <f aca="false">IF(H337="Ya",IF(M337&lt;&gt;"","SUDAH PLOTTING","BELUM PLOTTING"),"-")</f>
        <v>SUDAH PLOTTING</v>
      </c>
      <c r="S337" s="37" t="s">
        <v>192</v>
      </c>
      <c r="T337" s="37"/>
      <c r="U337" s="40" t="s">
        <v>692</v>
      </c>
      <c r="V337" s="41" t="s">
        <v>658</v>
      </c>
    </row>
    <row r="338" customFormat="false" ht="15" hidden="false" customHeight="true" outlineLevel="0" collapsed="false">
      <c r="A338" s="36" t="s">
        <v>1231</v>
      </c>
      <c r="B338" s="37" t="s">
        <v>193</v>
      </c>
      <c r="C338" s="37" t="s">
        <v>397</v>
      </c>
      <c r="D338" s="37" t="s">
        <v>1225</v>
      </c>
      <c r="E338" s="36" t="s">
        <v>97</v>
      </c>
      <c r="F338" s="39" t="s">
        <v>7</v>
      </c>
      <c r="G338" s="36" t="s">
        <v>68</v>
      </c>
      <c r="H338" s="36" t="s">
        <v>68</v>
      </c>
      <c r="I338" s="37" t="n">
        <v>154</v>
      </c>
      <c r="J338" s="37"/>
      <c r="K338" s="37" t="n">
        <v>1</v>
      </c>
      <c r="L338" s="37" t="n">
        <v>0</v>
      </c>
      <c r="M338" s="37" t="s">
        <v>1226</v>
      </c>
      <c r="N338" s="37"/>
      <c r="O338" s="37"/>
      <c r="P338" s="37" t="s">
        <v>1227</v>
      </c>
      <c r="Q338" s="37" t="s">
        <v>595</v>
      </c>
      <c r="R338" s="36" t="str">
        <f aca="false">IF(H338="Ya",IF(M338&lt;&gt;"","SUDAH PLOTTING","BELUM PLOTTING"),"-")</f>
        <v>SUDAH PLOTTING</v>
      </c>
      <c r="S338" s="37" t="s">
        <v>298</v>
      </c>
      <c r="T338" s="37"/>
      <c r="U338" s="40" t="s">
        <v>692</v>
      </c>
      <c r="V338" s="41" t="s">
        <v>658</v>
      </c>
    </row>
    <row r="339" customFormat="false" ht="15" hidden="false" customHeight="true" outlineLevel="0" collapsed="false">
      <c r="A339" s="36" t="s">
        <v>1232</v>
      </c>
      <c r="B339" s="37" t="s">
        <v>193</v>
      </c>
      <c r="C339" s="37" t="s">
        <v>397</v>
      </c>
      <c r="D339" s="37" t="s">
        <v>1233</v>
      </c>
      <c r="E339" s="36" t="s">
        <v>79</v>
      </c>
      <c r="F339" s="38" t="s">
        <v>11</v>
      </c>
      <c r="G339" s="36" t="s">
        <v>68</v>
      </c>
      <c r="H339" s="36" t="s">
        <v>658</v>
      </c>
      <c r="I339" s="37" t="n">
        <v>140</v>
      </c>
      <c r="J339" s="37"/>
      <c r="K339" s="37" t="n">
        <v>0</v>
      </c>
      <c r="L339" s="37" t="n">
        <v>0</v>
      </c>
      <c r="M339" s="37"/>
      <c r="N339" s="37"/>
      <c r="O339" s="37" t="s">
        <v>659</v>
      </c>
      <c r="P339" s="37" t="s">
        <v>1234</v>
      </c>
      <c r="Q339" s="37" t="s">
        <v>595</v>
      </c>
      <c r="R339" s="36" t="str">
        <f aca="false">IF(H339="Ya",IF(M339&lt;&gt;"","SUDAH PLOTTING","BELUM PLOTTING"),"-")</f>
        <v>-</v>
      </c>
      <c r="S339" s="37"/>
      <c r="T339" s="37"/>
    </row>
    <row r="340" customFormat="false" ht="15" hidden="false" customHeight="true" outlineLevel="0" collapsed="false">
      <c r="A340" s="36" t="s">
        <v>1235</v>
      </c>
      <c r="B340" s="37" t="s">
        <v>193</v>
      </c>
      <c r="C340" s="37" t="s">
        <v>397</v>
      </c>
      <c r="D340" s="37" t="s">
        <v>1233</v>
      </c>
      <c r="E340" s="36" t="s">
        <v>88</v>
      </c>
      <c r="F340" s="38" t="s">
        <v>11</v>
      </c>
      <c r="G340" s="36" t="s">
        <v>68</v>
      </c>
      <c r="H340" s="36" t="s">
        <v>658</v>
      </c>
      <c r="I340" s="37" t="n">
        <v>167</v>
      </c>
      <c r="J340" s="37"/>
      <c r="K340" s="37" t="n">
        <v>0</v>
      </c>
      <c r="L340" s="37" t="n">
        <v>0</v>
      </c>
      <c r="M340" s="37"/>
      <c r="N340" s="37"/>
      <c r="O340" s="37" t="s">
        <v>659</v>
      </c>
      <c r="P340" s="37" t="s">
        <v>1234</v>
      </c>
      <c r="Q340" s="37" t="s">
        <v>595</v>
      </c>
      <c r="R340" s="36" t="str">
        <f aca="false">IF(H340="Ya",IF(M340&lt;&gt;"","SUDAH PLOTTING","BELUM PLOTTING"),"-")</f>
        <v>-</v>
      </c>
      <c r="S340" s="37"/>
      <c r="T340" s="37"/>
    </row>
    <row r="341" customFormat="false" ht="15" hidden="false" customHeight="true" outlineLevel="0" collapsed="false">
      <c r="A341" s="36" t="s">
        <v>1236</v>
      </c>
      <c r="B341" s="37" t="s">
        <v>193</v>
      </c>
      <c r="C341" s="37" t="s">
        <v>397</v>
      </c>
      <c r="D341" s="37" t="s">
        <v>1233</v>
      </c>
      <c r="E341" s="36" t="s">
        <v>92</v>
      </c>
      <c r="F341" s="38" t="s">
        <v>11</v>
      </c>
      <c r="G341" s="36" t="s">
        <v>68</v>
      </c>
      <c r="H341" s="36" t="s">
        <v>658</v>
      </c>
      <c r="I341" s="37" t="n">
        <v>135</v>
      </c>
      <c r="J341" s="37"/>
      <c r="K341" s="37" t="n">
        <v>0</v>
      </c>
      <c r="L341" s="37" t="n">
        <v>0</v>
      </c>
      <c r="M341" s="37"/>
      <c r="N341" s="37"/>
      <c r="O341" s="37" t="s">
        <v>659</v>
      </c>
      <c r="P341" s="37" t="s">
        <v>1234</v>
      </c>
      <c r="Q341" s="37" t="s">
        <v>595</v>
      </c>
      <c r="R341" s="36" t="str">
        <f aca="false">IF(H341="Ya",IF(M341&lt;&gt;"","SUDAH PLOTTING","BELUM PLOTTING"),"-")</f>
        <v>-</v>
      </c>
      <c r="S341" s="37"/>
      <c r="T341" s="37"/>
    </row>
    <row r="342" customFormat="false" ht="15" hidden="false" customHeight="true" outlineLevel="0" collapsed="false">
      <c r="A342" s="36" t="s">
        <v>1237</v>
      </c>
      <c r="B342" s="37" t="s">
        <v>193</v>
      </c>
      <c r="C342" s="37" t="s">
        <v>349</v>
      </c>
      <c r="D342" s="37" t="s">
        <v>1141</v>
      </c>
      <c r="E342" s="36" t="s">
        <v>79</v>
      </c>
      <c r="F342" s="38" t="s">
        <v>11</v>
      </c>
      <c r="G342" s="36" t="s">
        <v>68</v>
      </c>
      <c r="H342" s="36" t="s">
        <v>658</v>
      </c>
      <c r="I342" s="37" t="n">
        <v>161</v>
      </c>
      <c r="J342" s="37"/>
      <c r="K342" s="37" t="n">
        <v>0</v>
      </c>
      <c r="L342" s="37" t="n">
        <v>0</v>
      </c>
      <c r="M342" s="37"/>
      <c r="N342" s="37"/>
      <c r="O342" s="37" t="s">
        <v>659</v>
      </c>
      <c r="P342" s="37" t="s">
        <v>1238</v>
      </c>
      <c r="Q342" s="37" t="s">
        <v>626</v>
      </c>
      <c r="R342" s="36" t="str">
        <f aca="false">IF(H342="Ya",IF(M342&lt;&gt;"","SUDAH PLOTTING","BELUM PLOTTING"),"-")</f>
        <v>-</v>
      </c>
      <c r="S342" s="37"/>
      <c r="T342" s="37"/>
    </row>
    <row r="343" customFormat="false" ht="15" hidden="false" customHeight="true" outlineLevel="0" collapsed="false">
      <c r="A343" s="36" t="s">
        <v>1239</v>
      </c>
      <c r="B343" s="37" t="s">
        <v>193</v>
      </c>
      <c r="C343" s="37" t="s">
        <v>349</v>
      </c>
      <c r="D343" s="37" t="s">
        <v>1141</v>
      </c>
      <c r="E343" s="36" t="s">
        <v>88</v>
      </c>
      <c r="F343" s="38" t="s">
        <v>11</v>
      </c>
      <c r="G343" s="36" t="s">
        <v>68</v>
      </c>
      <c r="H343" s="36" t="s">
        <v>658</v>
      </c>
      <c r="I343" s="37" t="n">
        <v>127</v>
      </c>
      <c r="J343" s="37"/>
      <c r="K343" s="37" t="n">
        <v>0</v>
      </c>
      <c r="L343" s="37" t="n">
        <v>0</v>
      </c>
      <c r="M343" s="37"/>
      <c r="N343" s="37"/>
      <c r="O343" s="37" t="s">
        <v>659</v>
      </c>
      <c r="P343" s="37" t="s">
        <v>1238</v>
      </c>
      <c r="Q343" s="37" t="s">
        <v>626</v>
      </c>
      <c r="R343" s="36" t="str">
        <f aca="false">IF(H343="Ya",IF(M343&lt;&gt;"","SUDAH PLOTTING","BELUM PLOTTING"),"-")</f>
        <v>-</v>
      </c>
      <c r="S343" s="37"/>
      <c r="T343" s="37"/>
    </row>
    <row r="344" customFormat="false" ht="15" hidden="false" customHeight="true" outlineLevel="0" collapsed="false">
      <c r="A344" s="36" t="s">
        <v>1240</v>
      </c>
      <c r="B344" s="37" t="s">
        <v>193</v>
      </c>
      <c r="C344" s="37" t="s">
        <v>349</v>
      </c>
      <c r="D344" s="37" t="s">
        <v>1141</v>
      </c>
      <c r="E344" s="36" t="s">
        <v>92</v>
      </c>
      <c r="F344" s="38" t="s">
        <v>11</v>
      </c>
      <c r="G344" s="36" t="s">
        <v>68</v>
      </c>
      <c r="H344" s="36" t="s">
        <v>658</v>
      </c>
      <c r="I344" s="37" t="n">
        <v>110</v>
      </c>
      <c r="J344" s="37"/>
      <c r="K344" s="37" t="n">
        <v>0</v>
      </c>
      <c r="L344" s="37" t="n">
        <v>0</v>
      </c>
      <c r="M344" s="37"/>
      <c r="N344" s="37"/>
      <c r="O344" s="37" t="s">
        <v>659</v>
      </c>
      <c r="P344" s="37" t="s">
        <v>1238</v>
      </c>
      <c r="Q344" s="37" t="s">
        <v>626</v>
      </c>
      <c r="R344" s="36" t="str">
        <f aca="false">IF(H344="Ya",IF(M344&lt;&gt;"","SUDAH PLOTTING","BELUM PLOTTING"),"-")</f>
        <v>-</v>
      </c>
      <c r="S344" s="37"/>
      <c r="T344" s="37"/>
    </row>
    <row r="345" customFormat="false" ht="15" hidden="false" customHeight="true" outlineLevel="0" collapsed="false">
      <c r="A345" s="36" t="s">
        <v>1241</v>
      </c>
      <c r="B345" s="37" t="s">
        <v>193</v>
      </c>
      <c r="C345" s="37" t="s">
        <v>349</v>
      </c>
      <c r="D345" s="37" t="s">
        <v>1141</v>
      </c>
      <c r="E345" s="36" t="s">
        <v>97</v>
      </c>
      <c r="F345" s="38" t="s">
        <v>11</v>
      </c>
      <c r="G345" s="36" t="s">
        <v>68</v>
      </c>
      <c r="H345" s="36" t="s">
        <v>658</v>
      </c>
      <c r="I345" s="37" t="n">
        <v>221</v>
      </c>
      <c r="J345" s="37"/>
      <c r="K345" s="37" t="n">
        <v>0</v>
      </c>
      <c r="L345" s="37" t="n">
        <v>0</v>
      </c>
      <c r="M345" s="37"/>
      <c r="N345" s="37"/>
      <c r="O345" s="37" t="s">
        <v>659</v>
      </c>
      <c r="P345" s="37" t="s">
        <v>1238</v>
      </c>
      <c r="Q345" s="37" t="s">
        <v>626</v>
      </c>
      <c r="R345" s="36" t="str">
        <f aca="false">IF(H345="Ya",IF(M345&lt;&gt;"","SUDAH PLOTTING","BELUM PLOTTING"),"-")</f>
        <v>-</v>
      </c>
      <c r="S345" s="37"/>
      <c r="T345" s="37"/>
    </row>
    <row r="346" customFormat="false" ht="15" hidden="false" customHeight="true" outlineLevel="0" collapsed="false">
      <c r="A346" s="36" t="s">
        <v>1242</v>
      </c>
      <c r="B346" s="37" t="s">
        <v>193</v>
      </c>
      <c r="C346" s="37" t="s">
        <v>349</v>
      </c>
      <c r="D346" s="37" t="s">
        <v>1141</v>
      </c>
      <c r="E346" s="36" t="s">
        <v>103</v>
      </c>
      <c r="F346" s="38" t="s">
        <v>11</v>
      </c>
      <c r="G346" s="36" t="s">
        <v>68</v>
      </c>
      <c r="H346" s="36" t="s">
        <v>658</v>
      </c>
      <c r="I346" s="37" t="n">
        <v>132</v>
      </c>
      <c r="J346" s="37"/>
      <c r="K346" s="37" t="n">
        <v>0</v>
      </c>
      <c r="L346" s="37" t="n">
        <v>0</v>
      </c>
      <c r="M346" s="37"/>
      <c r="N346" s="37"/>
      <c r="O346" s="37" t="s">
        <v>659</v>
      </c>
      <c r="P346" s="37" t="s">
        <v>1238</v>
      </c>
      <c r="Q346" s="37" t="s">
        <v>626</v>
      </c>
      <c r="R346" s="36" t="str">
        <f aca="false">IF(H346="Ya",IF(M346&lt;&gt;"","SUDAH PLOTTING","BELUM PLOTTING"),"-")</f>
        <v>-</v>
      </c>
      <c r="S346" s="37"/>
      <c r="T346" s="37"/>
    </row>
    <row r="347" customFormat="false" ht="15" hidden="false" customHeight="true" outlineLevel="0" collapsed="false">
      <c r="A347" s="36" t="s">
        <v>1243</v>
      </c>
      <c r="B347" s="37" t="s">
        <v>193</v>
      </c>
      <c r="C347" s="37" t="s">
        <v>349</v>
      </c>
      <c r="D347" s="37" t="s">
        <v>1141</v>
      </c>
      <c r="E347" s="36" t="s">
        <v>111</v>
      </c>
      <c r="F347" s="38" t="s">
        <v>11</v>
      </c>
      <c r="G347" s="36" t="s">
        <v>68</v>
      </c>
      <c r="H347" s="36" t="s">
        <v>658</v>
      </c>
      <c r="I347" s="37" t="n">
        <v>148</v>
      </c>
      <c r="J347" s="37"/>
      <c r="K347" s="37" t="n">
        <v>0</v>
      </c>
      <c r="L347" s="37" t="n">
        <v>0</v>
      </c>
      <c r="M347" s="37"/>
      <c r="N347" s="37"/>
      <c r="O347" s="37" t="s">
        <v>659</v>
      </c>
      <c r="P347" s="37" t="s">
        <v>1238</v>
      </c>
      <c r="Q347" s="37" t="s">
        <v>626</v>
      </c>
      <c r="R347" s="36" t="str">
        <f aca="false">IF(H347="Ya",IF(M347&lt;&gt;"","SUDAH PLOTTING","BELUM PLOTTING"),"-")</f>
        <v>-</v>
      </c>
      <c r="S347" s="37"/>
      <c r="T347" s="37"/>
    </row>
    <row r="348" customFormat="false" ht="15" hidden="false" customHeight="true" outlineLevel="0" collapsed="false">
      <c r="A348" s="36" t="s">
        <v>1244</v>
      </c>
      <c r="B348" s="37" t="s">
        <v>193</v>
      </c>
      <c r="C348" s="37" t="s">
        <v>349</v>
      </c>
      <c r="D348" s="37" t="s">
        <v>1141</v>
      </c>
      <c r="E348" s="36" t="s">
        <v>166</v>
      </c>
      <c r="F348" s="38" t="s">
        <v>11</v>
      </c>
      <c r="G348" s="36" t="s">
        <v>68</v>
      </c>
      <c r="H348" s="36" t="s">
        <v>658</v>
      </c>
      <c r="I348" s="37" t="n">
        <v>120</v>
      </c>
      <c r="J348" s="37"/>
      <c r="K348" s="37" t="n">
        <v>0</v>
      </c>
      <c r="L348" s="37" t="n">
        <v>0</v>
      </c>
      <c r="M348" s="37"/>
      <c r="N348" s="37"/>
      <c r="O348" s="37" t="s">
        <v>659</v>
      </c>
      <c r="P348" s="37" t="s">
        <v>1238</v>
      </c>
      <c r="Q348" s="37" t="s">
        <v>626</v>
      </c>
      <c r="R348" s="36" t="str">
        <f aca="false">IF(H348="Ya",IF(M348&lt;&gt;"","SUDAH PLOTTING","BELUM PLOTTING"),"-")</f>
        <v>-</v>
      </c>
      <c r="S348" s="37"/>
      <c r="T348" s="37"/>
    </row>
    <row r="349" customFormat="false" ht="15" hidden="false" customHeight="true" outlineLevel="0" collapsed="false">
      <c r="A349" s="36" t="s">
        <v>1245</v>
      </c>
      <c r="B349" s="37" t="s">
        <v>193</v>
      </c>
      <c r="C349" s="37" t="s">
        <v>349</v>
      </c>
      <c r="D349" s="37" t="s">
        <v>1246</v>
      </c>
      <c r="E349" s="36" t="s">
        <v>79</v>
      </c>
      <c r="F349" s="38" t="s">
        <v>11</v>
      </c>
      <c r="G349" s="36" t="s">
        <v>68</v>
      </c>
      <c r="H349" s="36" t="s">
        <v>658</v>
      </c>
      <c r="I349" s="37" t="n">
        <v>153</v>
      </c>
      <c r="J349" s="37"/>
      <c r="K349" s="37" t="n">
        <v>0</v>
      </c>
      <c r="L349" s="37" t="n">
        <v>0</v>
      </c>
      <c r="M349" s="37"/>
      <c r="N349" s="37"/>
      <c r="O349" s="37" t="s">
        <v>659</v>
      </c>
      <c r="P349" s="37" t="s">
        <v>1247</v>
      </c>
      <c r="Q349" s="37" t="s">
        <v>626</v>
      </c>
      <c r="R349" s="36" t="str">
        <f aca="false">IF(H349="Ya",IF(M349&lt;&gt;"","SUDAH PLOTTING","BELUM PLOTTING"),"-")</f>
        <v>-</v>
      </c>
      <c r="S349" s="37"/>
      <c r="T349" s="37"/>
    </row>
    <row r="350" customFormat="false" ht="15" hidden="false" customHeight="true" outlineLevel="0" collapsed="false">
      <c r="A350" s="36" t="s">
        <v>1248</v>
      </c>
      <c r="B350" s="37" t="s">
        <v>193</v>
      </c>
      <c r="C350" s="37" t="s">
        <v>349</v>
      </c>
      <c r="D350" s="37" t="s">
        <v>1246</v>
      </c>
      <c r="E350" s="36" t="s">
        <v>88</v>
      </c>
      <c r="F350" s="38" t="s">
        <v>11</v>
      </c>
      <c r="G350" s="36" t="s">
        <v>68</v>
      </c>
      <c r="H350" s="36" t="s">
        <v>658</v>
      </c>
      <c r="I350" s="37" t="n">
        <v>122</v>
      </c>
      <c r="J350" s="37"/>
      <c r="K350" s="37" t="n">
        <v>0</v>
      </c>
      <c r="L350" s="37" t="n">
        <v>0</v>
      </c>
      <c r="M350" s="37"/>
      <c r="N350" s="37"/>
      <c r="O350" s="37" t="s">
        <v>659</v>
      </c>
      <c r="P350" s="37" t="s">
        <v>1247</v>
      </c>
      <c r="Q350" s="37" t="s">
        <v>626</v>
      </c>
      <c r="R350" s="36" t="str">
        <f aca="false">IF(H350="Ya",IF(M350&lt;&gt;"","SUDAH PLOTTING","BELUM PLOTTING"),"-")</f>
        <v>-</v>
      </c>
      <c r="S350" s="37"/>
      <c r="T350" s="37"/>
    </row>
    <row r="351" customFormat="false" ht="15" hidden="false" customHeight="true" outlineLevel="0" collapsed="false">
      <c r="A351" s="36" t="s">
        <v>1249</v>
      </c>
      <c r="B351" s="37" t="s">
        <v>193</v>
      </c>
      <c r="C351" s="37" t="s">
        <v>349</v>
      </c>
      <c r="D351" s="37" t="s">
        <v>1246</v>
      </c>
      <c r="E351" s="36" t="s">
        <v>92</v>
      </c>
      <c r="F351" s="38" t="s">
        <v>11</v>
      </c>
      <c r="G351" s="36" t="s">
        <v>68</v>
      </c>
      <c r="H351" s="36" t="s">
        <v>658</v>
      </c>
      <c r="I351" s="37" t="n">
        <v>134</v>
      </c>
      <c r="J351" s="37"/>
      <c r="K351" s="37" t="n">
        <v>0</v>
      </c>
      <c r="L351" s="37" t="n">
        <v>0</v>
      </c>
      <c r="M351" s="37"/>
      <c r="N351" s="37"/>
      <c r="O351" s="37" t="s">
        <v>659</v>
      </c>
      <c r="P351" s="37" t="s">
        <v>1247</v>
      </c>
      <c r="Q351" s="37" t="s">
        <v>626</v>
      </c>
      <c r="R351" s="36" t="str">
        <f aca="false">IF(H351="Ya",IF(M351&lt;&gt;"","SUDAH PLOTTING","BELUM PLOTTING"),"-")</f>
        <v>-</v>
      </c>
      <c r="S351" s="37"/>
      <c r="T351" s="37"/>
    </row>
    <row r="352" customFormat="false" ht="15" hidden="false" customHeight="true" outlineLevel="0" collapsed="false">
      <c r="A352" s="36" t="s">
        <v>1250</v>
      </c>
      <c r="B352" s="37" t="s">
        <v>193</v>
      </c>
      <c r="C352" s="37" t="s">
        <v>349</v>
      </c>
      <c r="D352" s="37" t="s">
        <v>1251</v>
      </c>
      <c r="E352" s="36" t="s">
        <v>79</v>
      </c>
      <c r="F352" s="38" t="s">
        <v>11</v>
      </c>
      <c r="G352" s="36" t="s">
        <v>68</v>
      </c>
      <c r="H352" s="36" t="s">
        <v>658</v>
      </c>
      <c r="I352" s="37" t="n">
        <v>121</v>
      </c>
      <c r="J352" s="37"/>
      <c r="K352" s="37" t="n">
        <v>0</v>
      </c>
      <c r="L352" s="37" t="n">
        <v>0</v>
      </c>
      <c r="M352" s="37"/>
      <c r="N352" s="37"/>
      <c r="O352" s="37" t="s">
        <v>659</v>
      </c>
      <c r="P352" s="37" t="s">
        <v>1252</v>
      </c>
      <c r="Q352" s="37" t="s">
        <v>626</v>
      </c>
      <c r="R352" s="36" t="str">
        <f aca="false">IF(H352="Ya",IF(M352&lt;&gt;"","SUDAH PLOTTING","BELUM PLOTTING"),"-")</f>
        <v>-</v>
      </c>
      <c r="S352" s="37"/>
      <c r="T352" s="37"/>
    </row>
    <row r="353" customFormat="false" ht="15" hidden="false" customHeight="true" outlineLevel="0" collapsed="false">
      <c r="A353" s="36" t="s">
        <v>1253</v>
      </c>
      <c r="B353" s="37" t="s">
        <v>193</v>
      </c>
      <c r="C353" s="37" t="s">
        <v>349</v>
      </c>
      <c r="D353" s="37" t="s">
        <v>1251</v>
      </c>
      <c r="E353" s="36" t="s">
        <v>88</v>
      </c>
      <c r="F353" s="38" t="s">
        <v>11</v>
      </c>
      <c r="G353" s="36" t="s">
        <v>68</v>
      </c>
      <c r="H353" s="36" t="s">
        <v>658</v>
      </c>
      <c r="I353" s="37" t="n">
        <v>157</v>
      </c>
      <c r="J353" s="37"/>
      <c r="K353" s="37" t="n">
        <v>0</v>
      </c>
      <c r="L353" s="37" t="n">
        <v>0</v>
      </c>
      <c r="M353" s="37"/>
      <c r="N353" s="37"/>
      <c r="O353" s="37" t="s">
        <v>659</v>
      </c>
      <c r="P353" s="37" t="s">
        <v>1252</v>
      </c>
      <c r="Q353" s="37" t="s">
        <v>626</v>
      </c>
      <c r="R353" s="36" t="str">
        <f aca="false">IF(H353="Ya",IF(M353&lt;&gt;"","SUDAH PLOTTING","BELUM PLOTTING"),"-")</f>
        <v>-</v>
      </c>
      <c r="S353" s="37"/>
      <c r="T353" s="37"/>
    </row>
    <row r="354" customFormat="false" ht="15" hidden="false" customHeight="true" outlineLevel="0" collapsed="false">
      <c r="A354" s="36" t="s">
        <v>1254</v>
      </c>
      <c r="B354" s="37" t="s">
        <v>193</v>
      </c>
      <c r="C354" s="37" t="s">
        <v>349</v>
      </c>
      <c r="D354" s="37" t="s">
        <v>1151</v>
      </c>
      <c r="E354" s="36" t="s">
        <v>79</v>
      </c>
      <c r="F354" s="38" t="s">
        <v>11</v>
      </c>
      <c r="G354" s="36" t="s">
        <v>68</v>
      </c>
      <c r="H354" s="36" t="s">
        <v>658</v>
      </c>
      <c r="I354" s="37" t="n">
        <v>150</v>
      </c>
      <c r="J354" s="37"/>
      <c r="K354" s="37" t="n">
        <v>0</v>
      </c>
      <c r="L354" s="37" t="n">
        <v>0</v>
      </c>
      <c r="M354" s="37"/>
      <c r="N354" s="37"/>
      <c r="O354" s="37" t="s">
        <v>659</v>
      </c>
      <c r="P354" s="37" t="s">
        <v>1255</v>
      </c>
      <c r="Q354" s="37" t="s">
        <v>626</v>
      </c>
      <c r="R354" s="36" t="str">
        <f aca="false">IF(H354="Ya",IF(M354&lt;&gt;"","SUDAH PLOTTING","BELUM PLOTTING"),"-")</f>
        <v>-</v>
      </c>
      <c r="S354" s="37"/>
      <c r="T354" s="37"/>
    </row>
    <row r="355" customFormat="false" ht="15" hidden="false" customHeight="true" outlineLevel="0" collapsed="false">
      <c r="A355" s="36" t="s">
        <v>1256</v>
      </c>
      <c r="B355" s="37" t="s">
        <v>193</v>
      </c>
      <c r="C355" s="37" t="s">
        <v>349</v>
      </c>
      <c r="D355" s="37" t="s">
        <v>1151</v>
      </c>
      <c r="E355" s="36" t="s">
        <v>88</v>
      </c>
      <c r="F355" s="39" t="s">
        <v>7</v>
      </c>
      <c r="G355" s="36" t="s">
        <v>68</v>
      </c>
      <c r="H355" s="36" t="s">
        <v>68</v>
      </c>
      <c r="I355" s="37" t="n">
        <v>159</v>
      </c>
      <c r="J355" s="37" t="n">
        <v>0</v>
      </c>
      <c r="K355" s="37" t="n">
        <v>1</v>
      </c>
      <c r="L355" s="37" t="n">
        <v>0</v>
      </c>
      <c r="M355" s="37" t="s">
        <v>1226</v>
      </c>
      <c r="N355" s="37"/>
      <c r="O355" s="37"/>
      <c r="P355" s="37" t="s">
        <v>1255</v>
      </c>
      <c r="Q355" s="37" t="s">
        <v>626</v>
      </c>
      <c r="R355" s="36" t="str">
        <f aca="false">IF(H355="Ya",IF(M355&lt;&gt;"","SUDAH PLOTTING","BELUM PLOTTING"),"-")</f>
        <v>SUDAH PLOTTING</v>
      </c>
      <c r="S355" s="37" t="s">
        <v>298</v>
      </c>
      <c r="T355" s="37"/>
      <c r="U355" s="40" t="s">
        <v>692</v>
      </c>
      <c r="V355" s="40" t="s">
        <v>68</v>
      </c>
    </row>
    <row r="356" customFormat="false" ht="15" hidden="false" customHeight="true" outlineLevel="0" collapsed="false">
      <c r="A356" s="36" t="s">
        <v>1257</v>
      </c>
      <c r="B356" s="37" t="s">
        <v>193</v>
      </c>
      <c r="C356" s="37" t="s">
        <v>349</v>
      </c>
      <c r="D356" s="37" t="s">
        <v>1151</v>
      </c>
      <c r="E356" s="36" t="s">
        <v>92</v>
      </c>
      <c r="F356" s="38" t="s">
        <v>11</v>
      </c>
      <c r="G356" s="36" t="s">
        <v>68</v>
      </c>
      <c r="H356" s="36" t="s">
        <v>658</v>
      </c>
      <c r="I356" s="37" t="n">
        <v>111</v>
      </c>
      <c r="J356" s="37"/>
      <c r="K356" s="37" t="n">
        <v>0</v>
      </c>
      <c r="L356" s="37" t="n">
        <v>0</v>
      </c>
      <c r="M356" s="37"/>
      <c r="N356" s="37"/>
      <c r="O356" s="37" t="s">
        <v>659</v>
      </c>
      <c r="P356" s="37" t="s">
        <v>1255</v>
      </c>
      <c r="Q356" s="37" t="s">
        <v>626</v>
      </c>
      <c r="R356" s="36" t="str">
        <f aca="false">IF(H356="Ya",IF(M356&lt;&gt;"","SUDAH PLOTTING","BELUM PLOTTING"),"-")</f>
        <v>-</v>
      </c>
      <c r="S356" s="37"/>
      <c r="T356" s="37"/>
    </row>
    <row r="357" customFormat="false" ht="15" hidden="false" customHeight="true" outlineLevel="0" collapsed="false">
      <c r="A357" s="36" t="s">
        <v>1258</v>
      </c>
      <c r="B357" s="37" t="s">
        <v>193</v>
      </c>
      <c r="C357" s="37" t="s">
        <v>349</v>
      </c>
      <c r="D357" s="37" t="s">
        <v>1259</v>
      </c>
      <c r="E357" s="36" t="s">
        <v>62</v>
      </c>
      <c r="F357" s="38" t="s">
        <v>11</v>
      </c>
      <c r="G357" s="36" t="s">
        <v>68</v>
      </c>
      <c r="H357" s="36" t="s">
        <v>658</v>
      </c>
      <c r="I357" s="37" t="n">
        <v>205</v>
      </c>
      <c r="J357" s="37"/>
      <c r="K357" s="37" t="n">
        <v>0</v>
      </c>
      <c r="L357" s="37" t="n">
        <v>0</v>
      </c>
      <c r="M357" s="37"/>
      <c r="N357" s="37"/>
      <c r="O357" s="37" t="s">
        <v>659</v>
      </c>
      <c r="P357" s="37" t="s">
        <v>1260</v>
      </c>
      <c r="Q357" s="37" t="s">
        <v>626</v>
      </c>
      <c r="R357" s="36" t="str">
        <f aca="false">IF(H357="Ya",IF(M357&lt;&gt;"","SUDAH PLOTTING","BELUM PLOTTING"),"-")</f>
        <v>-</v>
      </c>
      <c r="S357" s="37"/>
      <c r="T357" s="37"/>
    </row>
    <row r="358" customFormat="false" ht="15" hidden="false" customHeight="true" outlineLevel="0" collapsed="false">
      <c r="A358" s="36" t="s">
        <v>1261</v>
      </c>
      <c r="B358" s="37" t="s">
        <v>193</v>
      </c>
      <c r="C358" s="37" t="s">
        <v>349</v>
      </c>
      <c r="D358" s="37" t="s">
        <v>1262</v>
      </c>
      <c r="E358" s="36" t="s">
        <v>79</v>
      </c>
      <c r="F358" s="38" t="s">
        <v>11</v>
      </c>
      <c r="G358" s="36" t="s">
        <v>68</v>
      </c>
      <c r="H358" s="36" t="s">
        <v>658</v>
      </c>
      <c r="I358" s="37" t="n">
        <v>122</v>
      </c>
      <c r="J358" s="37"/>
      <c r="K358" s="37" t="n">
        <v>0</v>
      </c>
      <c r="L358" s="37" t="n">
        <v>0</v>
      </c>
      <c r="M358" s="37"/>
      <c r="N358" s="37"/>
      <c r="O358" s="37" t="s">
        <v>659</v>
      </c>
      <c r="P358" s="37" t="s">
        <v>1263</v>
      </c>
      <c r="Q358" s="37" t="s">
        <v>626</v>
      </c>
      <c r="R358" s="36" t="str">
        <f aca="false">IF(H358="Ya",IF(M358&lt;&gt;"","SUDAH PLOTTING","BELUM PLOTTING"),"-")</f>
        <v>-</v>
      </c>
      <c r="S358" s="37"/>
      <c r="T358" s="37"/>
    </row>
    <row r="359" customFormat="false" ht="15" hidden="false" customHeight="true" outlineLevel="0" collapsed="false">
      <c r="A359" s="36" t="s">
        <v>1264</v>
      </c>
      <c r="B359" s="37" t="s">
        <v>193</v>
      </c>
      <c r="C359" s="37" t="s">
        <v>349</v>
      </c>
      <c r="D359" s="37" t="s">
        <v>1262</v>
      </c>
      <c r="E359" s="36" t="s">
        <v>88</v>
      </c>
      <c r="F359" s="39" t="s">
        <v>7</v>
      </c>
      <c r="G359" s="36" t="s">
        <v>68</v>
      </c>
      <c r="H359" s="36" t="s">
        <v>68</v>
      </c>
      <c r="I359" s="37" t="n">
        <v>113</v>
      </c>
      <c r="J359" s="37" t="n">
        <v>0</v>
      </c>
      <c r="K359" s="37" t="n">
        <v>1</v>
      </c>
      <c r="L359" s="37" t="n">
        <v>0</v>
      </c>
      <c r="M359" s="37" t="s">
        <v>1265</v>
      </c>
      <c r="N359" s="37"/>
      <c r="O359" s="37"/>
      <c r="P359" s="37" t="s">
        <v>1263</v>
      </c>
      <c r="Q359" s="37" t="s">
        <v>626</v>
      </c>
      <c r="R359" s="36" t="str">
        <f aca="false">IF(H359="Ya",IF(M359&lt;&gt;"","SUDAH PLOTTING","BELUM PLOTTING"),"-")</f>
        <v>SUDAH PLOTTING</v>
      </c>
      <c r="S359" s="37" t="s">
        <v>298</v>
      </c>
      <c r="T359" s="37"/>
      <c r="U359" s="40" t="s">
        <v>692</v>
      </c>
      <c r="V359" s="40" t="s">
        <v>68</v>
      </c>
    </row>
    <row r="360" customFormat="false" ht="15" hidden="false" customHeight="true" outlineLevel="0" collapsed="false">
      <c r="A360" s="36" t="s">
        <v>1266</v>
      </c>
      <c r="B360" s="37" t="s">
        <v>193</v>
      </c>
      <c r="C360" s="37" t="s">
        <v>349</v>
      </c>
      <c r="D360" s="37" t="s">
        <v>1267</v>
      </c>
      <c r="E360" s="36" t="s">
        <v>79</v>
      </c>
      <c r="F360" s="38" t="s">
        <v>11</v>
      </c>
      <c r="G360" s="36" t="s">
        <v>68</v>
      </c>
      <c r="H360" s="36" t="s">
        <v>658</v>
      </c>
      <c r="I360" s="37" t="n">
        <v>157</v>
      </c>
      <c r="J360" s="37"/>
      <c r="K360" s="37" t="n">
        <v>0</v>
      </c>
      <c r="L360" s="37" t="n">
        <v>0</v>
      </c>
      <c r="M360" s="37"/>
      <c r="N360" s="37" t="n">
        <v>19</v>
      </c>
      <c r="O360" s="37" t="s">
        <v>1268</v>
      </c>
      <c r="P360" s="37" t="s">
        <v>1269</v>
      </c>
      <c r="Q360" s="37" t="s">
        <v>626</v>
      </c>
      <c r="R360" s="36" t="str">
        <f aca="false">IF(H360="Ya",IF(M360&lt;&gt;"","SUDAH PLOTTING","BELUM PLOTTING"),"-")</f>
        <v>-</v>
      </c>
      <c r="S360" s="37"/>
      <c r="T360" s="37"/>
    </row>
    <row r="361" customFormat="false" ht="15" hidden="false" customHeight="true" outlineLevel="0" collapsed="false">
      <c r="A361" s="36" t="s">
        <v>1270</v>
      </c>
      <c r="B361" s="37" t="s">
        <v>193</v>
      </c>
      <c r="C361" s="37" t="s">
        <v>349</v>
      </c>
      <c r="D361" s="37" t="s">
        <v>1267</v>
      </c>
      <c r="E361" s="36" t="s">
        <v>88</v>
      </c>
      <c r="F361" s="39" t="s">
        <v>7</v>
      </c>
      <c r="G361" s="36" t="s">
        <v>68</v>
      </c>
      <c r="H361" s="36" t="s">
        <v>68</v>
      </c>
      <c r="I361" s="37" t="n">
        <v>151</v>
      </c>
      <c r="J361" s="37" t="n">
        <v>52</v>
      </c>
      <c r="K361" s="37" t="n">
        <v>2</v>
      </c>
      <c r="L361" s="37" t="n">
        <v>0</v>
      </c>
      <c r="M361" s="37" t="s">
        <v>1271</v>
      </c>
      <c r="N361" s="37" t="n">
        <v>19</v>
      </c>
      <c r="O361" s="37"/>
      <c r="P361" s="37" t="s">
        <v>1269</v>
      </c>
      <c r="Q361" s="37" t="s">
        <v>626</v>
      </c>
      <c r="R361" s="36" t="str">
        <f aca="false">IF(H361="Ya",IF(M361&lt;&gt;"","SUDAH PLOTTING","BELUM PLOTTING"),"-")</f>
        <v>SUDAH PLOTTING</v>
      </c>
      <c r="S361" s="37" t="s">
        <v>298</v>
      </c>
      <c r="T361" s="37"/>
      <c r="U361" s="40" t="s">
        <v>692</v>
      </c>
      <c r="V361" s="40" t="s">
        <v>68</v>
      </c>
    </row>
    <row r="362" customFormat="false" ht="15" hidden="false" customHeight="true" outlineLevel="0" collapsed="false">
      <c r="A362" s="36" t="s">
        <v>1272</v>
      </c>
      <c r="B362" s="37" t="s">
        <v>193</v>
      </c>
      <c r="C362" s="37" t="s">
        <v>349</v>
      </c>
      <c r="D362" s="37" t="s">
        <v>1267</v>
      </c>
      <c r="E362" s="36" t="s">
        <v>92</v>
      </c>
      <c r="F362" s="38" t="s">
        <v>11</v>
      </c>
      <c r="G362" s="36" t="s">
        <v>68</v>
      </c>
      <c r="H362" s="36" t="s">
        <v>658</v>
      </c>
      <c r="I362" s="37" t="n">
        <v>158</v>
      </c>
      <c r="J362" s="37"/>
      <c r="K362" s="37" t="n">
        <v>0</v>
      </c>
      <c r="L362" s="37" t="n">
        <v>0</v>
      </c>
      <c r="M362" s="37"/>
      <c r="N362" s="37" t="n">
        <v>19</v>
      </c>
      <c r="O362" s="37" t="s">
        <v>1268</v>
      </c>
      <c r="P362" s="37" t="s">
        <v>1269</v>
      </c>
      <c r="Q362" s="37" t="s">
        <v>626</v>
      </c>
      <c r="R362" s="36" t="str">
        <f aca="false">IF(H362="Ya",IF(M362&lt;&gt;"","SUDAH PLOTTING","BELUM PLOTTING"),"-")</f>
        <v>-</v>
      </c>
      <c r="S362" s="37"/>
      <c r="T362" s="37"/>
    </row>
    <row r="363" customFormat="false" ht="15" hidden="false" customHeight="true" outlineLevel="0" collapsed="false">
      <c r="A363" s="36" t="s">
        <v>1273</v>
      </c>
      <c r="B363" s="37" t="s">
        <v>193</v>
      </c>
      <c r="C363" s="37" t="s">
        <v>1274</v>
      </c>
      <c r="D363" s="37" t="s">
        <v>1275</v>
      </c>
      <c r="E363" s="36" t="s">
        <v>79</v>
      </c>
      <c r="F363" s="42" t="s">
        <v>9</v>
      </c>
      <c r="G363" s="36" t="s">
        <v>658</v>
      </c>
      <c r="H363" s="36" t="s">
        <v>68</v>
      </c>
      <c r="I363" s="37" t="n">
        <v>206</v>
      </c>
      <c r="J363" s="37"/>
      <c r="K363" s="37" t="n">
        <v>3</v>
      </c>
      <c r="L363" s="37" t="n">
        <v>0</v>
      </c>
      <c r="M363" s="37" t="s">
        <v>1276</v>
      </c>
      <c r="N363" s="37"/>
      <c r="O363" s="37" t="s">
        <v>1277</v>
      </c>
      <c r="P363" s="37" t="s">
        <v>1278</v>
      </c>
      <c r="Q363" s="37" t="s">
        <v>1279</v>
      </c>
      <c r="R363" s="36" t="str">
        <f aca="false">IF(H363="Ya",IF(M363&lt;&gt;"","SUDAH PLOTTING","BELUM PLOTTING"),"-")</f>
        <v>SUDAH PLOTTING</v>
      </c>
      <c r="S363" s="37" t="s">
        <v>298</v>
      </c>
      <c r="T363" s="37"/>
      <c r="U363" s="40" t="s">
        <v>692</v>
      </c>
      <c r="V363" s="41" t="s">
        <v>658</v>
      </c>
    </row>
    <row r="364" customFormat="false" ht="15" hidden="false" customHeight="true" outlineLevel="0" collapsed="false">
      <c r="A364" s="36" t="s">
        <v>1280</v>
      </c>
      <c r="B364" s="37" t="s">
        <v>193</v>
      </c>
      <c r="C364" s="37" t="s">
        <v>1274</v>
      </c>
      <c r="D364" s="37" t="s">
        <v>1275</v>
      </c>
      <c r="E364" s="36" t="s">
        <v>88</v>
      </c>
      <c r="F364" s="42" t="s">
        <v>9</v>
      </c>
      <c r="G364" s="36" t="s">
        <v>658</v>
      </c>
      <c r="H364" s="36" t="s">
        <v>68</v>
      </c>
      <c r="I364" s="37" t="n">
        <v>207</v>
      </c>
      <c r="J364" s="37"/>
      <c r="K364" s="37" t="n">
        <v>1</v>
      </c>
      <c r="L364" s="37" t="n">
        <v>0</v>
      </c>
      <c r="M364" s="37" t="s">
        <v>1226</v>
      </c>
      <c r="N364" s="37"/>
      <c r="O364" s="37" t="s">
        <v>1277</v>
      </c>
      <c r="P364" s="37" t="s">
        <v>1278</v>
      </c>
      <c r="Q364" s="37" t="s">
        <v>1279</v>
      </c>
      <c r="R364" s="36" t="str">
        <f aca="false">IF(H364="Ya",IF(M364&lt;&gt;"","SUDAH PLOTTING","BELUM PLOTTING"),"-")</f>
        <v>SUDAH PLOTTING</v>
      </c>
      <c r="S364" s="37" t="s">
        <v>298</v>
      </c>
      <c r="T364" s="37"/>
      <c r="U364" s="40" t="s">
        <v>692</v>
      </c>
      <c r="V364" s="41" t="s">
        <v>658</v>
      </c>
    </row>
    <row r="365" customFormat="false" ht="15" hidden="false" customHeight="true" outlineLevel="0" collapsed="false">
      <c r="A365" s="36" t="s">
        <v>1281</v>
      </c>
      <c r="B365" s="37" t="s">
        <v>193</v>
      </c>
      <c r="C365" s="37" t="s">
        <v>1274</v>
      </c>
      <c r="D365" s="37" t="s">
        <v>1275</v>
      </c>
      <c r="E365" s="36" t="s">
        <v>92</v>
      </c>
      <c r="F365" s="42" t="s">
        <v>9</v>
      </c>
      <c r="G365" s="36" t="s">
        <v>658</v>
      </c>
      <c r="H365" s="36" t="s">
        <v>68</v>
      </c>
      <c r="I365" s="37" t="n">
        <v>128</v>
      </c>
      <c r="J365" s="37"/>
      <c r="K365" s="37" t="n">
        <v>1</v>
      </c>
      <c r="L365" s="37" t="n">
        <v>0</v>
      </c>
      <c r="M365" s="37" t="s">
        <v>1265</v>
      </c>
      <c r="N365" s="37"/>
      <c r="O365" s="37" t="s">
        <v>1277</v>
      </c>
      <c r="P365" s="37" t="s">
        <v>1278</v>
      </c>
      <c r="Q365" s="37" t="s">
        <v>1279</v>
      </c>
      <c r="R365" s="36" t="str">
        <f aca="false">IF(H365="Ya",IF(M365&lt;&gt;"","SUDAH PLOTTING","BELUM PLOTTING"),"-")</f>
        <v>SUDAH PLOTTING</v>
      </c>
      <c r="S365" s="37" t="s">
        <v>298</v>
      </c>
      <c r="T365" s="37"/>
      <c r="U365" s="40" t="s">
        <v>692</v>
      </c>
      <c r="V365" s="41" t="s">
        <v>658</v>
      </c>
    </row>
    <row r="366" customFormat="false" ht="15" hidden="false" customHeight="true" outlineLevel="0" collapsed="false">
      <c r="A366" s="36" t="s">
        <v>1282</v>
      </c>
      <c r="B366" s="37" t="s">
        <v>193</v>
      </c>
      <c r="C366" s="37" t="s">
        <v>1274</v>
      </c>
      <c r="D366" s="37" t="s">
        <v>1275</v>
      </c>
      <c r="E366" s="36" t="s">
        <v>97</v>
      </c>
      <c r="F366" s="42" t="s">
        <v>9</v>
      </c>
      <c r="G366" s="36" t="s">
        <v>658</v>
      </c>
      <c r="H366" s="36" t="s">
        <v>68</v>
      </c>
      <c r="I366" s="37" t="n">
        <v>156</v>
      </c>
      <c r="J366" s="37"/>
      <c r="K366" s="37" t="n">
        <v>1</v>
      </c>
      <c r="L366" s="37" t="n">
        <v>0</v>
      </c>
      <c r="M366" s="37" t="s">
        <v>1265</v>
      </c>
      <c r="N366" s="37"/>
      <c r="O366" s="37" t="s">
        <v>1277</v>
      </c>
      <c r="P366" s="37" t="s">
        <v>1278</v>
      </c>
      <c r="Q366" s="37" t="s">
        <v>1279</v>
      </c>
      <c r="R366" s="36" t="str">
        <f aca="false">IF(H366="Ya",IF(M366&lt;&gt;"","SUDAH PLOTTING","BELUM PLOTTING"),"-")</f>
        <v>SUDAH PLOTTING</v>
      </c>
      <c r="S366" s="37" t="s">
        <v>298</v>
      </c>
      <c r="T366" s="37"/>
      <c r="U366" s="40" t="s">
        <v>692</v>
      </c>
      <c r="V366" s="41" t="s">
        <v>658</v>
      </c>
    </row>
    <row r="367" customFormat="false" ht="15" hidden="false" customHeight="true" outlineLevel="0" collapsed="false">
      <c r="A367" s="36" t="s">
        <v>1283</v>
      </c>
      <c r="B367" s="37" t="s">
        <v>193</v>
      </c>
      <c r="C367" s="37" t="s">
        <v>1274</v>
      </c>
      <c r="D367" s="37" t="s">
        <v>1275</v>
      </c>
      <c r="E367" s="36" t="s">
        <v>103</v>
      </c>
      <c r="F367" s="42" t="s">
        <v>9</v>
      </c>
      <c r="G367" s="36" t="s">
        <v>658</v>
      </c>
      <c r="H367" s="36" t="s">
        <v>68</v>
      </c>
      <c r="I367" s="37" t="n">
        <v>195</v>
      </c>
      <c r="J367" s="37"/>
      <c r="K367" s="37" t="n">
        <v>1</v>
      </c>
      <c r="L367" s="37" t="n">
        <v>0</v>
      </c>
      <c r="M367" s="37" t="s">
        <v>1226</v>
      </c>
      <c r="N367" s="37"/>
      <c r="O367" s="37" t="s">
        <v>1277</v>
      </c>
      <c r="P367" s="37" t="s">
        <v>1278</v>
      </c>
      <c r="Q367" s="37" t="s">
        <v>1279</v>
      </c>
      <c r="R367" s="36" t="str">
        <f aca="false">IF(H367="Ya",IF(M367&lt;&gt;"","SUDAH PLOTTING","BELUM PLOTTING"),"-")</f>
        <v>SUDAH PLOTTING</v>
      </c>
      <c r="S367" s="37" t="s">
        <v>298</v>
      </c>
      <c r="T367" s="37"/>
      <c r="U367" s="40" t="s">
        <v>692</v>
      </c>
      <c r="V367" s="41" t="s">
        <v>658</v>
      </c>
    </row>
    <row r="368" customFormat="false" ht="15" hidden="false" customHeight="true" outlineLevel="0" collapsed="false">
      <c r="A368" s="36" t="s">
        <v>1284</v>
      </c>
      <c r="B368" s="37" t="s">
        <v>193</v>
      </c>
      <c r="C368" s="37" t="s">
        <v>382</v>
      </c>
      <c r="D368" s="37" t="s">
        <v>913</v>
      </c>
      <c r="E368" s="36" t="s">
        <v>79</v>
      </c>
      <c r="F368" s="38" t="s">
        <v>11</v>
      </c>
      <c r="G368" s="36" t="s">
        <v>68</v>
      </c>
      <c r="H368" s="36" t="s">
        <v>658</v>
      </c>
      <c r="I368" s="37" t="n">
        <v>160</v>
      </c>
      <c r="J368" s="37"/>
      <c r="K368" s="37" t="n">
        <v>0</v>
      </c>
      <c r="L368" s="37" t="n">
        <v>1</v>
      </c>
      <c r="M368" s="37"/>
      <c r="N368" s="37"/>
      <c r="O368" s="37" t="s">
        <v>916</v>
      </c>
      <c r="P368" s="37" t="s">
        <v>1285</v>
      </c>
      <c r="Q368" s="37" t="s">
        <v>623</v>
      </c>
      <c r="R368" s="36" t="str">
        <f aca="false">IF(H368="Ya",IF(M368&lt;&gt;"","SUDAH PLOTTING","BELUM PLOTTING"),"-")</f>
        <v>-</v>
      </c>
      <c r="S368" s="37"/>
      <c r="T368" s="37"/>
    </row>
    <row r="369" customFormat="false" ht="15" hidden="false" customHeight="true" outlineLevel="0" collapsed="false">
      <c r="A369" s="36" t="s">
        <v>1286</v>
      </c>
      <c r="B369" s="37" t="s">
        <v>193</v>
      </c>
      <c r="C369" s="37" t="s">
        <v>382</v>
      </c>
      <c r="D369" s="37" t="s">
        <v>913</v>
      </c>
      <c r="E369" s="36" t="s">
        <v>88</v>
      </c>
      <c r="F369" s="38" t="s">
        <v>11</v>
      </c>
      <c r="G369" s="36" t="s">
        <v>68</v>
      </c>
      <c r="H369" s="36" t="s">
        <v>658</v>
      </c>
      <c r="I369" s="37" t="n">
        <v>143</v>
      </c>
      <c r="J369" s="37"/>
      <c r="K369" s="37" t="n">
        <v>0</v>
      </c>
      <c r="L369" s="37" t="n">
        <v>1</v>
      </c>
      <c r="M369" s="37"/>
      <c r="N369" s="37"/>
      <c r="O369" s="37" t="s">
        <v>916</v>
      </c>
      <c r="P369" s="37" t="s">
        <v>1285</v>
      </c>
      <c r="Q369" s="37" t="s">
        <v>623</v>
      </c>
      <c r="R369" s="36" t="str">
        <f aca="false">IF(H369="Ya",IF(M369&lt;&gt;"","SUDAH PLOTTING","BELUM PLOTTING"),"-")</f>
        <v>-</v>
      </c>
      <c r="S369" s="37"/>
      <c r="T369" s="37"/>
    </row>
    <row r="370" customFormat="false" ht="15" hidden="false" customHeight="true" outlineLevel="0" collapsed="false">
      <c r="A370" s="36" t="s">
        <v>1287</v>
      </c>
      <c r="B370" s="37" t="s">
        <v>193</v>
      </c>
      <c r="C370" s="37" t="s">
        <v>382</v>
      </c>
      <c r="D370" s="37" t="s">
        <v>913</v>
      </c>
      <c r="E370" s="36" t="s">
        <v>92</v>
      </c>
      <c r="F370" s="38" t="s">
        <v>11</v>
      </c>
      <c r="G370" s="36" t="s">
        <v>68</v>
      </c>
      <c r="H370" s="36" t="s">
        <v>658</v>
      </c>
      <c r="I370" s="37" t="n">
        <v>164</v>
      </c>
      <c r="J370" s="37"/>
      <c r="K370" s="37" t="n">
        <v>0</v>
      </c>
      <c r="L370" s="37" t="n">
        <v>1</v>
      </c>
      <c r="M370" s="37"/>
      <c r="N370" s="37"/>
      <c r="O370" s="37" t="s">
        <v>916</v>
      </c>
      <c r="P370" s="37" t="s">
        <v>1285</v>
      </c>
      <c r="Q370" s="37" t="s">
        <v>623</v>
      </c>
      <c r="R370" s="36" t="str">
        <f aca="false">IF(H370="Ya",IF(M370&lt;&gt;"","SUDAH PLOTTING","BELUM PLOTTING"),"-")</f>
        <v>-</v>
      </c>
      <c r="S370" s="37"/>
      <c r="T370" s="37"/>
    </row>
    <row r="371" customFormat="false" ht="15" hidden="false" customHeight="true" outlineLevel="0" collapsed="false">
      <c r="A371" s="36" t="s">
        <v>1288</v>
      </c>
      <c r="B371" s="37" t="s">
        <v>193</v>
      </c>
      <c r="C371" s="37" t="s">
        <v>382</v>
      </c>
      <c r="D371" s="37" t="s">
        <v>913</v>
      </c>
      <c r="E371" s="36" t="s">
        <v>97</v>
      </c>
      <c r="F371" s="39" t="s">
        <v>7</v>
      </c>
      <c r="G371" s="36" t="s">
        <v>68</v>
      </c>
      <c r="H371" s="36" t="s">
        <v>68</v>
      </c>
      <c r="I371" s="37" t="n">
        <v>158</v>
      </c>
      <c r="J371" s="37"/>
      <c r="K371" s="37" t="n">
        <v>2</v>
      </c>
      <c r="L371" s="37" t="n">
        <v>1</v>
      </c>
      <c r="M371" s="37" t="s">
        <v>1289</v>
      </c>
      <c r="N371" s="37"/>
      <c r="O371" s="37"/>
      <c r="P371" s="37" t="s">
        <v>1285</v>
      </c>
      <c r="Q371" s="37" t="s">
        <v>623</v>
      </c>
      <c r="R371" s="36" t="str">
        <f aca="false">IF(H371="Ya",IF(M371&lt;&gt;"","SUDAH PLOTTING","BELUM PLOTTING"),"-")</f>
        <v>SUDAH PLOTTING</v>
      </c>
      <c r="S371" s="37" t="s">
        <v>298</v>
      </c>
      <c r="T371" s="37"/>
      <c r="U371" s="40" t="s">
        <v>692</v>
      </c>
      <c r="V371" s="40" t="s">
        <v>68</v>
      </c>
    </row>
    <row r="372" customFormat="false" ht="15" hidden="false" customHeight="true" outlineLevel="0" collapsed="false">
      <c r="A372" s="36" t="s">
        <v>1290</v>
      </c>
      <c r="B372" s="37" t="s">
        <v>193</v>
      </c>
      <c r="C372" s="37" t="s">
        <v>382</v>
      </c>
      <c r="D372" s="37" t="s">
        <v>913</v>
      </c>
      <c r="E372" s="36" t="s">
        <v>103</v>
      </c>
      <c r="F372" s="38" t="s">
        <v>11</v>
      </c>
      <c r="G372" s="36" t="s">
        <v>68</v>
      </c>
      <c r="H372" s="36" t="s">
        <v>658</v>
      </c>
      <c r="I372" s="37" t="n">
        <v>114</v>
      </c>
      <c r="J372" s="37"/>
      <c r="K372" s="37" t="n">
        <v>0</v>
      </c>
      <c r="L372" s="37" t="n">
        <v>1</v>
      </c>
      <c r="M372" s="37"/>
      <c r="N372" s="37"/>
      <c r="O372" s="37" t="s">
        <v>916</v>
      </c>
      <c r="P372" s="37" t="s">
        <v>1285</v>
      </c>
      <c r="Q372" s="37" t="s">
        <v>623</v>
      </c>
      <c r="R372" s="36" t="str">
        <f aca="false">IF(H372="Ya",IF(M372&lt;&gt;"","SUDAH PLOTTING","BELUM PLOTTING"),"-")</f>
        <v>-</v>
      </c>
      <c r="S372" s="37"/>
      <c r="T372" s="37"/>
    </row>
    <row r="373" customFormat="false" ht="15" hidden="false" customHeight="true" outlineLevel="0" collapsed="false">
      <c r="A373" s="36" t="s">
        <v>1291</v>
      </c>
      <c r="B373" s="37" t="s">
        <v>193</v>
      </c>
      <c r="C373" s="37" t="s">
        <v>382</v>
      </c>
      <c r="D373" s="37" t="s">
        <v>913</v>
      </c>
      <c r="E373" s="36" t="s">
        <v>111</v>
      </c>
      <c r="F373" s="38" t="s">
        <v>11</v>
      </c>
      <c r="G373" s="36" t="s">
        <v>68</v>
      </c>
      <c r="H373" s="36" t="s">
        <v>658</v>
      </c>
      <c r="I373" s="37" t="n">
        <v>186</v>
      </c>
      <c r="J373" s="37"/>
      <c r="K373" s="37" t="n">
        <v>0</v>
      </c>
      <c r="L373" s="37" t="n">
        <v>1</v>
      </c>
      <c r="M373" s="37"/>
      <c r="N373" s="37"/>
      <c r="O373" s="37" t="s">
        <v>916</v>
      </c>
      <c r="P373" s="37" t="s">
        <v>1285</v>
      </c>
      <c r="Q373" s="37" t="s">
        <v>623</v>
      </c>
      <c r="R373" s="36" t="str">
        <f aca="false">IF(H373="Ya",IF(M373&lt;&gt;"","SUDAH PLOTTING","BELUM PLOTTING"),"-")</f>
        <v>-</v>
      </c>
      <c r="S373" s="37"/>
      <c r="T373" s="37"/>
    </row>
    <row r="374" customFormat="false" ht="15" hidden="false" customHeight="true" outlineLevel="0" collapsed="false">
      <c r="A374" s="36" t="s">
        <v>1292</v>
      </c>
      <c r="B374" s="37" t="s">
        <v>193</v>
      </c>
      <c r="C374" s="37" t="s">
        <v>382</v>
      </c>
      <c r="D374" s="37" t="s">
        <v>913</v>
      </c>
      <c r="E374" s="36" t="s">
        <v>166</v>
      </c>
      <c r="F374" s="38" t="s">
        <v>11</v>
      </c>
      <c r="G374" s="36" t="s">
        <v>68</v>
      </c>
      <c r="H374" s="36" t="s">
        <v>658</v>
      </c>
      <c r="I374" s="37" t="n">
        <v>164</v>
      </c>
      <c r="J374" s="37"/>
      <c r="K374" s="37" t="n">
        <v>0</v>
      </c>
      <c r="L374" s="37" t="n">
        <v>1</v>
      </c>
      <c r="M374" s="37"/>
      <c r="N374" s="37"/>
      <c r="O374" s="37" t="s">
        <v>916</v>
      </c>
      <c r="P374" s="37" t="s">
        <v>1285</v>
      </c>
      <c r="Q374" s="37" t="s">
        <v>623</v>
      </c>
      <c r="R374" s="36" t="str">
        <f aca="false">IF(H374="Ya",IF(M374&lt;&gt;"","SUDAH PLOTTING","BELUM PLOTTING"),"-")</f>
        <v>-</v>
      </c>
      <c r="S374" s="37"/>
      <c r="T374" s="37"/>
    </row>
    <row r="375" customFormat="false" ht="15" hidden="false" customHeight="true" outlineLevel="0" collapsed="false">
      <c r="A375" s="36" t="s">
        <v>1293</v>
      </c>
      <c r="B375" s="37" t="s">
        <v>193</v>
      </c>
      <c r="C375" s="37" t="s">
        <v>382</v>
      </c>
      <c r="D375" s="37" t="s">
        <v>913</v>
      </c>
      <c r="E375" s="36" t="s">
        <v>719</v>
      </c>
      <c r="F375" s="39" t="s">
        <v>7</v>
      </c>
      <c r="G375" s="36" t="s">
        <v>68</v>
      </c>
      <c r="H375" s="36" t="s">
        <v>68</v>
      </c>
      <c r="I375" s="37" t="n">
        <v>112</v>
      </c>
      <c r="J375" s="37"/>
      <c r="K375" s="37" t="n">
        <v>2</v>
      </c>
      <c r="L375" s="37" t="n">
        <v>1</v>
      </c>
      <c r="M375" s="37" t="s">
        <v>1294</v>
      </c>
      <c r="N375" s="37"/>
      <c r="O375" s="37"/>
      <c r="P375" s="37" t="s">
        <v>1285</v>
      </c>
      <c r="Q375" s="37" t="s">
        <v>623</v>
      </c>
      <c r="R375" s="36" t="str">
        <f aca="false">IF(H375="Ya",IF(M375&lt;&gt;"","SUDAH PLOTTING","BELUM PLOTTING"),"-")</f>
        <v>SUDAH PLOTTING</v>
      </c>
      <c r="S375" s="37" t="s">
        <v>298</v>
      </c>
      <c r="T375" s="37"/>
      <c r="U375" s="40" t="s">
        <v>692</v>
      </c>
      <c r="V375" s="40" t="s">
        <v>68</v>
      </c>
    </row>
    <row r="376" customFormat="false" ht="15" hidden="false" customHeight="true" outlineLevel="0" collapsed="false">
      <c r="A376" s="36" t="s">
        <v>1295</v>
      </c>
      <c r="B376" s="37" t="s">
        <v>193</v>
      </c>
      <c r="C376" s="37" t="s">
        <v>382</v>
      </c>
      <c r="D376" s="37" t="s">
        <v>913</v>
      </c>
      <c r="E376" s="36" t="s">
        <v>721</v>
      </c>
      <c r="F376" s="39" t="s">
        <v>7</v>
      </c>
      <c r="G376" s="36" t="s">
        <v>68</v>
      </c>
      <c r="H376" s="36" t="s">
        <v>68</v>
      </c>
      <c r="I376" s="37" t="n">
        <v>142</v>
      </c>
      <c r="J376" s="37"/>
      <c r="K376" s="37" t="n">
        <v>2</v>
      </c>
      <c r="L376" s="37" t="n">
        <v>1</v>
      </c>
      <c r="M376" s="37" t="s">
        <v>1296</v>
      </c>
      <c r="N376" s="37"/>
      <c r="O376" s="37"/>
      <c r="P376" s="37" t="s">
        <v>1285</v>
      </c>
      <c r="Q376" s="37" t="s">
        <v>623</v>
      </c>
      <c r="R376" s="36" t="str">
        <f aca="false">IF(H376="Ya",IF(M376&lt;&gt;"","SUDAH PLOTTING","BELUM PLOTTING"),"-")</f>
        <v>SUDAH PLOTTING</v>
      </c>
      <c r="S376" s="37" t="s">
        <v>298</v>
      </c>
      <c r="T376" s="37"/>
      <c r="U376" s="40" t="s">
        <v>692</v>
      </c>
      <c r="V376" s="40" t="s">
        <v>68</v>
      </c>
    </row>
    <row r="377" customFormat="false" ht="15" hidden="false" customHeight="true" outlineLevel="0" collapsed="false">
      <c r="A377" s="36" t="s">
        <v>1297</v>
      </c>
      <c r="B377" s="37" t="s">
        <v>193</v>
      </c>
      <c r="C377" s="37" t="s">
        <v>382</v>
      </c>
      <c r="D377" s="37" t="s">
        <v>913</v>
      </c>
      <c r="E377" s="36" t="s">
        <v>723</v>
      </c>
      <c r="F377" s="38" t="s">
        <v>11</v>
      </c>
      <c r="G377" s="36" t="s">
        <v>68</v>
      </c>
      <c r="H377" s="36" t="s">
        <v>658</v>
      </c>
      <c r="I377" s="37" t="n">
        <v>171</v>
      </c>
      <c r="J377" s="37"/>
      <c r="K377" s="37" t="n">
        <v>0</v>
      </c>
      <c r="L377" s="37" t="n">
        <v>1</v>
      </c>
      <c r="M377" s="37"/>
      <c r="N377" s="37"/>
      <c r="O377" s="37" t="s">
        <v>916</v>
      </c>
      <c r="P377" s="37" t="s">
        <v>1285</v>
      </c>
      <c r="Q377" s="37" t="s">
        <v>623</v>
      </c>
      <c r="R377" s="36" t="str">
        <f aca="false">IF(H377="Ya",IF(M377&lt;&gt;"","SUDAH PLOTTING","BELUM PLOTTING"),"-")</f>
        <v>-</v>
      </c>
      <c r="S377" s="37"/>
      <c r="T377" s="37"/>
    </row>
    <row r="378" customFormat="false" ht="15" hidden="false" customHeight="true" outlineLevel="0" collapsed="false">
      <c r="A378" s="36" t="s">
        <v>1298</v>
      </c>
      <c r="B378" s="37" t="s">
        <v>193</v>
      </c>
      <c r="C378" s="37" t="s">
        <v>382</v>
      </c>
      <c r="D378" s="37" t="s">
        <v>913</v>
      </c>
      <c r="E378" s="36" t="s">
        <v>725</v>
      </c>
      <c r="F378" s="39" t="s">
        <v>7</v>
      </c>
      <c r="G378" s="36" t="s">
        <v>68</v>
      </c>
      <c r="H378" s="36" t="s">
        <v>68</v>
      </c>
      <c r="I378" s="37" t="n">
        <v>137</v>
      </c>
      <c r="J378" s="37"/>
      <c r="K378" s="37" t="n">
        <v>2</v>
      </c>
      <c r="L378" s="37" t="n">
        <v>1</v>
      </c>
      <c r="M378" s="37" t="s">
        <v>1299</v>
      </c>
      <c r="N378" s="37"/>
      <c r="O378" s="37"/>
      <c r="P378" s="37" t="s">
        <v>1285</v>
      </c>
      <c r="Q378" s="37" t="s">
        <v>623</v>
      </c>
      <c r="R378" s="36" t="str">
        <f aca="false">IF(H378="Ya",IF(M378&lt;&gt;"","SUDAH PLOTTING","BELUM PLOTTING"),"-")</f>
        <v>SUDAH PLOTTING</v>
      </c>
      <c r="S378" s="37" t="s">
        <v>298</v>
      </c>
      <c r="T378" s="37"/>
      <c r="U378" s="40" t="s">
        <v>692</v>
      </c>
      <c r="V378" s="40" t="s">
        <v>68</v>
      </c>
    </row>
    <row r="379" customFormat="false" ht="15" hidden="false" customHeight="true" outlineLevel="0" collapsed="false">
      <c r="A379" s="36" t="s">
        <v>1300</v>
      </c>
      <c r="B379" s="37" t="s">
        <v>193</v>
      </c>
      <c r="C379" s="37" t="s">
        <v>382</v>
      </c>
      <c r="D379" s="37" t="s">
        <v>1301</v>
      </c>
      <c r="E379" s="36" t="s">
        <v>79</v>
      </c>
      <c r="F379" s="39" t="s">
        <v>7</v>
      </c>
      <c r="G379" s="36" t="s">
        <v>68</v>
      </c>
      <c r="H379" s="36" t="s">
        <v>68</v>
      </c>
      <c r="I379" s="37" t="n">
        <v>177</v>
      </c>
      <c r="J379" s="37" t="n">
        <v>1</v>
      </c>
      <c r="K379" s="37" t="n">
        <v>1</v>
      </c>
      <c r="L379" s="37" t="n">
        <v>1</v>
      </c>
      <c r="M379" s="37" t="s">
        <v>1302</v>
      </c>
      <c r="N379" s="37" t="n">
        <v>6</v>
      </c>
      <c r="O379" s="37"/>
      <c r="P379" s="37" t="s">
        <v>1303</v>
      </c>
      <c r="Q379" s="37" t="s">
        <v>623</v>
      </c>
      <c r="R379" s="36" t="str">
        <f aca="false">IF(H379="Ya",IF(M379&lt;&gt;"","SUDAH PLOTTING","BELUM PLOTTING"),"-")</f>
        <v>SUDAH PLOTTING</v>
      </c>
      <c r="S379" s="37" t="s">
        <v>298</v>
      </c>
      <c r="T379" s="37"/>
      <c r="U379" s="40" t="s">
        <v>692</v>
      </c>
      <c r="V379" s="40" t="s">
        <v>68</v>
      </c>
    </row>
    <row r="380" customFormat="false" ht="15" hidden="false" customHeight="true" outlineLevel="0" collapsed="false">
      <c r="A380" s="36" t="s">
        <v>1304</v>
      </c>
      <c r="B380" s="37" t="s">
        <v>193</v>
      </c>
      <c r="C380" s="37" t="s">
        <v>382</v>
      </c>
      <c r="D380" s="37" t="s">
        <v>1301</v>
      </c>
      <c r="E380" s="36" t="s">
        <v>88</v>
      </c>
      <c r="F380" s="39" t="s">
        <v>7</v>
      </c>
      <c r="G380" s="36" t="s">
        <v>68</v>
      </c>
      <c r="H380" s="36" t="s">
        <v>68</v>
      </c>
      <c r="I380" s="37" t="n">
        <v>178</v>
      </c>
      <c r="J380" s="37" t="n">
        <v>20</v>
      </c>
      <c r="K380" s="37" t="n">
        <v>1</v>
      </c>
      <c r="L380" s="37" t="n">
        <v>0</v>
      </c>
      <c r="M380" s="37" t="s">
        <v>1302</v>
      </c>
      <c r="N380" s="37" t="n">
        <v>6</v>
      </c>
      <c r="O380" s="37"/>
      <c r="P380" s="37" t="s">
        <v>1303</v>
      </c>
      <c r="Q380" s="37" t="s">
        <v>623</v>
      </c>
      <c r="R380" s="36" t="str">
        <f aca="false">IF(H380="Ya",IF(M380&lt;&gt;"","SUDAH PLOTTING","BELUM PLOTTING"),"-")</f>
        <v>SUDAH PLOTTING</v>
      </c>
      <c r="S380" s="37" t="s">
        <v>298</v>
      </c>
      <c r="T380" s="37"/>
      <c r="U380" s="40" t="s">
        <v>692</v>
      </c>
      <c r="V380" s="40" t="s">
        <v>68</v>
      </c>
    </row>
    <row r="381" customFormat="false" ht="15" hidden="false" customHeight="true" outlineLevel="0" collapsed="false">
      <c r="A381" s="36" t="s">
        <v>1305</v>
      </c>
      <c r="B381" s="37" t="s">
        <v>193</v>
      </c>
      <c r="C381" s="37" t="s">
        <v>382</v>
      </c>
      <c r="D381" s="37" t="s">
        <v>1301</v>
      </c>
      <c r="E381" s="36" t="s">
        <v>92</v>
      </c>
      <c r="F381" s="38" t="s">
        <v>11</v>
      </c>
      <c r="G381" s="36" t="s">
        <v>68</v>
      </c>
      <c r="H381" s="36" t="s">
        <v>658</v>
      </c>
      <c r="I381" s="37" t="n">
        <v>121</v>
      </c>
      <c r="J381" s="37"/>
      <c r="K381" s="37" t="n">
        <v>0</v>
      </c>
      <c r="L381" s="37" t="n">
        <v>1</v>
      </c>
      <c r="M381" s="37"/>
      <c r="N381" s="37" t="n">
        <v>6</v>
      </c>
      <c r="O381" s="37" t="s">
        <v>1306</v>
      </c>
      <c r="P381" s="37" t="s">
        <v>1303</v>
      </c>
      <c r="Q381" s="37" t="s">
        <v>623</v>
      </c>
      <c r="R381" s="36" t="str">
        <f aca="false">IF(H381="Ya",IF(M381&lt;&gt;"","SUDAH PLOTTING","BELUM PLOTTING"),"-")</f>
        <v>-</v>
      </c>
      <c r="S381" s="37"/>
      <c r="T381" s="37"/>
    </row>
    <row r="382" customFormat="false" ht="15" hidden="false" customHeight="true" outlineLevel="0" collapsed="false">
      <c r="A382" s="36" t="s">
        <v>1307</v>
      </c>
      <c r="B382" s="37" t="s">
        <v>193</v>
      </c>
      <c r="C382" s="37" t="s">
        <v>382</v>
      </c>
      <c r="D382" s="37" t="s">
        <v>1301</v>
      </c>
      <c r="E382" s="36" t="s">
        <v>97</v>
      </c>
      <c r="F382" s="39" t="s">
        <v>7</v>
      </c>
      <c r="G382" s="36" t="s">
        <v>68</v>
      </c>
      <c r="H382" s="36" t="s">
        <v>68</v>
      </c>
      <c r="I382" s="37" t="n">
        <v>147</v>
      </c>
      <c r="J382" s="37" t="n">
        <v>2</v>
      </c>
      <c r="K382" s="37" t="n">
        <v>1</v>
      </c>
      <c r="L382" s="37" t="n">
        <v>1</v>
      </c>
      <c r="M382" s="37" t="s">
        <v>1302</v>
      </c>
      <c r="N382" s="37" t="n">
        <v>6</v>
      </c>
      <c r="O382" s="37"/>
      <c r="P382" s="37" t="s">
        <v>1303</v>
      </c>
      <c r="Q382" s="37" t="s">
        <v>623</v>
      </c>
      <c r="R382" s="36" t="str">
        <f aca="false">IF(H382="Ya",IF(M382&lt;&gt;"","SUDAH PLOTTING","BELUM PLOTTING"),"-")</f>
        <v>SUDAH PLOTTING</v>
      </c>
      <c r="S382" s="37" t="s">
        <v>298</v>
      </c>
      <c r="T382" s="37"/>
      <c r="U382" s="40" t="s">
        <v>692</v>
      </c>
      <c r="V382" s="40" t="s">
        <v>68</v>
      </c>
    </row>
    <row r="383" customFormat="false" ht="15" hidden="false" customHeight="true" outlineLevel="0" collapsed="false">
      <c r="A383" s="36" t="s">
        <v>1308</v>
      </c>
      <c r="B383" s="37" t="s">
        <v>193</v>
      </c>
      <c r="C383" s="37" t="s">
        <v>382</v>
      </c>
      <c r="D383" s="37" t="s">
        <v>1301</v>
      </c>
      <c r="E383" s="36" t="s">
        <v>103</v>
      </c>
      <c r="F383" s="38" t="s">
        <v>11</v>
      </c>
      <c r="G383" s="36" t="s">
        <v>68</v>
      </c>
      <c r="H383" s="36" t="s">
        <v>658</v>
      </c>
      <c r="I383" s="37" t="n">
        <v>121</v>
      </c>
      <c r="J383" s="37"/>
      <c r="K383" s="37" t="n">
        <v>0</v>
      </c>
      <c r="L383" s="37" t="n">
        <v>1</v>
      </c>
      <c r="M383" s="37"/>
      <c r="N383" s="37" t="n">
        <v>6</v>
      </c>
      <c r="O383" s="37" t="s">
        <v>1306</v>
      </c>
      <c r="P383" s="37" t="s">
        <v>1303</v>
      </c>
      <c r="Q383" s="37" t="s">
        <v>623</v>
      </c>
      <c r="R383" s="36" t="str">
        <f aca="false">IF(H383="Ya",IF(M383&lt;&gt;"","SUDAH PLOTTING","BELUM PLOTTING"),"-")</f>
        <v>-</v>
      </c>
      <c r="S383" s="37"/>
      <c r="T383" s="37"/>
    </row>
    <row r="384" customFormat="false" ht="15" hidden="false" customHeight="true" outlineLevel="0" collapsed="false">
      <c r="A384" s="36" t="s">
        <v>1309</v>
      </c>
      <c r="B384" s="37" t="s">
        <v>193</v>
      </c>
      <c r="C384" s="37" t="s">
        <v>382</v>
      </c>
      <c r="D384" s="37" t="s">
        <v>1301</v>
      </c>
      <c r="E384" s="36" t="s">
        <v>111</v>
      </c>
      <c r="F384" s="38" t="s">
        <v>11</v>
      </c>
      <c r="G384" s="36" t="s">
        <v>68</v>
      </c>
      <c r="H384" s="36" t="s">
        <v>658</v>
      </c>
      <c r="I384" s="37" t="n">
        <v>201</v>
      </c>
      <c r="J384" s="37"/>
      <c r="K384" s="37" t="n">
        <v>0</v>
      </c>
      <c r="L384" s="37" t="n">
        <v>1</v>
      </c>
      <c r="M384" s="37"/>
      <c r="N384" s="37" t="n">
        <v>6</v>
      </c>
      <c r="O384" s="37" t="s">
        <v>1306</v>
      </c>
      <c r="P384" s="37" t="s">
        <v>1303</v>
      </c>
      <c r="Q384" s="37" t="s">
        <v>623</v>
      </c>
      <c r="R384" s="36" t="str">
        <f aca="false">IF(H384="Ya",IF(M384&lt;&gt;"","SUDAH PLOTTING","BELUM PLOTTING"),"-")</f>
        <v>-</v>
      </c>
      <c r="S384" s="37"/>
      <c r="T384" s="37"/>
    </row>
    <row r="385" customFormat="false" ht="15" hidden="false" customHeight="true" outlineLevel="0" collapsed="false">
      <c r="A385" s="36" t="s">
        <v>1310</v>
      </c>
      <c r="B385" s="37" t="s">
        <v>193</v>
      </c>
      <c r="C385" s="37" t="s">
        <v>382</v>
      </c>
      <c r="D385" s="37" t="s">
        <v>1311</v>
      </c>
      <c r="E385" s="36" t="s">
        <v>79</v>
      </c>
      <c r="F385" s="38" t="s">
        <v>11</v>
      </c>
      <c r="G385" s="36" t="s">
        <v>68</v>
      </c>
      <c r="H385" s="36" t="s">
        <v>658</v>
      </c>
      <c r="I385" s="37" t="n">
        <v>134</v>
      </c>
      <c r="J385" s="37"/>
      <c r="K385" s="37" t="n">
        <v>0</v>
      </c>
      <c r="L385" s="37" t="n">
        <v>1</v>
      </c>
      <c r="M385" s="37"/>
      <c r="N385" s="37"/>
      <c r="O385" s="37" t="s">
        <v>916</v>
      </c>
      <c r="P385" s="37" t="s">
        <v>1312</v>
      </c>
      <c r="Q385" s="37" t="s">
        <v>623</v>
      </c>
      <c r="R385" s="36" t="str">
        <f aca="false">IF(H385="Ya",IF(M385&lt;&gt;"","SUDAH PLOTTING","BELUM PLOTTING"),"-")</f>
        <v>-</v>
      </c>
      <c r="S385" s="37"/>
      <c r="T385" s="37"/>
    </row>
    <row r="386" customFormat="false" ht="15" hidden="false" customHeight="true" outlineLevel="0" collapsed="false">
      <c r="A386" s="36" t="s">
        <v>1313</v>
      </c>
      <c r="B386" s="37" t="s">
        <v>193</v>
      </c>
      <c r="C386" s="37" t="s">
        <v>382</v>
      </c>
      <c r="D386" s="37" t="s">
        <v>1311</v>
      </c>
      <c r="E386" s="36" t="s">
        <v>88</v>
      </c>
      <c r="F386" s="38" t="s">
        <v>11</v>
      </c>
      <c r="G386" s="36" t="s">
        <v>68</v>
      </c>
      <c r="H386" s="36" t="s">
        <v>658</v>
      </c>
      <c r="I386" s="37" t="n">
        <v>158</v>
      </c>
      <c r="J386" s="37"/>
      <c r="K386" s="37" t="n">
        <v>0</v>
      </c>
      <c r="L386" s="37" t="n">
        <v>1</v>
      </c>
      <c r="M386" s="37"/>
      <c r="N386" s="37"/>
      <c r="O386" s="37" t="s">
        <v>916</v>
      </c>
      <c r="P386" s="37" t="s">
        <v>1312</v>
      </c>
      <c r="Q386" s="37" t="s">
        <v>623</v>
      </c>
      <c r="R386" s="36" t="str">
        <f aca="false">IF(H386="Ya",IF(M386&lt;&gt;"","SUDAH PLOTTING","BELUM PLOTTING"),"-")</f>
        <v>-</v>
      </c>
      <c r="S386" s="37"/>
      <c r="T386" s="37"/>
    </row>
    <row r="387" customFormat="false" ht="15" hidden="false" customHeight="true" outlineLevel="0" collapsed="false">
      <c r="A387" s="36" t="s">
        <v>1314</v>
      </c>
      <c r="B387" s="37" t="s">
        <v>193</v>
      </c>
      <c r="C387" s="37" t="s">
        <v>382</v>
      </c>
      <c r="D387" s="37" t="s">
        <v>1311</v>
      </c>
      <c r="E387" s="36" t="s">
        <v>92</v>
      </c>
      <c r="F387" s="38" t="s">
        <v>11</v>
      </c>
      <c r="G387" s="36" t="s">
        <v>68</v>
      </c>
      <c r="H387" s="36" t="s">
        <v>658</v>
      </c>
      <c r="I387" s="37" t="n">
        <v>159</v>
      </c>
      <c r="J387" s="37"/>
      <c r="K387" s="37" t="n">
        <v>0</v>
      </c>
      <c r="L387" s="37" t="n">
        <v>1</v>
      </c>
      <c r="M387" s="37"/>
      <c r="N387" s="37"/>
      <c r="O387" s="37" t="s">
        <v>916</v>
      </c>
      <c r="P387" s="37" t="s">
        <v>1312</v>
      </c>
      <c r="Q387" s="37" t="s">
        <v>623</v>
      </c>
      <c r="R387" s="36" t="str">
        <f aca="false">IF(H387="Ya",IF(M387&lt;&gt;"","SUDAH PLOTTING","BELUM PLOTTING"),"-")</f>
        <v>-</v>
      </c>
      <c r="S387" s="37"/>
      <c r="T387" s="37"/>
    </row>
    <row r="388" customFormat="false" ht="15" hidden="false" customHeight="true" outlineLevel="0" collapsed="false">
      <c r="A388" s="36" t="s">
        <v>1315</v>
      </c>
      <c r="B388" s="37" t="s">
        <v>193</v>
      </c>
      <c r="C388" s="37" t="s">
        <v>382</v>
      </c>
      <c r="D388" s="37" t="s">
        <v>1311</v>
      </c>
      <c r="E388" s="36" t="s">
        <v>97</v>
      </c>
      <c r="F388" s="38" t="s">
        <v>11</v>
      </c>
      <c r="G388" s="36" t="s">
        <v>68</v>
      </c>
      <c r="H388" s="36" t="s">
        <v>658</v>
      </c>
      <c r="I388" s="37" t="n">
        <v>178</v>
      </c>
      <c r="J388" s="37"/>
      <c r="K388" s="37" t="n">
        <v>0</v>
      </c>
      <c r="L388" s="37" t="n">
        <v>1</v>
      </c>
      <c r="M388" s="37"/>
      <c r="N388" s="37"/>
      <c r="O388" s="37" t="s">
        <v>916</v>
      </c>
      <c r="P388" s="37" t="s">
        <v>1312</v>
      </c>
      <c r="Q388" s="37" t="s">
        <v>623</v>
      </c>
      <c r="R388" s="36" t="str">
        <f aca="false">IF(H388="Ya",IF(M388&lt;&gt;"","SUDAH PLOTTING","BELUM PLOTTING"),"-")</f>
        <v>-</v>
      </c>
      <c r="S388" s="37"/>
      <c r="T388" s="37"/>
    </row>
    <row r="389" customFormat="false" ht="15" hidden="false" customHeight="true" outlineLevel="0" collapsed="false">
      <c r="A389" s="36" t="s">
        <v>1316</v>
      </c>
      <c r="B389" s="37" t="s">
        <v>193</v>
      </c>
      <c r="C389" s="37" t="s">
        <v>382</v>
      </c>
      <c r="D389" s="37" t="s">
        <v>1311</v>
      </c>
      <c r="E389" s="36" t="s">
        <v>103</v>
      </c>
      <c r="F389" s="38" t="s">
        <v>11</v>
      </c>
      <c r="G389" s="36" t="s">
        <v>68</v>
      </c>
      <c r="H389" s="36" t="s">
        <v>658</v>
      </c>
      <c r="I389" s="37" t="n">
        <v>187</v>
      </c>
      <c r="J389" s="37"/>
      <c r="K389" s="37" t="n">
        <v>0</v>
      </c>
      <c r="L389" s="37" t="n">
        <v>1</v>
      </c>
      <c r="M389" s="37"/>
      <c r="N389" s="37"/>
      <c r="O389" s="37" t="s">
        <v>916</v>
      </c>
      <c r="P389" s="37" t="s">
        <v>1312</v>
      </c>
      <c r="Q389" s="37" t="s">
        <v>623</v>
      </c>
      <c r="R389" s="36" t="str">
        <f aca="false">IF(H389="Ya",IF(M389&lt;&gt;"","SUDAH PLOTTING","BELUM PLOTTING"),"-")</f>
        <v>-</v>
      </c>
      <c r="S389" s="37"/>
      <c r="T389" s="37"/>
    </row>
    <row r="390" customFormat="false" ht="15" hidden="false" customHeight="true" outlineLevel="0" collapsed="false">
      <c r="A390" s="36" t="s">
        <v>1317</v>
      </c>
      <c r="B390" s="37" t="s">
        <v>193</v>
      </c>
      <c r="C390" s="37" t="s">
        <v>382</v>
      </c>
      <c r="D390" s="37" t="s">
        <v>1311</v>
      </c>
      <c r="E390" s="36" t="s">
        <v>111</v>
      </c>
      <c r="F390" s="38" t="s">
        <v>11</v>
      </c>
      <c r="G390" s="36" t="s">
        <v>68</v>
      </c>
      <c r="H390" s="36" t="s">
        <v>658</v>
      </c>
      <c r="I390" s="37" t="n">
        <v>162</v>
      </c>
      <c r="J390" s="37"/>
      <c r="K390" s="37" t="n">
        <v>0</v>
      </c>
      <c r="L390" s="37" t="n">
        <v>1</v>
      </c>
      <c r="M390" s="37"/>
      <c r="N390" s="37"/>
      <c r="O390" s="37" t="s">
        <v>916</v>
      </c>
      <c r="P390" s="37" t="s">
        <v>1312</v>
      </c>
      <c r="Q390" s="37" t="s">
        <v>623</v>
      </c>
      <c r="R390" s="36" t="str">
        <f aca="false">IF(H390="Ya",IF(M390&lt;&gt;"","SUDAH PLOTTING","BELUM PLOTTING"),"-")</f>
        <v>-</v>
      </c>
      <c r="S390" s="37"/>
      <c r="T390" s="37"/>
    </row>
    <row r="391" customFormat="false" ht="15" hidden="false" customHeight="true" outlineLevel="0" collapsed="false">
      <c r="A391" s="36" t="s">
        <v>1318</v>
      </c>
      <c r="B391" s="37" t="s">
        <v>193</v>
      </c>
      <c r="C391" s="37" t="s">
        <v>382</v>
      </c>
      <c r="D391" s="37" t="s">
        <v>1311</v>
      </c>
      <c r="E391" s="36" t="s">
        <v>166</v>
      </c>
      <c r="F391" s="38" t="s">
        <v>11</v>
      </c>
      <c r="G391" s="36" t="s">
        <v>68</v>
      </c>
      <c r="H391" s="36" t="s">
        <v>658</v>
      </c>
      <c r="I391" s="37" t="n">
        <v>142</v>
      </c>
      <c r="J391" s="37"/>
      <c r="K391" s="37" t="n">
        <v>0</v>
      </c>
      <c r="L391" s="37" t="n">
        <v>1</v>
      </c>
      <c r="M391" s="37"/>
      <c r="N391" s="37"/>
      <c r="O391" s="37" t="s">
        <v>916</v>
      </c>
      <c r="P391" s="37" t="s">
        <v>1312</v>
      </c>
      <c r="Q391" s="37" t="s">
        <v>623</v>
      </c>
      <c r="R391" s="36" t="str">
        <f aca="false">IF(H391="Ya",IF(M391&lt;&gt;"","SUDAH PLOTTING","BELUM PLOTTING"),"-")</f>
        <v>-</v>
      </c>
      <c r="S391" s="37"/>
      <c r="T391" s="37"/>
    </row>
    <row r="392" customFormat="false" ht="15" hidden="false" customHeight="true" outlineLevel="0" collapsed="false">
      <c r="A392" s="36" t="s">
        <v>1319</v>
      </c>
      <c r="B392" s="37" t="s">
        <v>193</v>
      </c>
      <c r="C392" s="37" t="s">
        <v>382</v>
      </c>
      <c r="D392" s="37" t="s">
        <v>1311</v>
      </c>
      <c r="E392" s="36" t="s">
        <v>719</v>
      </c>
      <c r="F392" s="38" t="s">
        <v>11</v>
      </c>
      <c r="G392" s="36" t="s">
        <v>68</v>
      </c>
      <c r="H392" s="36" t="s">
        <v>658</v>
      </c>
      <c r="I392" s="37" t="n">
        <v>130</v>
      </c>
      <c r="J392" s="37"/>
      <c r="K392" s="37" t="n">
        <v>0</v>
      </c>
      <c r="L392" s="37" t="n">
        <v>1</v>
      </c>
      <c r="M392" s="37"/>
      <c r="N392" s="37"/>
      <c r="O392" s="37" t="s">
        <v>916</v>
      </c>
      <c r="P392" s="37" t="s">
        <v>1312</v>
      </c>
      <c r="Q392" s="37" t="s">
        <v>623</v>
      </c>
      <c r="R392" s="36" t="str">
        <f aca="false">IF(H392="Ya",IF(M392&lt;&gt;"","SUDAH PLOTTING","BELUM PLOTTING"),"-")</f>
        <v>-</v>
      </c>
      <c r="S392" s="37"/>
      <c r="T392" s="37"/>
    </row>
    <row r="393" customFormat="false" ht="15" hidden="false" customHeight="true" outlineLevel="0" collapsed="false">
      <c r="A393" s="36" t="s">
        <v>1320</v>
      </c>
      <c r="B393" s="37" t="s">
        <v>193</v>
      </c>
      <c r="C393" s="37" t="s">
        <v>382</v>
      </c>
      <c r="D393" s="37" t="s">
        <v>1311</v>
      </c>
      <c r="E393" s="36" t="s">
        <v>721</v>
      </c>
      <c r="F393" s="38" t="s">
        <v>11</v>
      </c>
      <c r="G393" s="36" t="s">
        <v>68</v>
      </c>
      <c r="H393" s="36" t="s">
        <v>658</v>
      </c>
      <c r="I393" s="37" t="n">
        <v>70</v>
      </c>
      <c r="J393" s="37"/>
      <c r="K393" s="37" t="n">
        <v>0</v>
      </c>
      <c r="L393" s="37" t="n">
        <v>1</v>
      </c>
      <c r="M393" s="37"/>
      <c r="N393" s="37"/>
      <c r="O393" s="37" t="s">
        <v>916</v>
      </c>
      <c r="P393" s="37" t="s">
        <v>1312</v>
      </c>
      <c r="Q393" s="37" t="s">
        <v>623</v>
      </c>
      <c r="R393" s="36" t="str">
        <f aca="false">IF(H393="Ya",IF(M393&lt;&gt;"","SUDAH PLOTTING","BELUM PLOTTING"),"-")</f>
        <v>-</v>
      </c>
      <c r="S393" s="37"/>
      <c r="T393" s="37"/>
    </row>
    <row r="394" customFormat="false" ht="15" hidden="false" customHeight="true" outlineLevel="0" collapsed="false">
      <c r="A394" s="36" t="s">
        <v>1321</v>
      </c>
      <c r="B394" s="37" t="s">
        <v>193</v>
      </c>
      <c r="C394" s="37" t="s">
        <v>428</v>
      </c>
      <c r="D394" s="37" t="s">
        <v>1322</v>
      </c>
      <c r="E394" s="36" t="s">
        <v>79</v>
      </c>
      <c r="F394" s="38" t="s">
        <v>11</v>
      </c>
      <c r="G394" s="36" t="s">
        <v>68</v>
      </c>
      <c r="H394" s="36" t="s">
        <v>658</v>
      </c>
      <c r="I394" s="37" t="n">
        <v>216</v>
      </c>
      <c r="J394" s="37"/>
      <c r="K394" s="37" t="n">
        <v>0</v>
      </c>
      <c r="L394" s="37" t="n">
        <v>0</v>
      </c>
      <c r="M394" s="37"/>
      <c r="N394" s="37"/>
      <c r="O394" s="37" t="s">
        <v>659</v>
      </c>
      <c r="P394" s="37" t="s">
        <v>1323</v>
      </c>
      <c r="Q394" s="37" t="s">
        <v>606</v>
      </c>
      <c r="R394" s="36" t="str">
        <f aca="false">IF(H394="Ya",IF(M394&lt;&gt;"","SUDAH PLOTTING","BELUM PLOTTING"),"-")</f>
        <v>-</v>
      </c>
      <c r="S394" s="37"/>
      <c r="T394" s="37"/>
    </row>
    <row r="395" customFormat="false" ht="15" hidden="false" customHeight="true" outlineLevel="0" collapsed="false">
      <c r="A395" s="36" t="s">
        <v>1324</v>
      </c>
      <c r="B395" s="37" t="s">
        <v>193</v>
      </c>
      <c r="C395" s="37" t="s">
        <v>428</v>
      </c>
      <c r="D395" s="37" t="s">
        <v>1322</v>
      </c>
      <c r="E395" s="36" t="s">
        <v>88</v>
      </c>
      <c r="F395" s="38" t="s">
        <v>11</v>
      </c>
      <c r="G395" s="36" t="s">
        <v>68</v>
      </c>
      <c r="H395" s="36" t="s">
        <v>658</v>
      </c>
      <c r="I395" s="37" t="n">
        <v>205</v>
      </c>
      <c r="J395" s="37"/>
      <c r="K395" s="37" t="n">
        <v>0</v>
      </c>
      <c r="L395" s="37" t="n">
        <v>0</v>
      </c>
      <c r="M395" s="37"/>
      <c r="N395" s="37"/>
      <c r="O395" s="37" t="s">
        <v>659</v>
      </c>
      <c r="P395" s="37" t="s">
        <v>1323</v>
      </c>
      <c r="Q395" s="37" t="s">
        <v>606</v>
      </c>
      <c r="R395" s="36" t="str">
        <f aca="false">IF(H395="Ya",IF(M395&lt;&gt;"","SUDAH PLOTTING","BELUM PLOTTING"),"-")</f>
        <v>-</v>
      </c>
      <c r="S395" s="37"/>
      <c r="T395" s="37"/>
    </row>
    <row r="396" customFormat="false" ht="15" hidden="false" customHeight="true" outlineLevel="0" collapsed="false">
      <c r="A396" s="36" t="s">
        <v>1325</v>
      </c>
      <c r="B396" s="37" t="s">
        <v>193</v>
      </c>
      <c r="C396" s="37" t="s">
        <v>428</v>
      </c>
      <c r="D396" s="37" t="s">
        <v>1326</v>
      </c>
      <c r="E396" s="36" t="s">
        <v>62</v>
      </c>
      <c r="F396" s="38" t="s">
        <v>11</v>
      </c>
      <c r="G396" s="36" t="s">
        <v>68</v>
      </c>
      <c r="H396" s="36" t="s">
        <v>658</v>
      </c>
      <c r="I396" s="37" t="n">
        <v>134</v>
      </c>
      <c r="J396" s="37"/>
      <c r="K396" s="37" t="n">
        <v>0</v>
      </c>
      <c r="L396" s="37" t="n">
        <v>0</v>
      </c>
      <c r="M396" s="37"/>
      <c r="N396" s="37"/>
      <c r="O396" s="37" t="s">
        <v>659</v>
      </c>
      <c r="P396" s="37" t="s">
        <v>1327</v>
      </c>
      <c r="Q396" s="37" t="s">
        <v>606</v>
      </c>
      <c r="R396" s="36" t="str">
        <f aca="false">IF(H396="Ya",IF(M396&lt;&gt;"","SUDAH PLOTTING","BELUM PLOTTING"),"-")</f>
        <v>-</v>
      </c>
      <c r="S396" s="37"/>
      <c r="T396" s="37"/>
    </row>
    <row r="397" customFormat="false" ht="15" hidden="false" customHeight="true" outlineLevel="0" collapsed="false">
      <c r="A397" s="36" t="s">
        <v>1328</v>
      </c>
      <c r="B397" s="37" t="s">
        <v>193</v>
      </c>
      <c r="C397" s="37" t="s">
        <v>428</v>
      </c>
      <c r="D397" s="37" t="s">
        <v>1329</v>
      </c>
      <c r="E397" s="36" t="s">
        <v>62</v>
      </c>
      <c r="F397" s="38" t="s">
        <v>11</v>
      </c>
      <c r="G397" s="36" t="s">
        <v>68</v>
      </c>
      <c r="H397" s="36" t="s">
        <v>658</v>
      </c>
      <c r="I397" s="37" t="n">
        <v>139</v>
      </c>
      <c r="J397" s="37"/>
      <c r="K397" s="37" t="n">
        <v>0</v>
      </c>
      <c r="L397" s="37" t="n">
        <v>0</v>
      </c>
      <c r="M397" s="37"/>
      <c r="N397" s="37"/>
      <c r="O397" s="37" t="s">
        <v>659</v>
      </c>
      <c r="P397" s="37" t="s">
        <v>1330</v>
      </c>
      <c r="Q397" s="37" t="s">
        <v>606</v>
      </c>
      <c r="R397" s="36" t="str">
        <f aca="false">IF(H397="Ya",IF(M397&lt;&gt;"","SUDAH PLOTTING","BELUM PLOTTING"),"-")</f>
        <v>-</v>
      </c>
      <c r="S397" s="37"/>
      <c r="T397" s="37"/>
    </row>
    <row r="398" customFormat="false" ht="15" hidden="false" customHeight="true" outlineLevel="0" collapsed="false">
      <c r="A398" s="36" t="s">
        <v>1331</v>
      </c>
      <c r="B398" s="37" t="s">
        <v>193</v>
      </c>
      <c r="C398" s="37" t="s">
        <v>428</v>
      </c>
      <c r="D398" s="37" t="s">
        <v>1332</v>
      </c>
      <c r="E398" s="36" t="s">
        <v>79</v>
      </c>
      <c r="F398" s="39" t="s">
        <v>7</v>
      </c>
      <c r="G398" s="36" t="s">
        <v>68</v>
      </c>
      <c r="H398" s="36" t="s">
        <v>68</v>
      </c>
      <c r="I398" s="37" t="n">
        <v>127</v>
      </c>
      <c r="J398" s="37"/>
      <c r="K398" s="37" t="n">
        <v>1</v>
      </c>
      <c r="L398" s="37" t="n">
        <v>0</v>
      </c>
      <c r="M398" s="37" t="s">
        <v>1302</v>
      </c>
      <c r="N398" s="37" t="n">
        <v>1</v>
      </c>
      <c r="O398" s="37"/>
      <c r="P398" s="37" t="s">
        <v>1333</v>
      </c>
      <c r="Q398" s="37" t="s">
        <v>606</v>
      </c>
      <c r="R398" s="36" t="str">
        <f aca="false">IF(H398="Ya",IF(M398&lt;&gt;"","SUDAH PLOTTING","BELUM PLOTTING"),"-")</f>
        <v>SUDAH PLOTTING</v>
      </c>
      <c r="S398" s="37" t="s">
        <v>298</v>
      </c>
      <c r="T398" s="37"/>
      <c r="U398" s="40" t="s">
        <v>692</v>
      </c>
      <c r="V398" s="40" t="s">
        <v>68</v>
      </c>
    </row>
    <row r="399" customFormat="false" ht="15" hidden="false" customHeight="true" outlineLevel="0" collapsed="false">
      <c r="A399" s="36" t="s">
        <v>1334</v>
      </c>
      <c r="B399" s="37" t="s">
        <v>193</v>
      </c>
      <c r="C399" s="37" t="s">
        <v>428</v>
      </c>
      <c r="D399" s="37" t="s">
        <v>1332</v>
      </c>
      <c r="E399" s="36" t="s">
        <v>88</v>
      </c>
      <c r="F399" s="38" t="s">
        <v>11</v>
      </c>
      <c r="G399" s="36" t="s">
        <v>68</v>
      </c>
      <c r="H399" s="36" t="s">
        <v>658</v>
      </c>
      <c r="I399" s="37" t="n">
        <v>141</v>
      </c>
      <c r="J399" s="37"/>
      <c r="K399" s="37" t="n">
        <v>0</v>
      </c>
      <c r="L399" s="37" t="n">
        <v>0</v>
      </c>
      <c r="M399" s="37"/>
      <c r="N399" s="37" t="n">
        <v>1</v>
      </c>
      <c r="O399" s="37" t="s">
        <v>1088</v>
      </c>
      <c r="P399" s="37" t="s">
        <v>1333</v>
      </c>
      <c r="Q399" s="37" t="s">
        <v>606</v>
      </c>
      <c r="R399" s="36" t="str">
        <f aca="false">IF(H399="Ya",IF(M399&lt;&gt;"","SUDAH PLOTTING","BELUM PLOTTING"),"-")</f>
        <v>-</v>
      </c>
      <c r="S399" s="37"/>
      <c r="T399" s="37"/>
    </row>
    <row r="400" customFormat="false" ht="15" hidden="false" customHeight="true" outlineLevel="0" collapsed="false">
      <c r="A400" s="36" t="s">
        <v>1335</v>
      </c>
      <c r="B400" s="37" t="s">
        <v>193</v>
      </c>
      <c r="C400" s="37" t="s">
        <v>428</v>
      </c>
      <c r="D400" s="37" t="s">
        <v>1336</v>
      </c>
      <c r="E400" s="36" t="s">
        <v>62</v>
      </c>
      <c r="F400" s="38" t="s">
        <v>11</v>
      </c>
      <c r="G400" s="36" t="s">
        <v>68</v>
      </c>
      <c r="H400" s="36" t="s">
        <v>658</v>
      </c>
      <c r="I400" s="37" t="n">
        <v>212</v>
      </c>
      <c r="J400" s="37"/>
      <c r="K400" s="37" t="n">
        <v>0</v>
      </c>
      <c r="L400" s="37" t="n">
        <v>0</v>
      </c>
      <c r="M400" s="37"/>
      <c r="N400" s="37"/>
      <c r="O400" s="37" t="s">
        <v>659</v>
      </c>
      <c r="P400" s="37" t="s">
        <v>1337</v>
      </c>
      <c r="Q400" s="37" t="s">
        <v>606</v>
      </c>
      <c r="R400" s="36" t="str">
        <f aca="false">IF(H400="Ya",IF(M400&lt;&gt;"","SUDAH PLOTTING","BELUM PLOTTING"),"-")</f>
        <v>-</v>
      </c>
      <c r="S400" s="37"/>
      <c r="T400" s="37"/>
    </row>
    <row r="401" customFormat="false" ht="15" hidden="false" customHeight="true" outlineLevel="0" collapsed="false">
      <c r="A401" s="36" t="s">
        <v>1338</v>
      </c>
      <c r="B401" s="37" t="s">
        <v>213</v>
      </c>
      <c r="C401" s="37" t="s">
        <v>424</v>
      </c>
      <c r="D401" s="37" t="s">
        <v>1339</v>
      </c>
      <c r="E401" s="36" t="s">
        <v>79</v>
      </c>
      <c r="F401" s="38" t="s">
        <v>11</v>
      </c>
      <c r="G401" s="36" t="s">
        <v>68</v>
      </c>
      <c r="H401" s="36" t="s">
        <v>658</v>
      </c>
      <c r="I401" s="37" t="n">
        <v>114</v>
      </c>
      <c r="J401" s="37"/>
      <c r="K401" s="37" t="n">
        <v>0</v>
      </c>
      <c r="L401" s="37" t="n">
        <v>0</v>
      </c>
      <c r="M401" s="37"/>
      <c r="N401" s="37"/>
      <c r="O401" s="37" t="s">
        <v>659</v>
      </c>
      <c r="P401" s="37" t="s">
        <v>1340</v>
      </c>
      <c r="Q401" s="37" t="s">
        <v>594</v>
      </c>
      <c r="R401" s="36" t="str">
        <f aca="false">IF(H401="Ya",IF(M401&lt;&gt;"","SUDAH PLOTTING","BELUM PLOTTING"),"-")</f>
        <v>-</v>
      </c>
      <c r="S401" s="37"/>
      <c r="T401" s="37"/>
    </row>
    <row r="402" customFormat="false" ht="15" hidden="false" customHeight="true" outlineLevel="0" collapsed="false">
      <c r="A402" s="36" t="s">
        <v>1341</v>
      </c>
      <c r="B402" s="37" t="s">
        <v>213</v>
      </c>
      <c r="C402" s="37" t="s">
        <v>424</v>
      </c>
      <c r="D402" s="37" t="s">
        <v>1339</v>
      </c>
      <c r="E402" s="36" t="s">
        <v>88</v>
      </c>
      <c r="F402" s="38" t="s">
        <v>11</v>
      </c>
      <c r="G402" s="36" t="s">
        <v>68</v>
      </c>
      <c r="H402" s="36" t="s">
        <v>658</v>
      </c>
      <c r="I402" s="37" t="n">
        <v>143</v>
      </c>
      <c r="J402" s="37"/>
      <c r="K402" s="37" t="n">
        <v>0</v>
      </c>
      <c r="L402" s="37" t="n">
        <v>0</v>
      </c>
      <c r="M402" s="37"/>
      <c r="N402" s="37"/>
      <c r="O402" s="37" t="s">
        <v>659</v>
      </c>
      <c r="P402" s="37" t="s">
        <v>1340</v>
      </c>
      <c r="Q402" s="37" t="s">
        <v>594</v>
      </c>
      <c r="R402" s="36" t="str">
        <f aca="false">IF(H402="Ya",IF(M402&lt;&gt;"","SUDAH PLOTTING","BELUM PLOTTING"),"-")</f>
        <v>-</v>
      </c>
      <c r="S402" s="37"/>
      <c r="T402" s="37"/>
    </row>
    <row r="403" customFormat="false" ht="15" hidden="false" customHeight="true" outlineLevel="0" collapsed="false">
      <c r="A403" s="36" t="s">
        <v>1342</v>
      </c>
      <c r="B403" s="37" t="s">
        <v>213</v>
      </c>
      <c r="C403" s="37" t="s">
        <v>424</v>
      </c>
      <c r="D403" s="37" t="s">
        <v>1339</v>
      </c>
      <c r="E403" s="36" t="s">
        <v>92</v>
      </c>
      <c r="F403" s="38" t="s">
        <v>11</v>
      </c>
      <c r="G403" s="36" t="s">
        <v>68</v>
      </c>
      <c r="H403" s="36" t="s">
        <v>658</v>
      </c>
      <c r="I403" s="37" t="n">
        <v>166</v>
      </c>
      <c r="J403" s="37"/>
      <c r="K403" s="37" t="n">
        <v>0</v>
      </c>
      <c r="L403" s="37" t="n">
        <v>0</v>
      </c>
      <c r="M403" s="37"/>
      <c r="N403" s="37"/>
      <c r="O403" s="37" t="s">
        <v>659</v>
      </c>
      <c r="P403" s="37" t="s">
        <v>1340</v>
      </c>
      <c r="Q403" s="37" t="s">
        <v>594</v>
      </c>
      <c r="R403" s="36" t="str">
        <f aca="false">IF(H403="Ya",IF(M403&lt;&gt;"","SUDAH PLOTTING","BELUM PLOTTING"),"-")</f>
        <v>-</v>
      </c>
      <c r="S403" s="37"/>
      <c r="T403" s="37"/>
    </row>
    <row r="404" customFormat="false" ht="15" hidden="false" customHeight="true" outlineLevel="0" collapsed="false">
      <c r="A404" s="36" t="s">
        <v>1343</v>
      </c>
      <c r="B404" s="37" t="s">
        <v>213</v>
      </c>
      <c r="C404" s="37" t="s">
        <v>424</v>
      </c>
      <c r="D404" s="37" t="s">
        <v>1344</v>
      </c>
      <c r="E404" s="36" t="s">
        <v>79</v>
      </c>
      <c r="F404" s="38" t="s">
        <v>11</v>
      </c>
      <c r="G404" s="36" t="s">
        <v>68</v>
      </c>
      <c r="H404" s="36" t="s">
        <v>658</v>
      </c>
      <c r="I404" s="37" t="n">
        <v>126</v>
      </c>
      <c r="J404" s="37"/>
      <c r="K404" s="37" t="n">
        <v>0</v>
      </c>
      <c r="L404" s="37" t="n">
        <v>0</v>
      </c>
      <c r="M404" s="37"/>
      <c r="N404" s="37"/>
      <c r="O404" s="37" t="s">
        <v>659</v>
      </c>
      <c r="P404" s="37" t="s">
        <v>1345</v>
      </c>
      <c r="Q404" s="37" t="s">
        <v>594</v>
      </c>
      <c r="R404" s="36" t="str">
        <f aca="false">IF(H404="Ya",IF(M404&lt;&gt;"","SUDAH PLOTTING","BELUM PLOTTING"),"-")</f>
        <v>-</v>
      </c>
      <c r="S404" s="37"/>
      <c r="T404" s="37"/>
    </row>
    <row r="405" customFormat="false" ht="15" hidden="false" customHeight="true" outlineLevel="0" collapsed="false">
      <c r="A405" s="36" t="s">
        <v>1346</v>
      </c>
      <c r="B405" s="37" t="s">
        <v>213</v>
      </c>
      <c r="C405" s="37" t="s">
        <v>424</v>
      </c>
      <c r="D405" s="37" t="s">
        <v>1344</v>
      </c>
      <c r="E405" s="36" t="s">
        <v>88</v>
      </c>
      <c r="F405" s="38" t="s">
        <v>11</v>
      </c>
      <c r="G405" s="36" t="s">
        <v>68</v>
      </c>
      <c r="H405" s="36" t="s">
        <v>658</v>
      </c>
      <c r="I405" s="37" t="n">
        <v>130</v>
      </c>
      <c r="J405" s="37"/>
      <c r="K405" s="37" t="n">
        <v>0</v>
      </c>
      <c r="L405" s="37" t="n">
        <v>0</v>
      </c>
      <c r="M405" s="37"/>
      <c r="N405" s="37"/>
      <c r="O405" s="37" t="s">
        <v>659</v>
      </c>
      <c r="P405" s="37" t="s">
        <v>1345</v>
      </c>
      <c r="Q405" s="37" t="s">
        <v>594</v>
      </c>
      <c r="R405" s="36" t="str">
        <f aca="false">IF(H405="Ya",IF(M405&lt;&gt;"","SUDAH PLOTTING","BELUM PLOTTING"),"-")</f>
        <v>-</v>
      </c>
      <c r="S405" s="37"/>
      <c r="T405" s="37"/>
    </row>
    <row r="406" customFormat="false" ht="15" hidden="false" customHeight="true" outlineLevel="0" collapsed="false">
      <c r="A406" s="36" t="s">
        <v>1347</v>
      </c>
      <c r="B406" s="37" t="s">
        <v>213</v>
      </c>
      <c r="C406" s="37" t="s">
        <v>424</v>
      </c>
      <c r="D406" s="37" t="s">
        <v>1344</v>
      </c>
      <c r="E406" s="36" t="s">
        <v>92</v>
      </c>
      <c r="F406" s="38" t="s">
        <v>11</v>
      </c>
      <c r="G406" s="36" t="s">
        <v>68</v>
      </c>
      <c r="H406" s="36" t="s">
        <v>658</v>
      </c>
      <c r="I406" s="37" t="n">
        <v>157</v>
      </c>
      <c r="J406" s="37"/>
      <c r="K406" s="37" t="n">
        <v>0</v>
      </c>
      <c r="L406" s="37" t="n">
        <v>0</v>
      </c>
      <c r="M406" s="37"/>
      <c r="N406" s="37"/>
      <c r="O406" s="37" t="s">
        <v>659</v>
      </c>
      <c r="P406" s="37" t="s">
        <v>1345</v>
      </c>
      <c r="Q406" s="37" t="s">
        <v>594</v>
      </c>
      <c r="R406" s="36" t="str">
        <f aca="false">IF(H406="Ya",IF(M406&lt;&gt;"","SUDAH PLOTTING","BELUM PLOTTING"),"-")</f>
        <v>-</v>
      </c>
      <c r="S406" s="37"/>
      <c r="T406" s="37"/>
    </row>
    <row r="407" customFormat="false" ht="15" hidden="false" customHeight="true" outlineLevel="0" collapsed="false">
      <c r="A407" s="36" t="s">
        <v>1348</v>
      </c>
      <c r="B407" s="37" t="s">
        <v>213</v>
      </c>
      <c r="C407" s="37" t="s">
        <v>424</v>
      </c>
      <c r="D407" s="37" t="s">
        <v>1349</v>
      </c>
      <c r="E407" s="36" t="s">
        <v>79</v>
      </c>
      <c r="F407" s="38" t="s">
        <v>11</v>
      </c>
      <c r="G407" s="36" t="s">
        <v>68</v>
      </c>
      <c r="H407" s="36" t="s">
        <v>658</v>
      </c>
      <c r="I407" s="37" t="n">
        <v>150</v>
      </c>
      <c r="J407" s="37"/>
      <c r="K407" s="37" t="n">
        <v>0</v>
      </c>
      <c r="L407" s="37" t="n">
        <v>0</v>
      </c>
      <c r="M407" s="37"/>
      <c r="N407" s="37"/>
      <c r="O407" s="37" t="s">
        <v>659</v>
      </c>
      <c r="P407" s="37" t="s">
        <v>1350</v>
      </c>
      <c r="Q407" s="37" t="s">
        <v>594</v>
      </c>
      <c r="R407" s="36" t="str">
        <f aca="false">IF(H407="Ya",IF(M407&lt;&gt;"","SUDAH PLOTTING","BELUM PLOTTING"),"-")</f>
        <v>-</v>
      </c>
      <c r="S407" s="37"/>
      <c r="T407" s="37"/>
    </row>
    <row r="408" customFormat="false" ht="15" hidden="false" customHeight="true" outlineLevel="0" collapsed="false">
      <c r="A408" s="36" t="s">
        <v>1351</v>
      </c>
      <c r="B408" s="37" t="s">
        <v>213</v>
      </c>
      <c r="C408" s="37" t="s">
        <v>424</v>
      </c>
      <c r="D408" s="37" t="s">
        <v>1349</v>
      </c>
      <c r="E408" s="36" t="s">
        <v>88</v>
      </c>
      <c r="F408" s="38" t="s">
        <v>11</v>
      </c>
      <c r="G408" s="36" t="s">
        <v>68</v>
      </c>
      <c r="H408" s="36" t="s">
        <v>658</v>
      </c>
      <c r="I408" s="37" t="n">
        <v>124</v>
      </c>
      <c r="J408" s="37"/>
      <c r="K408" s="37" t="n">
        <v>0</v>
      </c>
      <c r="L408" s="37" t="n">
        <v>0</v>
      </c>
      <c r="M408" s="37"/>
      <c r="N408" s="37"/>
      <c r="O408" s="37" t="s">
        <v>659</v>
      </c>
      <c r="P408" s="37" t="s">
        <v>1350</v>
      </c>
      <c r="Q408" s="37" t="s">
        <v>594</v>
      </c>
      <c r="R408" s="36" t="str">
        <f aca="false">IF(H408="Ya",IF(M408&lt;&gt;"","SUDAH PLOTTING","BELUM PLOTTING"),"-")</f>
        <v>-</v>
      </c>
      <c r="S408" s="37"/>
      <c r="T408" s="37"/>
    </row>
    <row r="409" customFormat="false" ht="15" hidden="false" customHeight="true" outlineLevel="0" collapsed="false">
      <c r="A409" s="36" t="s">
        <v>1352</v>
      </c>
      <c r="B409" s="37" t="s">
        <v>213</v>
      </c>
      <c r="C409" s="37" t="s">
        <v>424</v>
      </c>
      <c r="D409" s="37" t="s">
        <v>1349</v>
      </c>
      <c r="E409" s="36" t="s">
        <v>92</v>
      </c>
      <c r="F409" s="38" t="s">
        <v>11</v>
      </c>
      <c r="G409" s="36" t="s">
        <v>68</v>
      </c>
      <c r="H409" s="36" t="s">
        <v>658</v>
      </c>
      <c r="I409" s="37" t="n">
        <v>168</v>
      </c>
      <c r="J409" s="37"/>
      <c r="K409" s="37" t="n">
        <v>0</v>
      </c>
      <c r="L409" s="37" t="n">
        <v>0</v>
      </c>
      <c r="M409" s="37"/>
      <c r="N409" s="37"/>
      <c r="O409" s="37" t="s">
        <v>659</v>
      </c>
      <c r="P409" s="37" t="s">
        <v>1350</v>
      </c>
      <c r="Q409" s="37" t="s">
        <v>594</v>
      </c>
      <c r="R409" s="36" t="str">
        <f aca="false">IF(H409="Ya",IF(M409&lt;&gt;"","SUDAH PLOTTING","BELUM PLOTTING"),"-")</f>
        <v>-</v>
      </c>
      <c r="S409" s="37"/>
      <c r="T409" s="37"/>
    </row>
    <row r="410" customFormat="false" ht="15" hidden="false" customHeight="true" outlineLevel="0" collapsed="false">
      <c r="A410" s="36" t="s">
        <v>1353</v>
      </c>
      <c r="B410" s="37" t="s">
        <v>213</v>
      </c>
      <c r="C410" s="37" t="s">
        <v>424</v>
      </c>
      <c r="D410" s="37" t="s">
        <v>1354</v>
      </c>
      <c r="E410" s="36" t="s">
        <v>79</v>
      </c>
      <c r="F410" s="38" t="s">
        <v>11</v>
      </c>
      <c r="G410" s="36" t="s">
        <v>68</v>
      </c>
      <c r="H410" s="36" t="s">
        <v>658</v>
      </c>
      <c r="I410" s="37" t="n">
        <v>185</v>
      </c>
      <c r="J410" s="37"/>
      <c r="K410" s="37" t="n">
        <v>0</v>
      </c>
      <c r="L410" s="37" t="n">
        <v>0</v>
      </c>
      <c r="M410" s="37"/>
      <c r="N410" s="37"/>
      <c r="O410" s="37" t="s">
        <v>659</v>
      </c>
      <c r="P410" s="37" t="s">
        <v>1355</v>
      </c>
      <c r="Q410" s="37" t="s">
        <v>594</v>
      </c>
      <c r="R410" s="36" t="str">
        <f aca="false">IF(H410="Ya",IF(M410&lt;&gt;"","SUDAH PLOTTING","BELUM PLOTTING"),"-")</f>
        <v>-</v>
      </c>
      <c r="S410" s="37"/>
      <c r="T410" s="37"/>
    </row>
    <row r="411" customFormat="false" ht="15" hidden="false" customHeight="true" outlineLevel="0" collapsed="false">
      <c r="A411" s="36" t="s">
        <v>1356</v>
      </c>
      <c r="B411" s="37" t="s">
        <v>213</v>
      </c>
      <c r="C411" s="37" t="s">
        <v>424</v>
      </c>
      <c r="D411" s="37" t="s">
        <v>1354</v>
      </c>
      <c r="E411" s="36" t="s">
        <v>88</v>
      </c>
      <c r="F411" s="38" t="s">
        <v>11</v>
      </c>
      <c r="G411" s="36" t="s">
        <v>68</v>
      </c>
      <c r="H411" s="36" t="s">
        <v>658</v>
      </c>
      <c r="I411" s="37" t="n">
        <v>117</v>
      </c>
      <c r="J411" s="37"/>
      <c r="K411" s="37" t="n">
        <v>0</v>
      </c>
      <c r="L411" s="37" t="n">
        <v>0</v>
      </c>
      <c r="M411" s="37"/>
      <c r="N411" s="37"/>
      <c r="O411" s="37" t="s">
        <v>659</v>
      </c>
      <c r="P411" s="37" t="s">
        <v>1355</v>
      </c>
      <c r="Q411" s="37" t="s">
        <v>594</v>
      </c>
      <c r="R411" s="36" t="str">
        <f aca="false">IF(H411="Ya",IF(M411&lt;&gt;"","SUDAH PLOTTING","BELUM PLOTTING"),"-")</f>
        <v>-</v>
      </c>
      <c r="S411" s="37"/>
      <c r="T411" s="37"/>
    </row>
    <row r="412" customFormat="false" ht="15" hidden="false" customHeight="true" outlineLevel="0" collapsed="false">
      <c r="A412" s="36" t="s">
        <v>1357</v>
      </c>
      <c r="B412" s="37" t="s">
        <v>213</v>
      </c>
      <c r="C412" s="37" t="s">
        <v>424</v>
      </c>
      <c r="D412" s="37" t="s">
        <v>1354</v>
      </c>
      <c r="E412" s="36" t="s">
        <v>92</v>
      </c>
      <c r="F412" s="38" t="s">
        <v>11</v>
      </c>
      <c r="G412" s="36" t="s">
        <v>68</v>
      </c>
      <c r="H412" s="36" t="s">
        <v>658</v>
      </c>
      <c r="I412" s="37" t="n">
        <v>177</v>
      </c>
      <c r="J412" s="37"/>
      <c r="K412" s="37" t="n">
        <v>0</v>
      </c>
      <c r="L412" s="37" t="n">
        <v>0</v>
      </c>
      <c r="M412" s="37"/>
      <c r="N412" s="37"/>
      <c r="O412" s="37" t="s">
        <v>659</v>
      </c>
      <c r="P412" s="37" t="s">
        <v>1355</v>
      </c>
      <c r="Q412" s="37" t="s">
        <v>594</v>
      </c>
      <c r="R412" s="36" t="str">
        <f aca="false">IF(H412="Ya",IF(M412&lt;&gt;"","SUDAH PLOTTING","BELUM PLOTTING"),"-")</f>
        <v>-</v>
      </c>
      <c r="S412" s="37"/>
      <c r="T412" s="37"/>
    </row>
    <row r="413" customFormat="false" ht="15" hidden="false" customHeight="true" outlineLevel="0" collapsed="false">
      <c r="A413" s="36" t="s">
        <v>216</v>
      </c>
      <c r="B413" s="37" t="s">
        <v>213</v>
      </c>
      <c r="C413" s="37" t="s">
        <v>214</v>
      </c>
      <c r="D413" s="37" t="s">
        <v>215</v>
      </c>
      <c r="E413" s="36" t="s">
        <v>62</v>
      </c>
      <c r="F413" s="39" t="s">
        <v>7</v>
      </c>
      <c r="G413" s="36" t="s">
        <v>68</v>
      </c>
      <c r="H413" s="36" t="s">
        <v>68</v>
      </c>
      <c r="I413" s="37" t="n">
        <v>152</v>
      </c>
      <c r="J413" s="37" t="n">
        <v>1</v>
      </c>
      <c r="K413" s="37" t="n">
        <v>0</v>
      </c>
      <c r="L413" s="37" t="n">
        <v>0</v>
      </c>
      <c r="M413" s="37"/>
      <c r="N413" s="37" t="n">
        <v>1</v>
      </c>
      <c r="O413" s="37" t="s">
        <v>749</v>
      </c>
      <c r="P413" s="37" t="s">
        <v>1358</v>
      </c>
      <c r="Q413" s="37" t="s">
        <v>603</v>
      </c>
      <c r="R413" s="36" t="str">
        <f aca="false">IF(H413="Ya",IF(M413&lt;&gt;"","SUDAH PLOTTING","BELUM PLOTTING"),"-")</f>
        <v>BELUM PLOTTING</v>
      </c>
      <c r="S413" s="37" t="s">
        <v>212</v>
      </c>
      <c r="T413" s="37" t="s">
        <v>1359</v>
      </c>
      <c r="U413" s="40" t="s">
        <v>1167</v>
      </c>
      <c r="V413" s="41" t="s">
        <v>658</v>
      </c>
    </row>
    <row r="414" customFormat="false" ht="15" hidden="false" customHeight="true" outlineLevel="0" collapsed="false">
      <c r="A414" s="36" t="s">
        <v>1360</v>
      </c>
      <c r="B414" s="37" t="s">
        <v>213</v>
      </c>
      <c r="C414" s="37" t="s">
        <v>214</v>
      </c>
      <c r="D414" s="37" t="s">
        <v>1361</v>
      </c>
      <c r="E414" s="36" t="s">
        <v>79</v>
      </c>
      <c r="F414" s="38" t="s">
        <v>11</v>
      </c>
      <c r="G414" s="36" t="s">
        <v>68</v>
      </c>
      <c r="H414" s="36" t="s">
        <v>658</v>
      </c>
      <c r="I414" s="37" t="n">
        <v>126</v>
      </c>
      <c r="J414" s="37"/>
      <c r="K414" s="37" t="n">
        <v>0</v>
      </c>
      <c r="L414" s="37" t="n">
        <v>0</v>
      </c>
      <c r="M414" s="37"/>
      <c r="N414" s="37"/>
      <c r="O414" s="37" t="s">
        <v>659</v>
      </c>
      <c r="P414" s="37" t="s">
        <v>1362</v>
      </c>
      <c r="Q414" s="37" t="s">
        <v>603</v>
      </c>
      <c r="R414" s="36" t="str">
        <f aca="false">IF(H414="Ya",IF(M414&lt;&gt;"","SUDAH PLOTTING","BELUM PLOTTING"),"-")</f>
        <v>-</v>
      </c>
      <c r="S414" s="37"/>
      <c r="T414" s="37"/>
    </row>
    <row r="415" customFormat="false" ht="15" hidden="false" customHeight="true" outlineLevel="0" collapsed="false">
      <c r="A415" s="36" t="s">
        <v>1363</v>
      </c>
      <c r="B415" s="37" t="s">
        <v>213</v>
      </c>
      <c r="C415" s="37" t="s">
        <v>214</v>
      </c>
      <c r="D415" s="37" t="s">
        <v>1361</v>
      </c>
      <c r="E415" s="36" t="s">
        <v>88</v>
      </c>
      <c r="F415" s="38" t="s">
        <v>11</v>
      </c>
      <c r="G415" s="36" t="s">
        <v>68</v>
      </c>
      <c r="H415" s="36" t="s">
        <v>658</v>
      </c>
      <c r="I415" s="37" t="n">
        <v>180</v>
      </c>
      <c r="J415" s="37"/>
      <c r="K415" s="37" t="n">
        <v>0</v>
      </c>
      <c r="L415" s="37" t="n">
        <v>0</v>
      </c>
      <c r="M415" s="37"/>
      <c r="N415" s="37"/>
      <c r="O415" s="37" t="s">
        <v>659</v>
      </c>
      <c r="P415" s="37" t="s">
        <v>1362</v>
      </c>
      <c r="Q415" s="37" t="s">
        <v>603</v>
      </c>
      <c r="R415" s="36" t="str">
        <f aca="false">IF(H415="Ya",IF(M415&lt;&gt;"","SUDAH PLOTTING","BELUM PLOTTING"),"-")</f>
        <v>-</v>
      </c>
      <c r="S415" s="37"/>
      <c r="T415" s="37"/>
    </row>
    <row r="416" customFormat="false" ht="15" hidden="false" customHeight="true" outlineLevel="0" collapsed="false">
      <c r="A416" s="36" t="s">
        <v>1364</v>
      </c>
      <c r="B416" s="37" t="s">
        <v>213</v>
      </c>
      <c r="C416" s="37" t="s">
        <v>214</v>
      </c>
      <c r="D416" s="37" t="s">
        <v>1365</v>
      </c>
      <c r="E416" s="36" t="s">
        <v>79</v>
      </c>
      <c r="F416" s="38" t="s">
        <v>11</v>
      </c>
      <c r="G416" s="36" t="s">
        <v>68</v>
      </c>
      <c r="H416" s="36" t="s">
        <v>658</v>
      </c>
      <c r="I416" s="37" t="n">
        <v>117</v>
      </c>
      <c r="J416" s="37"/>
      <c r="K416" s="37" t="n">
        <v>0</v>
      </c>
      <c r="L416" s="37" t="n">
        <v>0</v>
      </c>
      <c r="M416" s="37"/>
      <c r="N416" s="37"/>
      <c r="O416" s="37" t="s">
        <v>659</v>
      </c>
      <c r="P416" s="37" t="s">
        <v>1366</v>
      </c>
      <c r="Q416" s="37" t="s">
        <v>603</v>
      </c>
      <c r="R416" s="36" t="str">
        <f aca="false">IF(H416="Ya",IF(M416&lt;&gt;"","SUDAH PLOTTING","BELUM PLOTTING"),"-")</f>
        <v>-</v>
      </c>
      <c r="S416" s="37"/>
      <c r="T416" s="37"/>
    </row>
    <row r="417" customFormat="false" ht="15" hidden="false" customHeight="true" outlineLevel="0" collapsed="false">
      <c r="A417" s="36" t="s">
        <v>1367</v>
      </c>
      <c r="B417" s="37" t="s">
        <v>213</v>
      </c>
      <c r="C417" s="37" t="s">
        <v>214</v>
      </c>
      <c r="D417" s="37" t="s">
        <v>1365</v>
      </c>
      <c r="E417" s="36" t="s">
        <v>88</v>
      </c>
      <c r="F417" s="38" t="s">
        <v>11</v>
      </c>
      <c r="G417" s="36" t="s">
        <v>68</v>
      </c>
      <c r="H417" s="36" t="s">
        <v>658</v>
      </c>
      <c r="I417" s="37" t="n">
        <v>145</v>
      </c>
      <c r="J417" s="37"/>
      <c r="K417" s="37" t="n">
        <v>0</v>
      </c>
      <c r="L417" s="37" t="n">
        <v>0</v>
      </c>
      <c r="M417" s="37"/>
      <c r="N417" s="37"/>
      <c r="O417" s="37" t="s">
        <v>659</v>
      </c>
      <c r="P417" s="37" t="s">
        <v>1366</v>
      </c>
      <c r="Q417" s="37" t="s">
        <v>603</v>
      </c>
      <c r="R417" s="36" t="str">
        <f aca="false">IF(H417="Ya",IF(M417&lt;&gt;"","SUDAH PLOTTING","BELUM PLOTTING"),"-")</f>
        <v>-</v>
      </c>
      <c r="S417" s="37"/>
      <c r="T417" s="37"/>
    </row>
    <row r="418" customFormat="false" ht="15" hidden="false" customHeight="true" outlineLevel="0" collapsed="false">
      <c r="A418" s="36" t="s">
        <v>1368</v>
      </c>
      <c r="B418" s="37" t="s">
        <v>1369</v>
      </c>
      <c r="C418" s="37" t="s">
        <v>430</v>
      </c>
      <c r="D418" s="37" t="s">
        <v>1370</v>
      </c>
      <c r="E418" s="36" t="s">
        <v>62</v>
      </c>
      <c r="F418" s="38" t="s">
        <v>11</v>
      </c>
      <c r="G418" s="36" t="s">
        <v>68</v>
      </c>
      <c r="H418" s="36" t="s">
        <v>658</v>
      </c>
      <c r="I418" s="37" t="n">
        <v>83</v>
      </c>
      <c r="J418" s="37"/>
      <c r="K418" s="37" t="n">
        <v>0</v>
      </c>
      <c r="L418" s="37" t="n">
        <v>0</v>
      </c>
      <c r="M418" s="37"/>
      <c r="N418" s="37"/>
      <c r="O418" s="37" t="s">
        <v>659</v>
      </c>
      <c r="P418" s="37" t="s">
        <v>1371</v>
      </c>
      <c r="Q418" s="37" t="s">
        <v>596</v>
      </c>
      <c r="R418" s="36" t="str">
        <f aca="false">IF(H418="Ya",IF(M418&lt;&gt;"","SUDAH PLOTTING","BELUM PLOTTING"),"-")</f>
        <v>-</v>
      </c>
      <c r="S418" s="37"/>
      <c r="T418" s="37"/>
    </row>
    <row r="419" customFormat="false" ht="15" hidden="false" customHeight="true" outlineLevel="0" collapsed="false">
      <c r="A419" s="36" t="s">
        <v>1372</v>
      </c>
      <c r="B419" s="37" t="s">
        <v>1369</v>
      </c>
      <c r="C419" s="37" t="s">
        <v>430</v>
      </c>
      <c r="D419" s="37" t="s">
        <v>268</v>
      </c>
      <c r="E419" s="36" t="s">
        <v>62</v>
      </c>
      <c r="F419" s="38" t="s">
        <v>11</v>
      </c>
      <c r="G419" s="36" t="s">
        <v>68</v>
      </c>
      <c r="H419" s="36" t="s">
        <v>658</v>
      </c>
      <c r="I419" s="37" t="n">
        <v>65</v>
      </c>
      <c r="J419" s="37"/>
      <c r="K419" s="37" t="n">
        <v>0</v>
      </c>
      <c r="L419" s="37" t="n">
        <v>0</v>
      </c>
      <c r="M419" s="37"/>
      <c r="N419" s="37"/>
      <c r="O419" s="37" t="s">
        <v>659</v>
      </c>
      <c r="P419" s="37" t="s">
        <v>1373</v>
      </c>
      <c r="Q419" s="37" t="s">
        <v>596</v>
      </c>
      <c r="R419" s="36" t="str">
        <f aca="false">IF(H419="Ya",IF(M419&lt;&gt;"","SUDAH PLOTTING","BELUM PLOTTING"),"-")</f>
        <v>-</v>
      </c>
      <c r="S419" s="37"/>
      <c r="T419" s="37"/>
    </row>
    <row r="420" customFormat="false" ht="15" hidden="false" customHeight="true" outlineLevel="0" collapsed="false">
      <c r="A420" s="36" t="s">
        <v>1374</v>
      </c>
      <c r="B420" s="37" t="s">
        <v>1369</v>
      </c>
      <c r="C420" s="37" t="s">
        <v>430</v>
      </c>
      <c r="D420" s="37" t="s">
        <v>1375</v>
      </c>
      <c r="E420" s="36" t="s">
        <v>62</v>
      </c>
      <c r="F420" s="38" t="s">
        <v>11</v>
      </c>
      <c r="G420" s="36" t="s">
        <v>68</v>
      </c>
      <c r="H420" s="36" t="s">
        <v>658</v>
      </c>
      <c r="I420" s="37" t="n">
        <v>126</v>
      </c>
      <c r="J420" s="37"/>
      <c r="K420" s="37" t="n">
        <v>0</v>
      </c>
      <c r="L420" s="37" t="n">
        <v>0</v>
      </c>
      <c r="M420" s="37"/>
      <c r="N420" s="37"/>
      <c r="O420" s="37" t="s">
        <v>659</v>
      </c>
      <c r="P420" s="37" t="s">
        <v>1376</v>
      </c>
      <c r="Q420" s="37" t="s">
        <v>596</v>
      </c>
      <c r="R420" s="36" t="str">
        <f aca="false">IF(H420="Ya",IF(M420&lt;&gt;"","SUDAH PLOTTING","BELUM PLOTTING"),"-")</f>
        <v>-</v>
      </c>
      <c r="S420" s="37"/>
      <c r="T420" s="37"/>
    </row>
    <row r="421" customFormat="false" ht="15" hidden="false" customHeight="true" outlineLevel="0" collapsed="false">
      <c r="A421" s="36" t="s">
        <v>1377</v>
      </c>
      <c r="B421" s="37" t="s">
        <v>221</v>
      </c>
      <c r="C421" s="37" t="s">
        <v>433</v>
      </c>
      <c r="D421" s="37" t="s">
        <v>1378</v>
      </c>
      <c r="E421" s="36" t="s">
        <v>62</v>
      </c>
      <c r="F421" s="38" t="s">
        <v>11</v>
      </c>
      <c r="G421" s="36" t="s">
        <v>68</v>
      </c>
      <c r="H421" s="36" t="s">
        <v>658</v>
      </c>
      <c r="I421" s="37" t="n">
        <v>212</v>
      </c>
      <c r="J421" s="37"/>
      <c r="K421" s="37" t="n">
        <v>0</v>
      </c>
      <c r="L421" s="37" t="n">
        <v>0</v>
      </c>
      <c r="M421" s="37"/>
      <c r="N421" s="37"/>
      <c r="O421" s="37" t="s">
        <v>659</v>
      </c>
      <c r="P421" s="37" t="s">
        <v>1379</v>
      </c>
      <c r="Q421" s="37" t="s">
        <v>598</v>
      </c>
      <c r="R421" s="36" t="str">
        <f aca="false">IF(H421="Ya",IF(M421&lt;&gt;"","SUDAH PLOTTING","BELUM PLOTTING"),"-")</f>
        <v>-</v>
      </c>
      <c r="S421" s="37"/>
      <c r="T421" s="37"/>
    </row>
    <row r="422" customFormat="false" ht="15" hidden="false" customHeight="true" outlineLevel="0" collapsed="false">
      <c r="A422" s="36" t="s">
        <v>1380</v>
      </c>
      <c r="B422" s="37" t="s">
        <v>221</v>
      </c>
      <c r="C422" s="37" t="s">
        <v>433</v>
      </c>
      <c r="D422" s="37" t="s">
        <v>1381</v>
      </c>
      <c r="E422" s="36" t="s">
        <v>79</v>
      </c>
      <c r="F422" s="38" t="s">
        <v>11</v>
      </c>
      <c r="G422" s="36" t="s">
        <v>68</v>
      </c>
      <c r="H422" s="36" t="s">
        <v>658</v>
      </c>
      <c r="I422" s="37" t="n">
        <v>158</v>
      </c>
      <c r="J422" s="37"/>
      <c r="K422" s="37" t="n">
        <v>0</v>
      </c>
      <c r="L422" s="37" t="n">
        <v>0</v>
      </c>
      <c r="M422" s="37"/>
      <c r="N422" s="37"/>
      <c r="O422" s="37" t="s">
        <v>659</v>
      </c>
      <c r="P422" s="37" t="s">
        <v>1382</v>
      </c>
      <c r="Q422" s="37" t="s">
        <v>598</v>
      </c>
      <c r="R422" s="36" t="str">
        <f aca="false">IF(H422="Ya",IF(M422&lt;&gt;"","SUDAH PLOTTING","BELUM PLOTTING"),"-")</f>
        <v>-</v>
      </c>
      <c r="S422" s="37"/>
      <c r="T422" s="37"/>
    </row>
    <row r="423" customFormat="false" ht="15" hidden="false" customHeight="true" outlineLevel="0" collapsed="false">
      <c r="A423" s="36" t="s">
        <v>1383</v>
      </c>
      <c r="B423" s="37" t="s">
        <v>221</v>
      </c>
      <c r="C423" s="37" t="s">
        <v>433</v>
      </c>
      <c r="D423" s="37" t="s">
        <v>1381</v>
      </c>
      <c r="E423" s="36" t="s">
        <v>88</v>
      </c>
      <c r="F423" s="38" t="s">
        <v>11</v>
      </c>
      <c r="G423" s="36" t="s">
        <v>68</v>
      </c>
      <c r="H423" s="36" t="s">
        <v>658</v>
      </c>
      <c r="I423" s="37" t="n">
        <v>159</v>
      </c>
      <c r="J423" s="37"/>
      <c r="K423" s="37" t="n">
        <v>0</v>
      </c>
      <c r="L423" s="37" t="n">
        <v>0</v>
      </c>
      <c r="M423" s="37"/>
      <c r="N423" s="37"/>
      <c r="O423" s="37" t="s">
        <v>659</v>
      </c>
      <c r="P423" s="37" t="s">
        <v>1382</v>
      </c>
      <c r="Q423" s="37" t="s">
        <v>598</v>
      </c>
      <c r="R423" s="36" t="str">
        <f aca="false">IF(H423="Ya",IF(M423&lt;&gt;"","SUDAH PLOTTING","BELUM PLOTTING"),"-")</f>
        <v>-</v>
      </c>
      <c r="S423" s="37"/>
      <c r="T423" s="37"/>
    </row>
    <row r="424" customFormat="false" ht="15" hidden="false" customHeight="true" outlineLevel="0" collapsed="false">
      <c r="A424" s="36" t="s">
        <v>1384</v>
      </c>
      <c r="B424" s="37" t="s">
        <v>221</v>
      </c>
      <c r="C424" s="37" t="s">
        <v>433</v>
      </c>
      <c r="D424" s="37" t="s">
        <v>1381</v>
      </c>
      <c r="E424" s="36" t="s">
        <v>92</v>
      </c>
      <c r="F424" s="38" t="s">
        <v>11</v>
      </c>
      <c r="G424" s="36" t="s">
        <v>68</v>
      </c>
      <c r="H424" s="36" t="s">
        <v>658</v>
      </c>
      <c r="I424" s="37" t="n">
        <v>130</v>
      </c>
      <c r="J424" s="37"/>
      <c r="K424" s="37" t="n">
        <v>0</v>
      </c>
      <c r="L424" s="37" t="n">
        <v>0</v>
      </c>
      <c r="M424" s="37"/>
      <c r="N424" s="37"/>
      <c r="O424" s="37" t="s">
        <v>659</v>
      </c>
      <c r="P424" s="37" t="s">
        <v>1382</v>
      </c>
      <c r="Q424" s="37" t="s">
        <v>598</v>
      </c>
      <c r="R424" s="36" t="str">
        <f aca="false">IF(H424="Ya",IF(M424&lt;&gt;"","SUDAH PLOTTING","BELUM PLOTTING"),"-")</f>
        <v>-</v>
      </c>
      <c r="S424" s="37"/>
      <c r="T424" s="37"/>
    </row>
    <row r="425" customFormat="false" ht="15" hidden="false" customHeight="true" outlineLevel="0" collapsed="false">
      <c r="A425" s="36" t="s">
        <v>1385</v>
      </c>
      <c r="B425" s="37" t="s">
        <v>221</v>
      </c>
      <c r="C425" s="37" t="s">
        <v>433</v>
      </c>
      <c r="D425" s="37" t="s">
        <v>1386</v>
      </c>
      <c r="E425" s="36" t="s">
        <v>79</v>
      </c>
      <c r="F425" s="38" t="s">
        <v>11</v>
      </c>
      <c r="G425" s="36" t="s">
        <v>68</v>
      </c>
      <c r="H425" s="36" t="s">
        <v>658</v>
      </c>
      <c r="I425" s="37" t="n">
        <v>176</v>
      </c>
      <c r="J425" s="37"/>
      <c r="K425" s="37" t="n">
        <v>0</v>
      </c>
      <c r="L425" s="37" t="n">
        <v>0</v>
      </c>
      <c r="M425" s="37"/>
      <c r="N425" s="37"/>
      <c r="O425" s="37" t="s">
        <v>659</v>
      </c>
      <c r="P425" s="37" t="s">
        <v>1387</v>
      </c>
      <c r="Q425" s="37" t="s">
        <v>598</v>
      </c>
      <c r="R425" s="36" t="str">
        <f aca="false">IF(H425="Ya",IF(M425&lt;&gt;"","SUDAH PLOTTING","BELUM PLOTTING"),"-")</f>
        <v>-</v>
      </c>
      <c r="S425" s="37"/>
      <c r="T425" s="37"/>
    </row>
    <row r="426" customFormat="false" ht="15" hidden="false" customHeight="true" outlineLevel="0" collapsed="false">
      <c r="A426" s="36" t="s">
        <v>1388</v>
      </c>
      <c r="B426" s="37" t="s">
        <v>221</v>
      </c>
      <c r="C426" s="37" t="s">
        <v>433</v>
      </c>
      <c r="D426" s="37" t="s">
        <v>1386</v>
      </c>
      <c r="E426" s="36" t="s">
        <v>88</v>
      </c>
      <c r="F426" s="38" t="s">
        <v>11</v>
      </c>
      <c r="G426" s="36" t="s">
        <v>68</v>
      </c>
      <c r="H426" s="36" t="s">
        <v>658</v>
      </c>
      <c r="I426" s="37" t="n">
        <v>131</v>
      </c>
      <c r="J426" s="37"/>
      <c r="K426" s="37" t="n">
        <v>0</v>
      </c>
      <c r="L426" s="37" t="n">
        <v>0</v>
      </c>
      <c r="M426" s="37"/>
      <c r="N426" s="37"/>
      <c r="O426" s="37" t="s">
        <v>659</v>
      </c>
      <c r="P426" s="37" t="s">
        <v>1387</v>
      </c>
      <c r="Q426" s="37" t="s">
        <v>598</v>
      </c>
      <c r="R426" s="36" t="str">
        <f aca="false">IF(H426="Ya",IF(M426&lt;&gt;"","SUDAH PLOTTING","BELUM PLOTTING"),"-")</f>
        <v>-</v>
      </c>
      <c r="S426" s="37"/>
      <c r="T426" s="37"/>
    </row>
    <row r="427" customFormat="false" ht="15" hidden="false" customHeight="true" outlineLevel="0" collapsed="false">
      <c r="A427" s="36" t="s">
        <v>1389</v>
      </c>
      <c r="B427" s="37" t="s">
        <v>221</v>
      </c>
      <c r="C427" s="37" t="s">
        <v>337</v>
      </c>
      <c r="D427" s="37" t="s">
        <v>1390</v>
      </c>
      <c r="E427" s="36" t="s">
        <v>79</v>
      </c>
      <c r="F427" s="42" t="s">
        <v>9</v>
      </c>
      <c r="G427" s="36" t="s">
        <v>658</v>
      </c>
      <c r="H427" s="36" t="s">
        <v>68</v>
      </c>
      <c r="I427" s="37" t="n">
        <v>152</v>
      </c>
      <c r="J427" s="37"/>
      <c r="K427" s="37" t="n">
        <v>2</v>
      </c>
      <c r="L427" s="37" t="n">
        <v>0</v>
      </c>
      <c r="M427" s="37" t="s">
        <v>1391</v>
      </c>
      <c r="N427" s="37"/>
      <c r="O427" s="37" t="s">
        <v>1277</v>
      </c>
      <c r="P427" s="37" t="s">
        <v>1392</v>
      </c>
      <c r="Q427" s="37" t="s">
        <v>1393</v>
      </c>
      <c r="R427" s="36" t="str">
        <f aca="false">IF(H427="Ya",IF(M427&lt;&gt;"","SUDAH PLOTTING","BELUM PLOTTING"),"-")</f>
        <v>SUDAH PLOTTING</v>
      </c>
      <c r="S427" s="37" t="s">
        <v>298</v>
      </c>
      <c r="T427" s="37"/>
      <c r="U427" s="40" t="s">
        <v>692</v>
      </c>
      <c r="V427" s="41" t="s">
        <v>658</v>
      </c>
    </row>
    <row r="428" customFormat="false" ht="15" hidden="false" customHeight="true" outlineLevel="0" collapsed="false">
      <c r="A428" s="36" t="s">
        <v>1394</v>
      </c>
      <c r="B428" s="37" t="s">
        <v>221</v>
      </c>
      <c r="C428" s="37" t="s">
        <v>337</v>
      </c>
      <c r="D428" s="37" t="s">
        <v>1390</v>
      </c>
      <c r="E428" s="36" t="s">
        <v>88</v>
      </c>
      <c r="F428" s="42" t="s">
        <v>9</v>
      </c>
      <c r="G428" s="36" t="s">
        <v>658</v>
      </c>
      <c r="H428" s="36" t="s">
        <v>68</v>
      </c>
      <c r="I428" s="37" t="n">
        <v>136</v>
      </c>
      <c r="J428" s="37"/>
      <c r="K428" s="37" t="n">
        <v>1</v>
      </c>
      <c r="L428" s="37" t="n">
        <v>0</v>
      </c>
      <c r="M428" s="37" t="s">
        <v>1192</v>
      </c>
      <c r="N428" s="37"/>
      <c r="O428" s="37" t="s">
        <v>1277</v>
      </c>
      <c r="P428" s="37" t="s">
        <v>1392</v>
      </c>
      <c r="Q428" s="37" t="s">
        <v>1393</v>
      </c>
      <c r="R428" s="36" t="str">
        <f aca="false">IF(H428="Ya",IF(M428&lt;&gt;"","SUDAH PLOTTING","BELUM PLOTTING"),"-")</f>
        <v>SUDAH PLOTTING</v>
      </c>
      <c r="S428" s="37" t="s">
        <v>192</v>
      </c>
      <c r="T428" s="37"/>
      <c r="U428" s="40" t="s">
        <v>692</v>
      </c>
      <c r="V428" s="41" t="s">
        <v>658</v>
      </c>
    </row>
    <row r="429" customFormat="false" ht="15" hidden="false" customHeight="true" outlineLevel="0" collapsed="false">
      <c r="A429" s="36" t="s">
        <v>1395</v>
      </c>
      <c r="B429" s="37" t="s">
        <v>221</v>
      </c>
      <c r="C429" s="37" t="s">
        <v>337</v>
      </c>
      <c r="D429" s="37" t="s">
        <v>1390</v>
      </c>
      <c r="E429" s="36" t="s">
        <v>92</v>
      </c>
      <c r="F429" s="42" t="s">
        <v>9</v>
      </c>
      <c r="G429" s="36" t="s">
        <v>658</v>
      </c>
      <c r="H429" s="36" t="s">
        <v>68</v>
      </c>
      <c r="I429" s="37" t="n">
        <v>136</v>
      </c>
      <c r="J429" s="37"/>
      <c r="K429" s="37" t="n">
        <v>2</v>
      </c>
      <c r="L429" s="37" t="n">
        <v>0</v>
      </c>
      <c r="M429" s="37" t="s">
        <v>1391</v>
      </c>
      <c r="N429" s="37"/>
      <c r="O429" s="37" t="s">
        <v>1277</v>
      </c>
      <c r="P429" s="37" t="s">
        <v>1392</v>
      </c>
      <c r="Q429" s="37" t="s">
        <v>1393</v>
      </c>
      <c r="R429" s="36" t="str">
        <f aca="false">IF(H429="Ya",IF(M429&lt;&gt;"","SUDAH PLOTTING","BELUM PLOTTING"),"-")</f>
        <v>SUDAH PLOTTING</v>
      </c>
      <c r="S429" s="37" t="s">
        <v>298</v>
      </c>
      <c r="T429" s="37"/>
      <c r="U429" s="40" t="s">
        <v>692</v>
      </c>
      <c r="V429" s="41" t="s">
        <v>658</v>
      </c>
    </row>
    <row r="430" customFormat="false" ht="15" hidden="false" customHeight="true" outlineLevel="0" collapsed="false">
      <c r="A430" s="36" t="s">
        <v>1396</v>
      </c>
      <c r="B430" s="37" t="s">
        <v>221</v>
      </c>
      <c r="C430" s="37" t="s">
        <v>337</v>
      </c>
      <c r="D430" s="37" t="s">
        <v>1397</v>
      </c>
      <c r="E430" s="36" t="s">
        <v>79</v>
      </c>
      <c r="F430" s="42" t="s">
        <v>9</v>
      </c>
      <c r="G430" s="36" t="s">
        <v>658</v>
      </c>
      <c r="H430" s="36" t="s">
        <v>68</v>
      </c>
      <c r="I430" s="37" t="n">
        <v>160</v>
      </c>
      <c r="J430" s="37"/>
      <c r="K430" s="37" t="n">
        <v>2</v>
      </c>
      <c r="L430" s="37" t="n">
        <v>0</v>
      </c>
      <c r="M430" s="37" t="s">
        <v>1391</v>
      </c>
      <c r="N430" s="37"/>
      <c r="O430" s="37" t="s">
        <v>1277</v>
      </c>
      <c r="P430" s="37" t="s">
        <v>1398</v>
      </c>
      <c r="Q430" s="37" t="s">
        <v>1393</v>
      </c>
      <c r="R430" s="36" t="str">
        <f aca="false">IF(H430="Ya",IF(M430&lt;&gt;"","SUDAH PLOTTING","BELUM PLOTTING"),"-")</f>
        <v>SUDAH PLOTTING</v>
      </c>
      <c r="S430" s="37" t="s">
        <v>298</v>
      </c>
      <c r="T430" s="37"/>
      <c r="U430" s="40" t="s">
        <v>692</v>
      </c>
      <c r="V430" s="41" t="s">
        <v>658</v>
      </c>
    </row>
    <row r="431" customFormat="false" ht="15" hidden="false" customHeight="true" outlineLevel="0" collapsed="false">
      <c r="A431" s="36" t="s">
        <v>1399</v>
      </c>
      <c r="B431" s="37" t="s">
        <v>221</v>
      </c>
      <c r="C431" s="37" t="s">
        <v>337</v>
      </c>
      <c r="D431" s="37" t="s">
        <v>1397</v>
      </c>
      <c r="E431" s="36" t="s">
        <v>88</v>
      </c>
      <c r="F431" s="42" t="s">
        <v>9</v>
      </c>
      <c r="G431" s="36" t="s">
        <v>658</v>
      </c>
      <c r="H431" s="36" t="s">
        <v>68</v>
      </c>
      <c r="I431" s="37" t="n">
        <v>133</v>
      </c>
      <c r="J431" s="37"/>
      <c r="K431" s="37" t="n">
        <v>2</v>
      </c>
      <c r="L431" s="37" t="n">
        <v>0</v>
      </c>
      <c r="M431" s="37" t="s">
        <v>1391</v>
      </c>
      <c r="N431" s="37"/>
      <c r="O431" s="37" t="s">
        <v>1277</v>
      </c>
      <c r="P431" s="37" t="s">
        <v>1398</v>
      </c>
      <c r="Q431" s="37" t="s">
        <v>1393</v>
      </c>
      <c r="R431" s="36" t="str">
        <f aca="false">IF(H431="Ya",IF(M431&lt;&gt;"","SUDAH PLOTTING","BELUM PLOTTING"),"-")</f>
        <v>SUDAH PLOTTING</v>
      </c>
      <c r="S431" s="37" t="s">
        <v>298</v>
      </c>
      <c r="T431" s="37"/>
      <c r="U431" s="40" t="s">
        <v>692</v>
      </c>
      <c r="V431" s="41" t="s">
        <v>658</v>
      </c>
    </row>
    <row r="432" customFormat="false" ht="15" hidden="false" customHeight="true" outlineLevel="0" collapsed="false">
      <c r="A432" s="36" t="s">
        <v>1400</v>
      </c>
      <c r="B432" s="37" t="s">
        <v>221</v>
      </c>
      <c r="C432" s="37" t="s">
        <v>337</v>
      </c>
      <c r="D432" s="37" t="s">
        <v>1397</v>
      </c>
      <c r="E432" s="36" t="s">
        <v>92</v>
      </c>
      <c r="F432" s="42" t="s">
        <v>9</v>
      </c>
      <c r="G432" s="36" t="s">
        <v>658</v>
      </c>
      <c r="H432" s="36" t="s">
        <v>68</v>
      </c>
      <c r="I432" s="37" t="n">
        <v>141</v>
      </c>
      <c r="J432" s="37"/>
      <c r="K432" s="37" t="n">
        <v>2</v>
      </c>
      <c r="L432" s="37" t="n">
        <v>0</v>
      </c>
      <c r="M432" s="37" t="s">
        <v>1391</v>
      </c>
      <c r="N432" s="37"/>
      <c r="O432" s="37" t="s">
        <v>1277</v>
      </c>
      <c r="P432" s="37" t="s">
        <v>1398</v>
      </c>
      <c r="Q432" s="37" t="s">
        <v>1393</v>
      </c>
      <c r="R432" s="36" t="str">
        <f aca="false">IF(H432="Ya",IF(M432&lt;&gt;"","SUDAH PLOTTING","BELUM PLOTTING"),"-")</f>
        <v>SUDAH PLOTTING</v>
      </c>
      <c r="S432" s="37" t="s">
        <v>298</v>
      </c>
      <c r="T432" s="37"/>
      <c r="U432" s="40" t="s">
        <v>692</v>
      </c>
      <c r="V432" s="41" t="s">
        <v>658</v>
      </c>
    </row>
    <row r="433" customFormat="false" ht="15" hidden="false" customHeight="true" outlineLevel="0" collapsed="false">
      <c r="A433" s="36" t="s">
        <v>1401</v>
      </c>
      <c r="B433" s="37" t="s">
        <v>221</v>
      </c>
      <c r="C433" s="37" t="s">
        <v>337</v>
      </c>
      <c r="D433" s="37" t="s">
        <v>977</v>
      </c>
      <c r="E433" s="36" t="s">
        <v>79</v>
      </c>
      <c r="F433" s="42" t="s">
        <v>9</v>
      </c>
      <c r="G433" s="36" t="s">
        <v>658</v>
      </c>
      <c r="H433" s="36" t="s">
        <v>68</v>
      </c>
      <c r="I433" s="37" t="n">
        <v>159</v>
      </c>
      <c r="J433" s="37"/>
      <c r="K433" s="37" t="n">
        <v>1</v>
      </c>
      <c r="L433" s="37" t="n">
        <v>0</v>
      </c>
      <c r="M433" s="37" t="s">
        <v>1195</v>
      </c>
      <c r="N433" s="37"/>
      <c r="O433" s="37" t="s">
        <v>1277</v>
      </c>
      <c r="P433" s="37" t="s">
        <v>1402</v>
      </c>
      <c r="Q433" s="37" t="s">
        <v>1393</v>
      </c>
      <c r="R433" s="36" t="str">
        <f aca="false">IF(H433="Ya",IF(M433&lt;&gt;"","SUDAH PLOTTING","BELUM PLOTTING"),"-")</f>
        <v>SUDAH PLOTTING</v>
      </c>
      <c r="S433" s="37" t="s">
        <v>192</v>
      </c>
      <c r="T433" s="37"/>
      <c r="U433" s="40" t="s">
        <v>692</v>
      </c>
      <c r="V433" s="41" t="s">
        <v>658</v>
      </c>
    </row>
    <row r="434" customFormat="false" ht="15" hidden="false" customHeight="true" outlineLevel="0" collapsed="false">
      <c r="A434" s="36" t="s">
        <v>1403</v>
      </c>
      <c r="B434" s="37" t="s">
        <v>221</v>
      </c>
      <c r="C434" s="37" t="s">
        <v>337</v>
      </c>
      <c r="D434" s="37" t="s">
        <v>977</v>
      </c>
      <c r="E434" s="36" t="s">
        <v>88</v>
      </c>
      <c r="F434" s="42" t="s">
        <v>9</v>
      </c>
      <c r="G434" s="36" t="s">
        <v>658</v>
      </c>
      <c r="H434" s="36" t="s">
        <v>68</v>
      </c>
      <c r="I434" s="37" t="n">
        <v>149</v>
      </c>
      <c r="J434" s="37"/>
      <c r="K434" s="37" t="n">
        <v>1</v>
      </c>
      <c r="L434" s="37" t="n">
        <v>0</v>
      </c>
      <c r="M434" s="37" t="s">
        <v>1189</v>
      </c>
      <c r="N434" s="37"/>
      <c r="O434" s="37" t="s">
        <v>1277</v>
      </c>
      <c r="P434" s="37" t="s">
        <v>1402</v>
      </c>
      <c r="Q434" s="37" t="s">
        <v>1393</v>
      </c>
      <c r="R434" s="36" t="str">
        <f aca="false">IF(H434="Ya",IF(M434&lt;&gt;"","SUDAH PLOTTING","BELUM PLOTTING"),"-")</f>
        <v>SUDAH PLOTTING</v>
      </c>
      <c r="S434" s="37" t="s">
        <v>298</v>
      </c>
      <c r="T434" s="37"/>
      <c r="U434" s="40" t="s">
        <v>692</v>
      </c>
      <c r="V434" s="41" t="s">
        <v>658</v>
      </c>
    </row>
    <row r="435" customFormat="false" ht="15" hidden="false" customHeight="true" outlineLevel="0" collapsed="false">
      <c r="A435" s="36" t="s">
        <v>1404</v>
      </c>
      <c r="B435" s="37" t="s">
        <v>221</v>
      </c>
      <c r="C435" s="37" t="s">
        <v>337</v>
      </c>
      <c r="D435" s="37" t="s">
        <v>977</v>
      </c>
      <c r="E435" s="36" t="s">
        <v>92</v>
      </c>
      <c r="F435" s="42" t="s">
        <v>9</v>
      </c>
      <c r="G435" s="36" t="s">
        <v>658</v>
      </c>
      <c r="H435" s="36" t="s">
        <v>68</v>
      </c>
      <c r="I435" s="37" t="n">
        <v>121</v>
      </c>
      <c r="J435" s="37"/>
      <c r="K435" s="37" t="n">
        <v>1</v>
      </c>
      <c r="L435" s="37" t="n">
        <v>0</v>
      </c>
      <c r="M435" s="37" t="s">
        <v>1391</v>
      </c>
      <c r="N435" s="37"/>
      <c r="O435" s="37" t="s">
        <v>1277</v>
      </c>
      <c r="P435" s="37" t="s">
        <v>1402</v>
      </c>
      <c r="Q435" s="37" t="s">
        <v>1393</v>
      </c>
      <c r="R435" s="36" t="str">
        <f aca="false">IF(H435="Ya",IF(M435&lt;&gt;"","SUDAH PLOTTING","BELUM PLOTTING"),"-")</f>
        <v>SUDAH PLOTTING</v>
      </c>
      <c r="S435" s="37" t="s">
        <v>298</v>
      </c>
      <c r="T435" s="37"/>
      <c r="U435" s="40" t="s">
        <v>692</v>
      </c>
      <c r="V435" s="41" t="s">
        <v>658</v>
      </c>
    </row>
    <row r="436" customFormat="false" ht="15" hidden="false" customHeight="true" outlineLevel="0" collapsed="false">
      <c r="A436" s="36" t="s">
        <v>1405</v>
      </c>
      <c r="B436" s="37" t="s">
        <v>221</v>
      </c>
      <c r="C436" s="37" t="s">
        <v>337</v>
      </c>
      <c r="D436" s="37" t="s">
        <v>1406</v>
      </c>
      <c r="E436" s="36" t="s">
        <v>79</v>
      </c>
      <c r="F436" s="42" t="s">
        <v>9</v>
      </c>
      <c r="G436" s="36" t="s">
        <v>658</v>
      </c>
      <c r="H436" s="36" t="s">
        <v>68</v>
      </c>
      <c r="I436" s="37" t="n">
        <v>146</v>
      </c>
      <c r="J436" s="37"/>
      <c r="K436" s="37" t="n">
        <v>2</v>
      </c>
      <c r="L436" s="37" t="n">
        <v>0</v>
      </c>
      <c r="M436" s="37" t="s">
        <v>1407</v>
      </c>
      <c r="N436" s="37"/>
      <c r="O436" s="37" t="s">
        <v>1277</v>
      </c>
      <c r="P436" s="37" t="s">
        <v>1408</v>
      </c>
      <c r="Q436" s="37" t="s">
        <v>1393</v>
      </c>
      <c r="R436" s="36" t="str">
        <f aca="false">IF(H436="Ya",IF(M436&lt;&gt;"","SUDAH PLOTTING","BELUM PLOTTING"),"-")</f>
        <v>SUDAH PLOTTING</v>
      </c>
      <c r="S436" s="37" t="s">
        <v>192</v>
      </c>
      <c r="T436" s="37"/>
      <c r="U436" s="40" t="s">
        <v>692</v>
      </c>
      <c r="V436" s="41" t="s">
        <v>658</v>
      </c>
    </row>
    <row r="437" customFormat="false" ht="15" hidden="false" customHeight="true" outlineLevel="0" collapsed="false">
      <c r="A437" s="36" t="s">
        <v>1409</v>
      </c>
      <c r="B437" s="37" t="s">
        <v>221</v>
      </c>
      <c r="C437" s="37" t="s">
        <v>337</v>
      </c>
      <c r="D437" s="37" t="s">
        <v>1406</v>
      </c>
      <c r="E437" s="36" t="s">
        <v>88</v>
      </c>
      <c r="F437" s="42" t="s">
        <v>9</v>
      </c>
      <c r="G437" s="36" t="s">
        <v>658</v>
      </c>
      <c r="H437" s="36" t="s">
        <v>68</v>
      </c>
      <c r="I437" s="37" t="n">
        <v>114</v>
      </c>
      <c r="J437" s="37"/>
      <c r="K437" s="37" t="n">
        <v>2</v>
      </c>
      <c r="L437" s="37" t="n">
        <v>0</v>
      </c>
      <c r="M437" s="37" t="s">
        <v>1407</v>
      </c>
      <c r="N437" s="37"/>
      <c r="O437" s="37" t="s">
        <v>1277</v>
      </c>
      <c r="P437" s="37" t="s">
        <v>1408</v>
      </c>
      <c r="Q437" s="37" t="s">
        <v>1393</v>
      </c>
      <c r="R437" s="36" t="str">
        <f aca="false">IF(H437="Ya",IF(M437&lt;&gt;"","SUDAH PLOTTING","BELUM PLOTTING"),"-")</f>
        <v>SUDAH PLOTTING</v>
      </c>
      <c r="S437" s="37" t="s">
        <v>192</v>
      </c>
      <c r="T437" s="37"/>
      <c r="U437" s="40" t="s">
        <v>692</v>
      </c>
      <c r="V437" s="41" t="s">
        <v>658</v>
      </c>
    </row>
    <row r="438" customFormat="false" ht="15" hidden="false" customHeight="true" outlineLevel="0" collapsed="false">
      <c r="A438" s="36" t="s">
        <v>1410</v>
      </c>
      <c r="B438" s="37" t="s">
        <v>221</v>
      </c>
      <c r="C438" s="37" t="s">
        <v>337</v>
      </c>
      <c r="D438" s="37" t="s">
        <v>1411</v>
      </c>
      <c r="E438" s="36" t="s">
        <v>79</v>
      </c>
      <c r="F438" s="42" t="s">
        <v>9</v>
      </c>
      <c r="G438" s="36" t="s">
        <v>658</v>
      </c>
      <c r="H438" s="36" t="s">
        <v>68</v>
      </c>
      <c r="I438" s="37" t="n">
        <v>136</v>
      </c>
      <c r="J438" s="37"/>
      <c r="K438" s="37" t="n">
        <v>2</v>
      </c>
      <c r="L438" s="37" t="n">
        <v>0</v>
      </c>
      <c r="M438" s="37" t="s">
        <v>1407</v>
      </c>
      <c r="N438" s="37"/>
      <c r="O438" s="37" t="s">
        <v>1277</v>
      </c>
      <c r="P438" s="37" t="s">
        <v>1412</v>
      </c>
      <c r="Q438" s="37" t="s">
        <v>1393</v>
      </c>
      <c r="R438" s="36" t="str">
        <f aca="false">IF(H438="Ya",IF(M438&lt;&gt;"","SUDAH PLOTTING","BELUM PLOTTING"),"-")</f>
        <v>SUDAH PLOTTING</v>
      </c>
      <c r="S438" s="37" t="s">
        <v>192</v>
      </c>
      <c r="T438" s="37"/>
      <c r="U438" s="40" t="s">
        <v>692</v>
      </c>
      <c r="V438" s="41" t="s">
        <v>658</v>
      </c>
    </row>
    <row r="439" customFormat="false" ht="15" hidden="false" customHeight="true" outlineLevel="0" collapsed="false">
      <c r="A439" s="36" t="s">
        <v>1413</v>
      </c>
      <c r="B439" s="37" t="s">
        <v>221</v>
      </c>
      <c r="C439" s="37" t="s">
        <v>337</v>
      </c>
      <c r="D439" s="37" t="s">
        <v>1411</v>
      </c>
      <c r="E439" s="36" t="s">
        <v>88</v>
      </c>
      <c r="F439" s="42" t="s">
        <v>9</v>
      </c>
      <c r="G439" s="36" t="s">
        <v>658</v>
      </c>
      <c r="H439" s="36" t="s">
        <v>68</v>
      </c>
      <c r="I439" s="37" t="n">
        <v>143</v>
      </c>
      <c r="J439" s="37"/>
      <c r="K439" s="37" t="n">
        <v>1</v>
      </c>
      <c r="L439" s="37" t="n">
        <v>0</v>
      </c>
      <c r="M439" s="37" t="s">
        <v>1189</v>
      </c>
      <c r="N439" s="37"/>
      <c r="O439" s="37" t="s">
        <v>1277</v>
      </c>
      <c r="P439" s="37" t="s">
        <v>1412</v>
      </c>
      <c r="Q439" s="37" t="s">
        <v>1393</v>
      </c>
      <c r="R439" s="36" t="str">
        <f aca="false">IF(H439="Ya",IF(M439&lt;&gt;"","SUDAH PLOTTING","BELUM PLOTTING"),"-")</f>
        <v>SUDAH PLOTTING</v>
      </c>
      <c r="S439" s="37" t="s">
        <v>298</v>
      </c>
      <c r="T439" s="37"/>
      <c r="U439" s="40" t="s">
        <v>692</v>
      </c>
      <c r="V439" s="41" t="s">
        <v>658</v>
      </c>
    </row>
    <row r="440" customFormat="false" ht="15" hidden="false" customHeight="true" outlineLevel="0" collapsed="false">
      <c r="A440" s="36" t="s">
        <v>1414</v>
      </c>
      <c r="B440" s="37" t="s">
        <v>221</v>
      </c>
      <c r="C440" s="37" t="s">
        <v>337</v>
      </c>
      <c r="D440" s="37" t="s">
        <v>1411</v>
      </c>
      <c r="E440" s="36" t="s">
        <v>92</v>
      </c>
      <c r="F440" s="42" t="s">
        <v>9</v>
      </c>
      <c r="G440" s="36" t="s">
        <v>658</v>
      </c>
      <c r="H440" s="36" t="s">
        <v>68</v>
      </c>
      <c r="I440" s="37" t="n">
        <v>163</v>
      </c>
      <c r="J440" s="37"/>
      <c r="K440" s="37" t="n">
        <v>2</v>
      </c>
      <c r="L440" s="37" t="n">
        <v>0</v>
      </c>
      <c r="M440" s="37" t="s">
        <v>1138</v>
      </c>
      <c r="N440" s="37"/>
      <c r="O440" s="37" t="s">
        <v>1277</v>
      </c>
      <c r="P440" s="37" t="s">
        <v>1412</v>
      </c>
      <c r="Q440" s="37" t="s">
        <v>1393</v>
      </c>
      <c r="R440" s="36" t="str">
        <f aca="false">IF(H440="Ya",IF(M440&lt;&gt;"","SUDAH PLOTTING","BELUM PLOTTING"),"-")</f>
        <v>SUDAH PLOTTING</v>
      </c>
      <c r="S440" s="37" t="s">
        <v>298</v>
      </c>
      <c r="T440" s="37"/>
      <c r="U440" s="40" t="s">
        <v>692</v>
      </c>
      <c r="V440" s="41" t="s">
        <v>658</v>
      </c>
    </row>
    <row r="441" customFormat="false" ht="15" hidden="false" customHeight="true" outlineLevel="0" collapsed="false">
      <c r="A441" s="36" t="s">
        <v>1415</v>
      </c>
      <c r="B441" s="37" t="s">
        <v>221</v>
      </c>
      <c r="C441" s="37" t="s">
        <v>222</v>
      </c>
      <c r="D441" s="37" t="s">
        <v>1416</v>
      </c>
      <c r="E441" s="36" t="s">
        <v>79</v>
      </c>
      <c r="F441" s="38" t="s">
        <v>11</v>
      </c>
      <c r="G441" s="36" t="s">
        <v>68</v>
      </c>
      <c r="H441" s="36" t="s">
        <v>658</v>
      </c>
      <c r="I441" s="37" t="n">
        <v>176</v>
      </c>
      <c r="J441" s="37"/>
      <c r="K441" s="37" t="n">
        <v>0</v>
      </c>
      <c r="L441" s="37" t="n">
        <v>0</v>
      </c>
      <c r="M441" s="37"/>
      <c r="N441" s="37"/>
      <c r="O441" s="37" t="s">
        <v>659</v>
      </c>
      <c r="P441" s="37" t="s">
        <v>1417</v>
      </c>
      <c r="Q441" s="37" t="s">
        <v>624</v>
      </c>
      <c r="R441" s="36" t="str">
        <f aca="false">IF(H441="Ya",IF(M441&lt;&gt;"","SUDAH PLOTTING","BELUM PLOTTING"),"-")</f>
        <v>-</v>
      </c>
      <c r="S441" s="37"/>
      <c r="T441" s="37"/>
    </row>
    <row r="442" customFormat="false" ht="15" hidden="false" customHeight="true" outlineLevel="0" collapsed="false">
      <c r="A442" s="36" t="s">
        <v>1418</v>
      </c>
      <c r="B442" s="37" t="s">
        <v>221</v>
      </c>
      <c r="C442" s="37" t="s">
        <v>222</v>
      </c>
      <c r="D442" s="37" t="s">
        <v>1416</v>
      </c>
      <c r="E442" s="36" t="s">
        <v>88</v>
      </c>
      <c r="F442" s="38" t="s">
        <v>11</v>
      </c>
      <c r="G442" s="36" t="s">
        <v>68</v>
      </c>
      <c r="H442" s="36" t="s">
        <v>658</v>
      </c>
      <c r="I442" s="37" t="n">
        <v>113</v>
      </c>
      <c r="J442" s="37"/>
      <c r="K442" s="37" t="n">
        <v>0</v>
      </c>
      <c r="L442" s="37" t="n">
        <v>0</v>
      </c>
      <c r="M442" s="37"/>
      <c r="N442" s="37"/>
      <c r="O442" s="37" t="s">
        <v>659</v>
      </c>
      <c r="P442" s="37" t="s">
        <v>1417</v>
      </c>
      <c r="Q442" s="37" t="s">
        <v>624</v>
      </c>
      <c r="R442" s="36" t="str">
        <f aca="false">IF(H442="Ya",IF(M442&lt;&gt;"","SUDAH PLOTTING","BELUM PLOTTING"),"-")</f>
        <v>-</v>
      </c>
      <c r="S442" s="37"/>
      <c r="T442" s="37"/>
    </row>
    <row r="443" customFormat="false" ht="15" hidden="false" customHeight="true" outlineLevel="0" collapsed="false">
      <c r="A443" s="36" t="s">
        <v>1419</v>
      </c>
      <c r="B443" s="37" t="s">
        <v>221</v>
      </c>
      <c r="C443" s="37" t="s">
        <v>222</v>
      </c>
      <c r="D443" s="37" t="s">
        <v>1416</v>
      </c>
      <c r="E443" s="36" t="s">
        <v>92</v>
      </c>
      <c r="F443" s="38" t="s">
        <v>11</v>
      </c>
      <c r="G443" s="36" t="s">
        <v>68</v>
      </c>
      <c r="H443" s="36" t="s">
        <v>658</v>
      </c>
      <c r="I443" s="37" t="n">
        <v>142</v>
      </c>
      <c r="J443" s="37"/>
      <c r="K443" s="37" t="n">
        <v>0</v>
      </c>
      <c r="L443" s="37" t="n">
        <v>0</v>
      </c>
      <c r="M443" s="37"/>
      <c r="N443" s="37"/>
      <c r="O443" s="37" t="s">
        <v>659</v>
      </c>
      <c r="P443" s="37" t="s">
        <v>1417</v>
      </c>
      <c r="Q443" s="37" t="s">
        <v>624</v>
      </c>
      <c r="R443" s="36" t="str">
        <f aca="false">IF(H443="Ya",IF(M443&lt;&gt;"","SUDAH PLOTTING","BELUM PLOTTING"),"-")</f>
        <v>-</v>
      </c>
      <c r="S443" s="37"/>
      <c r="T443" s="37"/>
    </row>
    <row r="444" customFormat="false" ht="15" hidden="false" customHeight="true" outlineLevel="0" collapsed="false">
      <c r="A444" s="36" t="s">
        <v>224</v>
      </c>
      <c r="B444" s="37" t="s">
        <v>221</v>
      </c>
      <c r="C444" s="37" t="s">
        <v>222</v>
      </c>
      <c r="D444" s="37" t="s">
        <v>223</v>
      </c>
      <c r="E444" s="36" t="s">
        <v>62</v>
      </c>
      <c r="F444" s="39" t="s">
        <v>7</v>
      </c>
      <c r="G444" s="36" t="s">
        <v>68</v>
      </c>
      <c r="H444" s="36" t="s">
        <v>68</v>
      </c>
      <c r="I444" s="37" t="n">
        <v>155</v>
      </c>
      <c r="J444" s="37" t="n">
        <v>1</v>
      </c>
      <c r="K444" s="37" t="n">
        <v>0</v>
      </c>
      <c r="L444" s="37" t="n">
        <v>0</v>
      </c>
      <c r="M444" s="37"/>
      <c r="N444" s="37" t="n">
        <v>1</v>
      </c>
      <c r="O444" s="37" t="s">
        <v>749</v>
      </c>
      <c r="P444" s="37" t="s">
        <v>1420</v>
      </c>
      <c r="Q444" s="37" t="s">
        <v>624</v>
      </c>
      <c r="R444" s="36" t="str">
        <f aca="false">IF(H444="Ya",IF(M444&lt;&gt;"","SUDAH PLOTTING","BELUM PLOTTING"),"-")</f>
        <v>BELUM PLOTTING</v>
      </c>
      <c r="S444" s="37" t="s">
        <v>76</v>
      </c>
      <c r="T444" s="37" t="s">
        <v>1421</v>
      </c>
      <c r="U444" s="40" t="s">
        <v>1167</v>
      </c>
      <c r="V444" s="41" t="s">
        <v>658</v>
      </c>
    </row>
    <row r="445" customFormat="false" ht="15" hidden="false" customHeight="true" outlineLevel="0" collapsed="false">
      <c r="A445" s="36" t="s">
        <v>1422</v>
      </c>
      <c r="B445" s="37" t="s">
        <v>221</v>
      </c>
      <c r="C445" s="37" t="s">
        <v>222</v>
      </c>
      <c r="D445" s="37" t="s">
        <v>1423</v>
      </c>
      <c r="E445" s="36" t="s">
        <v>62</v>
      </c>
      <c r="F445" s="38" t="s">
        <v>11</v>
      </c>
      <c r="G445" s="36" t="s">
        <v>68</v>
      </c>
      <c r="H445" s="36" t="s">
        <v>658</v>
      </c>
      <c r="I445" s="37" t="n">
        <v>198</v>
      </c>
      <c r="J445" s="37"/>
      <c r="K445" s="37" t="n">
        <v>0</v>
      </c>
      <c r="L445" s="37" t="n">
        <v>1</v>
      </c>
      <c r="M445" s="37"/>
      <c r="N445" s="37"/>
      <c r="O445" s="37" t="s">
        <v>916</v>
      </c>
      <c r="P445" s="37" t="s">
        <v>1424</v>
      </c>
      <c r="Q445" s="37" t="s">
        <v>624</v>
      </c>
      <c r="R445" s="36" t="str">
        <f aca="false">IF(H445="Ya",IF(M445&lt;&gt;"","SUDAH PLOTTING","BELUM PLOTTING"),"-")</f>
        <v>-</v>
      </c>
      <c r="S445" s="37"/>
      <c r="T445" s="37"/>
    </row>
    <row r="446" customFormat="false" ht="15" hidden="false" customHeight="true" outlineLevel="0" collapsed="false">
      <c r="A446" s="36" t="s">
        <v>1425</v>
      </c>
      <c r="B446" s="37" t="s">
        <v>221</v>
      </c>
      <c r="C446" s="37" t="s">
        <v>222</v>
      </c>
      <c r="D446" s="37" t="s">
        <v>1426</v>
      </c>
      <c r="E446" s="36" t="s">
        <v>62</v>
      </c>
      <c r="F446" s="39" t="s">
        <v>7</v>
      </c>
      <c r="G446" s="36" t="s">
        <v>68</v>
      </c>
      <c r="H446" s="36" t="s">
        <v>68</v>
      </c>
      <c r="I446" s="37" t="n">
        <v>86</v>
      </c>
      <c r="J446" s="37"/>
      <c r="K446" s="37" t="n">
        <v>1</v>
      </c>
      <c r="L446" s="37" t="n">
        <v>0</v>
      </c>
      <c r="M446" s="37" t="s">
        <v>1427</v>
      </c>
      <c r="N446" s="37" t="n">
        <v>14</v>
      </c>
      <c r="O446" s="37"/>
      <c r="P446" s="37" t="s">
        <v>1428</v>
      </c>
      <c r="Q446" s="37" t="s">
        <v>624</v>
      </c>
      <c r="R446" s="36" t="str">
        <f aca="false">IF(H446="Ya",IF(M446&lt;&gt;"","SUDAH PLOTTING","BELUM PLOTTING"),"-")</f>
        <v>SUDAH PLOTTING</v>
      </c>
      <c r="S446" s="37" t="s">
        <v>192</v>
      </c>
      <c r="T446" s="37"/>
      <c r="U446" s="40" t="s">
        <v>692</v>
      </c>
      <c r="V446" s="40" t="s">
        <v>68</v>
      </c>
    </row>
    <row r="447" customFormat="false" ht="15" hidden="false" customHeight="true" outlineLevel="0" collapsed="false">
      <c r="A447" s="36" t="s">
        <v>1429</v>
      </c>
      <c r="B447" s="37" t="s">
        <v>221</v>
      </c>
      <c r="C447" s="37" t="s">
        <v>222</v>
      </c>
      <c r="D447" s="37" t="s">
        <v>1005</v>
      </c>
      <c r="E447" s="36" t="s">
        <v>79</v>
      </c>
      <c r="F447" s="39" t="s">
        <v>7</v>
      </c>
      <c r="G447" s="36" t="s">
        <v>68</v>
      </c>
      <c r="H447" s="36" t="s">
        <v>68</v>
      </c>
      <c r="I447" s="37" t="n">
        <v>134</v>
      </c>
      <c r="J447" s="37"/>
      <c r="K447" s="37" t="n">
        <v>1</v>
      </c>
      <c r="L447" s="37" t="n">
        <v>1</v>
      </c>
      <c r="M447" s="37" t="s">
        <v>1391</v>
      </c>
      <c r="N447" s="37" t="n">
        <v>2</v>
      </c>
      <c r="O447" s="37"/>
      <c r="P447" s="37" t="s">
        <v>1430</v>
      </c>
      <c r="Q447" s="37" t="s">
        <v>624</v>
      </c>
      <c r="R447" s="36" t="str">
        <f aca="false">IF(H447="Ya",IF(M447&lt;&gt;"","SUDAH PLOTTING","BELUM PLOTTING"),"-")</f>
        <v>SUDAH PLOTTING</v>
      </c>
      <c r="S447" s="37" t="s">
        <v>298</v>
      </c>
      <c r="T447" s="37"/>
      <c r="U447" s="40" t="s">
        <v>692</v>
      </c>
      <c r="V447" s="41" t="s">
        <v>658</v>
      </c>
    </row>
    <row r="448" customFormat="false" ht="15" hidden="false" customHeight="true" outlineLevel="0" collapsed="false">
      <c r="A448" s="36" t="s">
        <v>1431</v>
      </c>
      <c r="B448" s="37" t="s">
        <v>221</v>
      </c>
      <c r="C448" s="37" t="s">
        <v>222</v>
      </c>
      <c r="D448" s="37" t="s">
        <v>1005</v>
      </c>
      <c r="E448" s="36" t="s">
        <v>88</v>
      </c>
      <c r="F448" s="39" t="s">
        <v>7</v>
      </c>
      <c r="G448" s="36" t="s">
        <v>68</v>
      </c>
      <c r="H448" s="36" t="s">
        <v>68</v>
      </c>
      <c r="I448" s="37" t="n">
        <v>113</v>
      </c>
      <c r="J448" s="37"/>
      <c r="K448" s="37" t="n">
        <v>1</v>
      </c>
      <c r="L448" s="37" t="n">
        <v>1</v>
      </c>
      <c r="M448" s="37" t="s">
        <v>1432</v>
      </c>
      <c r="N448" s="37" t="n">
        <v>2</v>
      </c>
      <c r="O448" s="37"/>
      <c r="P448" s="37" t="s">
        <v>1430</v>
      </c>
      <c r="Q448" s="37" t="s">
        <v>624</v>
      </c>
      <c r="R448" s="36" t="str">
        <f aca="false">IF(H448="Ya",IF(M448&lt;&gt;"","SUDAH PLOTTING","BELUM PLOTTING"),"-")</f>
        <v>SUDAH PLOTTING</v>
      </c>
      <c r="S448" s="37" t="s">
        <v>192</v>
      </c>
      <c r="T448" s="37"/>
      <c r="U448" s="40" t="s">
        <v>692</v>
      </c>
      <c r="V448" s="40" t="s">
        <v>68</v>
      </c>
    </row>
    <row r="449" customFormat="false" ht="15" hidden="false" customHeight="true" outlineLevel="0" collapsed="false">
      <c r="A449" s="36" t="s">
        <v>1433</v>
      </c>
      <c r="B449" s="37" t="s">
        <v>221</v>
      </c>
      <c r="C449" s="37" t="s">
        <v>340</v>
      </c>
      <c r="D449" s="37" t="s">
        <v>1434</v>
      </c>
      <c r="E449" s="36" t="s">
        <v>79</v>
      </c>
      <c r="F449" s="39" t="s">
        <v>7</v>
      </c>
      <c r="G449" s="36" t="s">
        <v>68</v>
      </c>
      <c r="H449" s="36" t="s">
        <v>68</v>
      </c>
      <c r="I449" s="37" t="n">
        <v>147</v>
      </c>
      <c r="J449" s="37" t="n">
        <v>75</v>
      </c>
      <c r="K449" s="37" t="n">
        <v>17</v>
      </c>
      <c r="L449" s="37" t="n">
        <v>0</v>
      </c>
      <c r="M449" s="37" t="s">
        <v>1435</v>
      </c>
      <c r="N449" s="37" t="n">
        <v>1218</v>
      </c>
      <c r="O449" s="37"/>
      <c r="P449" s="37" t="s">
        <v>1436</v>
      </c>
      <c r="Q449" s="37" t="s">
        <v>641</v>
      </c>
      <c r="R449" s="36" t="str">
        <f aca="false">IF(H449="Ya",IF(M449&lt;&gt;"","SUDAH PLOTTING","BELUM PLOTTING"),"-")</f>
        <v>SUDAH PLOTTING</v>
      </c>
      <c r="S449" s="37" t="s">
        <v>212</v>
      </c>
      <c r="T449" s="37"/>
      <c r="U449" s="40" t="s">
        <v>692</v>
      </c>
      <c r="V449" s="41" t="s">
        <v>658</v>
      </c>
    </row>
    <row r="450" customFormat="false" ht="15" hidden="false" customHeight="true" outlineLevel="0" collapsed="false">
      <c r="A450" s="36" t="s">
        <v>1437</v>
      </c>
      <c r="B450" s="37" t="s">
        <v>221</v>
      </c>
      <c r="C450" s="37" t="s">
        <v>340</v>
      </c>
      <c r="D450" s="37" t="s">
        <v>1434</v>
      </c>
      <c r="E450" s="36" t="s">
        <v>88</v>
      </c>
      <c r="F450" s="39" t="s">
        <v>7</v>
      </c>
      <c r="G450" s="36" t="s">
        <v>68</v>
      </c>
      <c r="H450" s="36" t="s">
        <v>68</v>
      </c>
      <c r="I450" s="37" t="n">
        <v>155</v>
      </c>
      <c r="J450" s="37" t="n">
        <v>75</v>
      </c>
      <c r="K450" s="37" t="n">
        <v>17</v>
      </c>
      <c r="L450" s="37" t="n">
        <v>0</v>
      </c>
      <c r="M450" s="37" t="s">
        <v>1432</v>
      </c>
      <c r="N450" s="37" t="n">
        <v>1218</v>
      </c>
      <c r="O450" s="37"/>
      <c r="P450" s="37" t="s">
        <v>1436</v>
      </c>
      <c r="Q450" s="37" t="s">
        <v>641</v>
      </c>
      <c r="R450" s="36" t="str">
        <f aca="false">IF(H450="Ya",IF(M450&lt;&gt;"","SUDAH PLOTTING","BELUM PLOTTING"),"-")</f>
        <v>SUDAH PLOTTING</v>
      </c>
      <c r="S450" s="37" t="s">
        <v>192</v>
      </c>
      <c r="T450" s="37"/>
      <c r="U450" s="40" t="s">
        <v>692</v>
      </c>
      <c r="V450" s="40" t="s">
        <v>68</v>
      </c>
    </row>
    <row r="451" customFormat="false" ht="15" hidden="false" customHeight="true" outlineLevel="0" collapsed="false">
      <c r="A451" s="36" t="s">
        <v>1438</v>
      </c>
      <c r="B451" s="37" t="s">
        <v>221</v>
      </c>
      <c r="C451" s="37" t="s">
        <v>340</v>
      </c>
      <c r="D451" s="37" t="s">
        <v>1434</v>
      </c>
      <c r="E451" s="36" t="s">
        <v>92</v>
      </c>
      <c r="F451" s="39" t="s">
        <v>7</v>
      </c>
      <c r="G451" s="36" t="s">
        <v>68</v>
      </c>
      <c r="H451" s="36" t="s">
        <v>68</v>
      </c>
      <c r="I451" s="37" t="n">
        <v>174</v>
      </c>
      <c r="J451" s="37" t="n">
        <v>75</v>
      </c>
      <c r="K451" s="37" t="n">
        <v>17</v>
      </c>
      <c r="L451" s="37" t="n">
        <v>0</v>
      </c>
      <c r="M451" s="37" t="s">
        <v>1439</v>
      </c>
      <c r="N451" s="37" t="n">
        <v>1218</v>
      </c>
      <c r="O451" s="37"/>
      <c r="P451" s="37" t="s">
        <v>1436</v>
      </c>
      <c r="Q451" s="37" t="s">
        <v>641</v>
      </c>
      <c r="R451" s="36" t="str">
        <f aca="false">IF(H451="Ya",IF(M451&lt;&gt;"","SUDAH PLOTTING","BELUM PLOTTING"),"-")</f>
        <v>SUDAH PLOTTING</v>
      </c>
      <c r="S451" s="37" t="s">
        <v>58</v>
      </c>
      <c r="T451" s="37"/>
      <c r="U451" s="40" t="s">
        <v>692</v>
      </c>
      <c r="V451" s="40" t="s">
        <v>68</v>
      </c>
    </row>
    <row r="452" customFormat="false" ht="15" hidden="false" customHeight="true" outlineLevel="0" collapsed="false">
      <c r="A452" s="36" t="s">
        <v>1440</v>
      </c>
      <c r="B452" s="37" t="s">
        <v>221</v>
      </c>
      <c r="C452" s="37" t="s">
        <v>340</v>
      </c>
      <c r="D452" s="37" t="s">
        <v>1434</v>
      </c>
      <c r="E452" s="36" t="s">
        <v>97</v>
      </c>
      <c r="F452" s="39" t="s">
        <v>7</v>
      </c>
      <c r="G452" s="36" t="s">
        <v>68</v>
      </c>
      <c r="H452" s="36" t="s">
        <v>68</v>
      </c>
      <c r="I452" s="37" t="n">
        <v>143</v>
      </c>
      <c r="J452" s="37" t="n">
        <v>75</v>
      </c>
      <c r="K452" s="37" t="n">
        <v>17</v>
      </c>
      <c r="L452" s="37" t="n">
        <v>0</v>
      </c>
      <c r="M452" s="37" t="s">
        <v>1441</v>
      </c>
      <c r="N452" s="37" t="n">
        <v>1218</v>
      </c>
      <c r="O452" s="37"/>
      <c r="P452" s="37" t="s">
        <v>1436</v>
      </c>
      <c r="Q452" s="37" t="s">
        <v>641</v>
      </c>
      <c r="R452" s="36" t="str">
        <f aca="false">IF(H452="Ya",IF(M452&lt;&gt;"","SUDAH PLOTTING","BELUM PLOTTING"),"-")</f>
        <v>SUDAH PLOTTING</v>
      </c>
      <c r="S452" s="37" t="s">
        <v>58</v>
      </c>
      <c r="T452" s="37"/>
      <c r="U452" s="40" t="s">
        <v>692</v>
      </c>
      <c r="V452" s="40" t="s">
        <v>68</v>
      </c>
    </row>
    <row r="453" customFormat="false" ht="15" hidden="false" customHeight="true" outlineLevel="0" collapsed="false">
      <c r="A453" s="36" t="s">
        <v>1442</v>
      </c>
      <c r="B453" s="37" t="s">
        <v>221</v>
      </c>
      <c r="C453" s="37" t="s">
        <v>340</v>
      </c>
      <c r="D453" s="37" t="s">
        <v>1434</v>
      </c>
      <c r="E453" s="36" t="s">
        <v>103</v>
      </c>
      <c r="F453" s="39" t="s">
        <v>7</v>
      </c>
      <c r="G453" s="36" t="s">
        <v>68</v>
      </c>
      <c r="H453" s="36" t="s">
        <v>68</v>
      </c>
      <c r="I453" s="37" t="n">
        <v>152</v>
      </c>
      <c r="J453" s="37" t="n">
        <v>75</v>
      </c>
      <c r="K453" s="37" t="n">
        <v>17</v>
      </c>
      <c r="L453" s="37" t="n">
        <v>0</v>
      </c>
      <c r="M453" s="37" t="s">
        <v>1439</v>
      </c>
      <c r="N453" s="37" t="n">
        <v>1218</v>
      </c>
      <c r="O453" s="37"/>
      <c r="P453" s="37" t="s">
        <v>1436</v>
      </c>
      <c r="Q453" s="37" t="s">
        <v>641</v>
      </c>
      <c r="R453" s="36" t="str">
        <f aca="false">IF(H453="Ya",IF(M453&lt;&gt;"","SUDAH PLOTTING","BELUM PLOTTING"),"-")</f>
        <v>SUDAH PLOTTING</v>
      </c>
      <c r="S453" s="37" t="s">
        <v>58</v>
      </c>
      <c r="T453" s="37"/>
      <c r="U453" s="40" t="s">
        <v>692</v>
      </c>
      <c r="V453" s="40" t="s">
        <v>68</v>
      </c>
    </row>
    <row r="454" customFormat="false" ht="15" hidden="false" customHeight="true" outlineLevel="0" collapsed="false">
      <c r="A454" s="36" t="s">
        <v>1443</v>
      </c>
      <c r="B454" s="37" t="s">
        <v>221</v>
      </c>
      <c r="C454" s="37" t="s">
        <v>340</v>
      </c>
      <c r="D454" s="37" t="s">
        <v>1434</v>
      </c>
      <c r="E454" s="36" t="s">
        <v>111</v>
      </c>
      <c r="F454" s="39" t="s">
        <v>7</v>
      </c>
      <c r="G454" s="36" t="s">
        <v>68</v>
      </c>
      <c r="H454" s="36" t="s">
        <v>68</v>
      </c>
      <c r="I454" s="37" t="n">
        <v>183</v>
      </c>
      <c r="J454" s="37" t="n">
        <v>75</v>
      </c>
      <c r="K454" s="37" t="n">
        <v>17</v>
      </c>
      <c r="L454" s="37" t="n">
        <v>0</v>
      </c>
      <c r="M454" s="37" t="s">
        <v>1444</v>
      </c>
      <c r="N454" s="37" t="n">
        <v>1218</v>
      </c>
      <c r="O454" s="37"/>
      <c r="P454" s="37" t="s">
        <v>1436</v>
      </c>
      <c r="Q454" s="37" t="s">
        <v>641</v>
      </c>
      <c r="R454" s="36" t="str">
        <f aca="false">IF(H454="Ya",IF(M454&lt;&gt;"","SUDAH PLOTTING","BELUM PLOTTING"),"-")</f>
        <v>SUDAH PLOTTING</v>
      </c>
      <c r="S454" s="37" t="s">
        <v>58</v>
      </c>
      <c r="T454" s="37"/>
      <c r="U454" s="40" t="s">
        <v>692</v>
      </c>
      <c r="V454" s="40" t="s">
        <v>68</v>
      </c>
    </row>
    <row r="455" customFormat="false" ht="15" hidden="false" customHeight="true" outlineLevel="0" collapsed="false">
      <c r="A455" s="36" t="s">
        <v>1445</v>
      </c>
      <c r="B455" s="37" t="s">
        <v>221</v>
      </c>
      <c r="C455" s="37" t="s">
        <v>340</v>
      </c>
      <c r="D455" s="37" t="s">
        <v>1434</v>
      </c>
      <c r="E455" s="36" t="s">
        <v>166</v>
      </c>
      <c r="F455" s="39" t="s">
        <v>7</v>
      </c>
      <c r="G455" s="36" t="s">
        <v>68</v>
      </c>
      <c r="H455" s="36" t="s">
        <v>68</v>
      </c>
      <c r="I455" s="37" t="n">
        <v>164</v>
      </c>
      <c r="J455" s="37" t="n">
        <v>75</v>
      </c>
      <c r="K455" s="37" t="n">
        <v>17</v>
      </c>
      <c r="L455" s="37" t="n">
        <v>0</v>
      </c>
      <c r="M455" s="37" t="s">
        <v>1446</v>
      </c>
      <c r="N455" s="37" t="n">
        <v>1218</v>
      </c>
      <c r="O455" s="37"/>
      <c r="P455" s="37" t="s">
        <v>1436</v>
      </c>
      <c r="Q455" s="37" t="s">
        <v>641</v>
      </c>
      <c r="R455" s="36" t="str">
        <f aca="false">IF(H455="Ya",IF(M455&lt;&gt;"","SUDAH PLOTTING","BELUM PLOTTING"),"-")</f>
        <v>SUDAH PLOTTING</v>
      </c>
      <c r="S455" s="37" t="s">
        <v>212</v>
      </c>
      <c r="T455" s="37"/>
      <c r="U455" s="40" t="s">
        <v>692</v>
      </c>
      <c r="V455" s="41" t="s">
        <v>658</v>
      </c>
    </row>
    <row r="456" customFormat="false" ht="15" hidden="false" customHeight="true" outlineLevel="0" collapsed="false">
      <c r="A456" s="36" t="s">
        <v>1447</v>
      </c>
      <c r="B456" s="37" t="s">
        <v>221</v>
      </c>
      <c r="C456" s="37" t="s">
        <v>340</v>
      </c>
      <c r="D456" s="37" t="s">
        <v>1434</v>
      </c>
      <c r="E456" s="36" t="s">
        <v>719</v>
      </c>
      <c r="F456" s="39" t="s">
        <v>7</v>
      </c>
      <c r="G456" s="36" t="s">
        <v>68</v>
      </c>
      <c r="H456" s="36" t="s">
        <v>68</v>
      </c>
      <c r="I456" s="37" t="n">
        <v>137</v>
      </c>
      <c r="J456" s="37" t="n">
        <v>75</v>
      </c>
      <c r="K456" s="37" t="n">
        <v>17</v>
      </c>
      <c r="L456" s="37" t="n">
        <v>0</v>
      </c>
      <c r="M456" s="37" t="s">
        <v>1448</v>
      </c>
      <c r="N456" s="37" t="n">
        <v>1218</v>
      </c>
      <c r="O456" s="37"/>
      <c r="P456" s="37" t="s">
        <v>1436</v>
      </c>
      <c r="Q456" s="37" t="s">
        <v>641</v>
      </c>
      <c r="R456" s="36" t="str">
        <f aca="false">IF(H456="Ya",IF(M456&lt;&gt;"","SUDAH PLOTTING","BELUM PLOTTING"),"-")</f>
        <v>SUDAH PLOTTING</v>
      </c>
      <c r="S456" s="37" t="s">
        <v>58</v>
      </c>
      <c r="T456" s="37"/>
      <c r="U456" s="40" t="s">
        <v>692</v>
      </c>
      <c r="V456" s="40" t="s">
        <v>68</v>
      </c>
    </row>
    <row r="457" customFormat="false" ht="15" hidden="false" customHeight="true" outlineLevel="0" collapsed="false">
      <c r="A457" s="36" t="s">
        <v>1449</v>
      </c>
      <c r="B457" s="37" t="s">
        <v>221</v>
      </c>
      <c r="C457" s="37" t="s">
        <v>340</v>
      </c>
      <c r="D457" s="37" t="s">
        <v>1434</v>
      </c>
      <c r="E457" s="36" t="s">
        <v>721</v>
      </c>
      <c r="F457" s="39" t="s">
        <v>7</v>
      </c>
      <c r="G457" s="36" t="s">
        <v>68</v>
      </c>
      <c r="H457" s="36" t="s">
        <v>68</v>
      </c>
      <c r="I457" s="37" t="n">
        <v>184</v>
      </c>
      <c r="J457" s="37" t="n">
        <v>75</v>
      </c>
      <c r="K457" s="37" t="n">
        <v>17</v>
      </c>
      <c r="L457" s="37" t="n">
        <v>0</v>
      </c>
      <c r="M457" s="37" t="s">
        <v>1450</v>
      </c>
      <c r="N457" s="37" t="n">
        <v>1218</v>
      </c>
      <c r="O457" s="37"/>
      <c r="P457" s="37" t="s">
        <v>1436</v>
      </c>
      <c r="Q457" s="37" t="s">
        <v>641</v>
      </c>
      <c r="R457" s="36" t="str">
        <f aca="false">IF(H457="Ya",IF(M457&lt;&gt;"","SUDAH PLOTTING","BELUM PLOTTING"),"-")</f>
        <v>SUDAH PLOTTING</v>
      </c>
      <c r="S457" s="37" t="s">
        <v>315</v>
      </c>
      <c r="T457" s="37"/>
      <c r="U457" s="40" t="s">
        <v>692</v>
      </c>
      <c r="V457" s="40" t="s">
        <v>68</v>
      </c>
    </row>
    <row r="458" customFormat="false" ht="15" hidden="false" customHeight="true" outlineLevel="0" collapsed="false">
      <c r="A458" s="36" t="s">
        <v>1451</v>
      </c>
      <c r="B458" s="37" t="s">
        <v>221</v>
      </c>
      <c r="C458" s="37" t="s">
        <v>340</v>
      </c>
      <c r="D458" s="37" t="s">
        <v>1434</v>
      </c>
      <c r="E458" s="36" t="s">
        <v>723</v>
      </c>
      <c r="F458" s="39" t="s">
        <v>7</v>
      </c>
      <c r="G458" s="36" t="s">
        <v>68</v>
      </c>
      <c r="H458" s="36" t="s">
        <v>68</v>
      </c>
      <c r="I458" s="37" t="n">
        <v>168</v>
      </c>
      <c r="J458" s="37" t="n">
        <v>75</v>
      </c>
      <c r="K458" s="37" t="n">
        <v>17</v>
      </c>
      <c r="L458" s="37" t="n">
        <v>0</v>
      </c>
      <c r="M458" s="37" t="s">
        <v>1441</v>
      </c>
      <c r="N458" s="37" t="n">
        <v>1218</v>
      </c>
      <c r="O458" s="37"/>
      <c r="P458" s="37" t="s">
        <v>1436</v>
      </c>
      <c r="Q458" s="37" t="s">
        <v>641</v>
      </c>
      <c r="R458" s="36" t="str">
        <f aca="false">IF(H458="Ya",IF(M458&lt;&gt;"","SUDAH PLOTTING","BELUM PLOTTING"),"-")</f>
        <v>SUDAH PLOTTING</v>
      </c>
      <c r="S458" s="37" t="s">
        <v>58</v>
      </c>
      <c r="T458" s="37"/>
      <c r="U458" s="40" t="s">
        <v>692</v>
      </c>
      <c r="V458" s="40" t="s">
        <v>68</v>
      </c>
    </row>
    <row r="459" customFormat="false" ht="15" hidden="false" customHeight="true" outlineLevel="0" collapsed="false">
      <c r="A459" s="36" t="s">
        <v>1452</v>
      </c>
      <c r="B459" s="37" t="s">
        <v>221</v>
      </c>
      <c r="C459" s="37" t="s">
        <v>340</v>
      </c>
      <c r="D459" s="37" t="s">
        <v>1453</v>
      </c>
      <c r="E459" s="36" t="s">
        <v>79</v>
      </c>
      <c r="F459" s="39" t="s">
        <v>7</v>
      </c>
      <c r="G459" s="36" t="s">
        <v>68</v>
      </c>
      <c r="H459" s="36" t="s">
        <v>68</v>
      </c>
      <c r="I459" s="37" t="n">
        <v>166</v>
      </c>
      <c r="J459" s="37"/>
      <c r="K459" s="37" t="n">
        <v>3</v>
      </c>
      <c r="L459" s="37" t="n">
        <v>1</v>
      </c>
      <c r="M459" s="37" t="s">
        <v>1189</v>
      </c>
      <c r="N459" s="37" t="n">
        <v>5</v>
      </c>
      <c r="O459" s="37"/>
      <c r="P459" s="37" t="s">
        <v>1454</v>
      </c>
      <c r="Q459" s="37" t="s">
        <v>641</v>
      </c>
      <c r="R459" s="36" t="str">
        <f aca="false">IF(H459="Ya",IF(M459&lt;&gt;"","SUDAH PLOTTING","BELUM PLOTTING"),"-")</f>
        <v>SUDAH PLOTTING</v>
      </c>
      <c r="S459" s="37" t="s">
        <v>298</v>
      </c>
      <c r="T459" s="37"/>
      <c r="U459" s="40" t="s">
        <v>692</v>
      </c>
      <c r="V459" s="40" t="s">
        <v>68</v>
      </c>
    </row>
    <row r="460" customFormat="false" ht="15" hidden="false" customHeight="true" outlineLevel="0" collapsed="false">
      <c r="A460" s="36" t="s">
        <v>1455</v>
      </c>
      <c r="B460" s="37" t="s">
        <v>221</v>
      </c>
      <c r="C460" s="37" t="s">
        <v>340</v>
      </c>
      <c r="D460" s="37" t="s">
        <v>1453</v>
      </c>
      <c r="E460" s="36" t="s">
        <v>88</v>
      </c>
      <c r="F460" s="39" t="s">
        <v>7</v>
      </c>
      <c r="G460" s="36" t="s">
        <v>68</v>
      </c>
      <c r="H460" s="36" t="s">
        <v>68</v>
      </c>
      <c r="I460" s="37" t="n">
        <v>157</v>
      </c>
      <c r="J460" s="37"/>
      <c r="K460" s="37" t="n">
        <v>2</v>
      </c>
      <c r="L460" s="37" t="n">
        <v>1</v>
      </c>
      <c r="M460" s="37" t="s">
        <v>1192</v>
      </c>
      <c r="N460" s="37" t="n">
        <v>5</v>
      </c>
      <c r="O460" s="37"/>
      <c r="P460" s="37" t="s">
        <v>1454</v>
      </c>
      <c r="Q460" s="37" t="s">
        <v>641</v>
      </c>
      <c r="R460" s="36" t="str">
        <f aca="false">IF(H460="Ya",IF(M460&lt;&gt;"","SUDAH PLOTTING","BELUM PLOTTING"),"-")</f>
        <v>SUDAH PLOTTING</v>
      </c>
      <c r="S460" s="37" t="s">
        <v>192</v>
      </c>
      <c r="T460" s="37"/>
      <c r="U460" s="40" t="s">
        <v>692</v>
      </c>
      <c r="V460" s="40" t="s">
        <v>68</v>
      </c>
    </row>
    <row r="461" customFormat="false" ht="15" hidden="false" customHeight="true" outlineLevel="0" collapsed="false">
      <c r="A461" s="36" t="s">
        <v>1456</v>
      </c>
      <c r="B461" s="37" t="s">
        <v>221</v>
      </c>
      <c r="C461" s="37" t="s">
        <v>340</v>
      </c>
      <c r="D461" s="37" t="s">
        <v>1453</v>
      </c>
      <c r="E461" s="36" t="s">
        <v>92</v>
      </c>
      <c r="F461" s="39" t="s">
        <v>7</v>
      </c>
      <c r="G461" s="36" t="s">
        <v>68</v>
      </c>
      <c r="H461" s="36" t="s">
        <v>68</v>
      </c>
      <c r="I461" s="37" t="n">
        <v>139</v>
      </c>
      <c r="J461" s="37"/>
      <c r="K461" s="37" t="n">
        <v>2</v>
      </c>
      <c r="L461" s="37" t="n">
        <v>1</v>
      </c>
      <c r="M461" s="37" t="s">
        <v>1192</v>
      </c>
      <c r="N461" s="37" t="n">
        <v>5</v>
      </c>
      <c r="O461" s="37"/>
      <c r="P461" s="37" t="s">
        <v>1454</v>
      </c>
      <c r="Q461" s="37" t="s">
        <v>641</v>
      </c>
      <c r="R461" s="36" t="str">
        <f aca="false">IF(H461="Ya",IF(M461&lt;&gt;"","SUDAH PLOTTING","BELUM PLOTTING"),"-")</f>
        <v>SUDAH PLOTTING</v>
      </c>
      <c r="S461" s="37" t="s">
        <v>192</v>
      </c>
      <c r="T461" s="37"/>
      <c r="U461" s="40" t="s">
        <v>692</v>
      </c>
      <c r="V461" s="40" t="s">
        <v>68</v>
      </c>
    </row>
    <row r="462" customFormat="false" ht="15" hidden="false" customHeight="true" outlineLevel="0" collapsed="false">
      <c r="A462" s="36" t="s">
        <v>1457</v>
      </c>
      <c r="B462" s="37" t="s">
        <v>221</v>
      </c>
      <c r="C462" s="37" t="s">
        <v>340</v>
      </c>
      <c r="D462" s="37" t="s">
        <v>1453</v>
      </c>
      <c r="E462" s="36" t="s">
        <v>97</v>
      </c>
      <c r="F462" s="39" t="s">
        <v>7</v>
      </c>
      <c r="G462" s="36" t="s">
        <v>68</v>
      </c>
      <c r="H462" s="36" t="s">
        <v>68</v>
      </c>
      <c r="I462" s="37" t="n">
        <v>130</v>
      </c>
      <c r="J462" s="37"/>
      <c r="K462" s="37" t="n">
        <v>1</v>
      </c>
      <c r="L462" s="37" t="n">
        <v>1</v>
      </c>
      <c r="M462" s="37" t="s">
        <v>1458</v>
      </c>
      <c r="N462" s="37" t="n">
        <v>5</v>
      </c>
      <c r="O462" s="37"/>
      <c r="P462" s="37" t="s">
        <v>1454</v>
      </c>
      <c r="Q462" s="37" t="s">
        <v>641</v>
      </c>
      <c r="R462" s="36" t="str">
        <f aca="false">IF(H462="Ya",IF(M462&lt;&gt;"","SUDAH PLOTTING","BELUM PLOTTING"),"-")</f>
        <v>SUDAH PLOTTING</v>
      </c>
      <c r="S462" s="37" t="s">
        <v>192</v>
      </c>
      <c r="T462" s="37"/>
      <c r="U462" s="40" t="s">
        <v>692</v>
      </c>
      <c r="V462" s="40" t="s">
        <v>68</v>
      </c>
    </row>
    <row r="463" customFormat="false" ht="15" hidden="false" customHeight="true" outlineLevel="0" collapsed="false">
      <c r="A463" s="36" t="s">
        <v>1459</v>
      </c>
      <c r="B463" s="37" t="s">
        <v>221</v>
      </c>
      <c r="C463" s="37" t="s">
        <v>340</v>
      </c>
      <c r="D463" s="37" t="s">
        <v>1453</v>
      </c>
      <c r="E463" s="36" t="s">
        <v>103</v>
      </c>
      <c r="F463" s="39" t="s">
        <v>7</v>
      </c>
      <c r="G463" s="36" t="s">
        <v>68</v>
      </c>
      <c r="H463" s="36" t="s">
        <v>68</v>
      </c>
      <c r="I463" s="37" t="n">
        <v>183</v>
      </c>
      <c r="J463" s="37"/>
      <c r="K463" s="37" t="n">
        <v>1</v>
      </c>
      <c r="L463" s="37" t="n">
        <v>1</v>
      </c>
      <c r="M463" s="37" t="s">
        <v>1458</v>
      </c>
      <c r="N463" s="37" t="n">
        <v>5</v>
      </c>
      <c r="O463" s="37"/>
      <c r="P463" s="37" t="s">
        <v>1454</v>
      </c>
      <c r="Q463" s="37" t="s">
        <v>641</v>
      </c>
      <c r="R463" s="36" t="str">
        <f aca="false">IF(H463="Ya",IF(M463&lt;&gt;"","SUDAH PLOTTING","BELUM PLOTTING"),"-")</f>
        <v>SUDAH PLOTTING</v>
      </c>
      <c r="S463" s="37" t="s">
        <v>192</v>
      </c>
      <c r="T463" s="37"/>
      <c r="U463" s="40" t="s">
        <v>692</v>
      </c>
      <c r="V463" s="40" t="s">
        <v>68</v>
      </c>
    </row>
    <row r="464" customFormat="false" ht="15" hidden="false" customHeight="true" outlineLevel="0" collapsed="false">
      <c r="A464" s="36" t="s">
        <v>1460</v>
      </c>
      <c r="B464" s="37" t="s">
        <v>221</v>
      </c>
      <c r="C464" s="37" t="s">
        <v>340</v>
      </c>
      <c r="D464" s="37" t="s">
        <v>1453</v>
      </c>
      <c r="E464" s="36" t="s">
        <v>111</v>
      </c>
      <c r="F464" s="39" t="s">
        <v>7</v>
      </c>
      <c r="G464" s="36" t="s">
        <v>68</v>
      </c>
      <c r="H464" s="36" t="s">
        <v>68</v>
      </c>
      <c r="I464" s="37" t="n">
        <v>130</v>
      </c>
      <c r="J464" s="37"/>
      <c r="K464" s="37" t="n">
        <v>1</v>
      </c>
      <c r="L464" s="37" t="n">
        <v>1</v>
      </c>
      <c r="M464" s="37" t="s">
        <v>1192</v>
      </c>
      <c r="N464" s="37" t="n">
        <v>5</v>
      </c>
      <c r="O464" s="37"/>
      <c r="P464" s="37" t="s">
        <v>1454</v>
      </c>
      <c r="Q464" s="37" t="s">
        <v>641</v>
      </c>
      <c r="R464" s="36" t="str">
        <f aca="false">IF(H464="Ya",IF(M464&lt;&gt;"","SUDAH PLOTTING","BELUM PLOTTING"),"-")</f>
        <v>SUDAH PLOTTING</v>
      </c>
      <c r="S464" s="37" t="s">
        <v>192</v>
      </c>
      <c r="T464" s="37"/>
      <c r="U464" s="40" t="s">
        <v>692</v>
      </c>
      <c r="V464" s="40" t="s">
        <v>68</v>
      </c>
    </row>
    <row r="465" customFormat="false" ht="15" hidden="false" customHeight="true" outlineLevel="0" collapsed="false">
      <c r="A465" s="36" t="s">
        <v>1461</v>
      </c>
      <c r="B465" s="37" t="s">
        <v>221</v>
      </c>
      <c r="C465" s="37" t="s">
        <v>340</v>
      </c>
      <c r="D465" s="37" t="s">
        <v>1453</v>
      </c>
      <c r="E465" s="36" t="s">
        <v>166</v>
      </c>
      <c r="F465" s="38" t="s">
        <v>11</v>
      </c>
      <c r="G465" s="36" t="s">
        <v>68</v>
      </c>
      <c r="H465" s="36" t="s">
        <v>658</v>
      </c>
      <c r="I465" s="37" t="n">
        <v>145</v>
      </c>
      <c r="J465" s="37"/>
      <c r="K465" s="37" t="n">
        <v>0</v>
      </c>
      <c r="L465" s="37" t="n">
        <v>1</v>
      </c>
      <c r="M465" s="37"/>
      <c r="N465" s="37" t="n">
        <v>5</v>
      </c>
      <c r="O465" s="37" t="s">
        <v>1462</v>
      </c>
      <c r="P465" s="37" t="s">
        <v>1454</v>
      </c>
      <c r="Q465" s="37" t="s">
        <v>641</v>
      </c>
      <c r="R465" s="36" t="str">
        <f aca="false">IF(H465="Ya",IF(M465&lt;&gt;"","SUDAH PLOTTING","BELUM PLOTTING"),"-")</f>
        <v>-</v>
      </c>
      <c r="S465" s="37"/>
      <c r="T465" s="37"/>
    </row>
    <row r="466" customFormat="false" ht="15" hidden="false" customHeight="true" outlineLevel="0" collapsed="false">
      <c r="A466" s="36" t="s">
        <v>1463</v>
      </c>
      <c r="B466" s="37" t="s">
        <v>221</v>
      </c>
      <c r="C466" s="37" t="s">
        <v>340</v>
      </c>
      <c r="D466" s="37" t="s">
        <v>1453</v>
      </c>
      <c r="E466" s="36" t="s">
        <v>719</v>
      </c>
      <c r="F466" s="38" t="s">
        <v>11</v>
      </c>
      <c r="G466" s="36" t="s">
        <v>68</v>
      </c>
      <c r="H466" s="36" t="s">
        <v>658</v>
      </c>
      <c r="I466" s="37" t="n">
        <v>163</v>
      </c>
      <c r="J466" s="37"/>
      <c r="K466" s="37" t="n">
        <v>0</v>
      </c>
      <c r="L466" s="37" t="n">
        <v>1</v>
      </c>
      <c r="M466" s="37"/>
      <c r="N466" s="37" t="n">
        <v>5</v>
      </c>
      <c r="O466" s="37" t="s">
        <v>1462</v>
      </c>
      <c r="P466" s="37" t="s">
        <v>1454</v>
      </c>
      <c r="Q466" s="37" t="s">
        <v>641</v>
      </c>
      <c r="R466" s="36" t="str">
        <f aca="false">IF(H466="Ya",IF(M466&lt;&gt;"","SUDAH PLOTTING","BELUM PLOTTING"),"-")</f>
        <v>-</v>
      </c>
      <c r="S466" s="37"/>
      <c r="T466" s="37"/>
    </row>
    <row r="467" customFormat="false" ht="15" hidden="false" customHeight="true" outlineLevel="0" collapsed="false">
      <c r="A467" s="36" t="s">
        <v>1464</v>
      </c>
      <c r="B467" s="37" t="s">
        <v>221</v>
      </c>
      <c r="C467" s="37" t="s">
        <v>340</v>
      </c>
      <c r="D467" s="37" t="s">
        <v>1453</v>
      </c>
      <c r="E467" s="36" t="s">
        <v>721</v>
      </c>
      <c r="F467" s="39" t="s">
        <v>7</v>
      </c>
      <c r="G467" s="36" t="s">
        <v>68</v>
      </c>
      <c r="H467" s="36" t="s">
        <v>68</v>
      </c>
      <c r="I467" s="37" t="n">
        <v>136</v>
      </c>
      <c r="J467" s="37"/>
      <c r="K467" s="37" t="n">
        <v>1</v>
      </c>
      <c r="L467" s="37" t="n">
        <v>1</v>
      </c>
      <c r="M467" s="37" t="s">
        <v>1458</v>
      </c>
      <c r="N467" s="37" t="n">
        <v>5</v>
      </c>
      <c r="O467" s="37"/>
      <c r="P467" s="37" t="s">
        <v>1454</v>
      </c>
      <c r="Q467" s="37" t="s">
        <v>641</v>
      </c>
      <c r="R467" s="36" t="str">
        <f aca="false">IF(H467="Ya",IF(M467&lt;&gt;"","SUDAH PLOTTING","BELUM PLOTTING"),"-")</f>
        <v>SUDAH PLOTTING</v>
      </c>
      <c r="S467" s="37" t="s">
        <v>192</v>
      </c>
      <c r="T467" s="37"/>
      <c r="U467" s="40" t="s">
        <v>692</v>
      </c>
      <c r="V467" s="40" t="s">
        <v>68</v>
      </c>
    </row>
    <row r="468" customFormat="false" ht="15" hidden="false" customHeight="true" outlineLevel="0" collapsed="false">
      <c r="A468" s="36" t="s">
        <v>1465</v>
      </c>
      <c r="B468" s="37" t="s">
        <v>221</v>
      </c>
      <c r="C468" s="37" t="s">
        <v>340</v>
      </c>
      <c r="D468" s="37" t="s">
        <v>1466</v>
      </c>
      <c r="E468" s="36" t="s">
        <v>79</v>
      </c>
      <c r="F468" s="39" t="s">
        <v>7</v>
      </c>
      <c r="G468" s="36" t="s">
        <v>68</v>
      </c>
      <c r="H468" s="36" t="s">
        <v>68</v>
      </c>
      <c r="I468" s="37" t="n">
        <v>123</v>
      </c>
      <c r="J468" s="37"/>
      <c r="K468" s="37" t="n">
        <v>6</v>
      </c>
      <c r="L468" s="37" t="n">
        <v>0</v>
      </c>
      <c r="M468" s="37" t="s">
        <v>1467</v>
      </c>
      <c r="N468" s="37" t="n">
        <v>757</v>
      </c>
      <c r="O468" s="37"/>
      <c r="P468" s="37" t="s">
        <v>1468</v>
      </c>
      <c r="Q468" s="37" t="s">
        <v>641</v>
      </c>
      <c r="R468" s="36" t="str">
        <f aca="false">IF(H468="Ya",IF(M468&lt;&gt;"","SUDAH PLOTTING","BELUM PLOTTING"),"-")</f>
        <v>SUDAH PLOTTING</v>
      </c>
      <c r="S468" s="37" t="s">
        <v>315</v>
      </c>
      <c r="T468" s="37"/>
      <c r="U468" s="40" t="s">
        <v>692</v>
      </c>
      <c r="V468" s="40" t="s">
        <v>68</v>
      </c>
    </row>
    <row r="469" customFormat="false" ht="15" hidden="false" customHeight="true" outlineLevel="0" collapsed="false">
      <c r="A469" s="36" t="s">
        <v>1469</v>
      </c>
      <c r="B469" s="37" t="s">
        <v>221</v>
      </c>
      <c r="C469" s="37" t="s">
        <v>340</v>
      </c>
      <c r="D469" s="37" t="s">
        <v>1466</v>
      </c>
      <c r="E469" s="36" t="s">
        <v>88</v>
      </c>
      <c r="F469" s="39" t="s">
        <v>7</v>
      </c>
      <c r="G469" s="36" t="s">
        <v>68</v>
      </c>
      <c r="H469" s="36" t="s">
        <v>68</v>
      </c>
      <c r="I469" s="37" t="n">
        <v>121</v>
      </c>
      <c r="J469" s="37"/>
      <c r="K469" s="37" t="n">
        <v>9</v>
      </c>
      <c r="L469" s="37" t="n">
        <v>0</v>
      </c>
      <c r="M469" s="37" t="s">
        <v>1470</v>
      </c>
      <c r="N469" s="37" t="n">
        <v>757</v>
      </c>
      <c r="O469" s="37"/>
      <c r="P469" s="37" t="s">
        <v>1468</v>
      </c>
      <c r="Q469" s="37" t="s">
        <v>641</v>
      </c>
      <c r="R469" s="36" t="str">
        <f aca="false">IF(H469="Ya",IF(M469&lt;&gt;"","SUDAH PLOTTING","BELUM PLOTTING"),"-")</f>
        <v>SUDAH PLOTTING</v>
      </c>
      <c r="S469" s="37" t="s">
        <v>192</v>
      </c>
      <c r="T469" s="37"/>
      <c r="U469" s="40" t="s">
        <v>692</v>
      </c>
      <c r="V469" s="40" t="s">
        <v>68</v>
      </c>
    </row>
    <row r="470" customFormat="false" ht="15" hidden="false" customHeight="true" outlineLevel="0" collapsed="false">
      <c r="A470" s="36" t="s">
        <v>1471</v>
      </c>
      <c r="B470" s="37" t="s">
        <v>221</v>
      </c>
      <c r="C470" s="37" t="s">
        <v>340</v>
      </c>
      <c r="D470" s="37" t="s">
        <v>1466</v>
      </c>
      <c r="E470" s="36" t="s">
        <v>92</v>
      </c>
      <c r="F470" s="39" t="s">
        <v>7</v>
      </c>
      <c r="G470" s="36" t="s">
        <v>68</v>
      </c>
      <c r="H470" s="36" t="s">
        <v>68</v>
      </c>
      <c r="I470" s="37" t="n">
        <v>180</v>
      </c>
      <c r="J470" s="37"/>
      <c r="K470" s="37" t="n">
        <v>6</v>
      </c>
      <c r="L470" s="37" t="n">
        <v>0</v>
      </c>
      <c r="M470" s="37" t="s">
        <v>1472</v>
      </c>
      <c r="N470" s="37" t="n">
        <v>757</v>
      </c>
      <c r="O470" s="37"/>
      <c r="P470" s="37" t="s">
        <v>1468</v>
      </c>
      <c r="Q470" s="37" t="s">
        <v>641</v>
      </c>
      <c r="R470" s="36" t="str">
        <f aca="false">IF(H470="Ya",IF(M470&lt;&gt;"","SUDAH PLOTTING","BELUM PLOTTING"),"-")</f>
        <v>SUDAH PLOTTING</v>
      </c>
      <c r="S470" s="37" t="s">
        <v>315</v>
      </c>
      <c r="T470" s="37"/>
      <c r="U470" s="40" t="s">
        <v>692</v>
      </c>
      <c r="V470" s="40" t="s">
        <v>68</v>
      </c>
    </row>
    <row r="471" customFormat="false" ht="15" hidden="false" customHeight="true" outlineLevel="0" collapsed="false">
      <c r="A471" s="36" t="s">
        <v>1473</v>
      </c>
      <c r="B471" s="37" t="s">
        <v>221</v>
      </c>
      <c r="C471" s="37" t="s">
        <v>340</v>
      </c>
      <c r="D471" s="37" t="s">
        <v>1466</v>
      </c>
      <c r="E471" s="36" t="s">
        <v>97</v>
      </c>
      <c r="F471" s="39" t="s">
        <v>7</v>
      </c>
      <c r="G471" s="36" t="s">
        <v>68</v>
      </c>
      <c r="H471" s="36" t="s">
        <v>68</v>
      </c>
      <c r="I471" s="37" t="n">
        <v>188</v>
      </c>
      <c r="J471" s="37"/>
      <c r="K471" s="37" t="n">
        <v>5</v>
      </c>
      <c r="L471" s="37" t="n">
        <v>1</v>
      </c>
      <c r="M471" s="37" t="s">
        <v>1474</v>
      </c>
      <c r="N471" s="37" t="n">
        <v>757</v>
      </c>
      <c r="O471" s="37"/>
      <c r="P471" s="37" t="s">
        <v>1468</v>
      </c>
      <c r="Q471" s="37" t="s">
        <v>641</v>
      </c>
      <c r="R471" s="36" t="str">
        <f aca="false">IF(H471="Ya",IF(M471&lt;&gt;"","SUDAH PLOTTING","BELUM PLOTTING"),"-")</f>
        <v>SUDAH PLOTTING</v>
      </c>
      <c r="S471" s="37" t="s">
        <v>315</v>
      </c>
      <c r="T471" s="37"/>
      <c r="U471" s="40" t="s">
        <v>692</v>
      </c>
      <c r="V471" s="40" t="s">
        <v>68</v>
      </c>
    </row>
    <row r="472" customFormat="false" ht="15" hidden="false" customHeight="true" outlineLevel="0" collapsed="false">
      <c r="A472" s="36" t="s">
        <v>1475</v>
      </c>
      <c r="B472" s="37" t="s">
        <v>221</v>
      </c>
      <c r="C472" s="37" t="s">
        <v>340</v>
      </c>
      <c r="D472" s="37" t="s">
        <v>1466</v>
      </c>
      <c r="E472" s="36" t="s">
        <v>103</v>
      </c>
      <c r="F472" s="39" t="s">
        <v>7</v>
      </c>
      <c r="G472" s="36" t="s">
        <v>68</v>
      </c>
      <c r="H472" s="36" t="s">
        <v>68</v>
      </c>
      <c r="I472" s="37" t="n">
        <v>192</v>
      </c>
      <c r="J472" s="37"/>
      <c r="K472" s="37" t="n">
        <v>5</v>
      </c>
      <c r="L472" s="37" t="n">
        <v>1</v>
      </c>
      <c r="M472" s="37" t="s">
        <v>1476</v>
      </c>
      <c r="N472" s="37" t="n">
        <v>757</v>
      </c>
      <c r="O472" s="37"/>
      <c r="P472" s="37" t="s">
        <v>1468</v>
      </c>
      <c r="Q472" s="37" t="s">
        <v>641</v>
      </c>
      <c r="R472" s="36" t="str">
        <f aca="false">IF(H472="Ya",IF(M472&lt;&gt;"","SUDAH PLOTTING","BELUM PLOTTING"),"-")</f>
        <v>SUDAH PLOTTING</v>
      </c>
      <c r="S472" s="37" t="s">
        <v>192</v>
      </c>
      <c r="T472" s="37"/>
      <c r="U472" s="40" t="s">
        <v>692</v>
      </c>
      <c r="V472" s="40" t="s">
        <v>68</v>
      </c>
    </row>
    <row r="473" customFormat="false" ht="15" hidden="false" customHeight="true" outlineLevel="0" collapsed="false">
      <c r="A473" s="36" t="s">
        <v>1477</v>
      </c>
      <c r="B473" s="37" t="s">
        <v>221</v>
      </c>
      <c r="C473" s="37" t="s">
        <v>340</v>
      </c>
      <c r="D473" s="37" t="s">
        <v>1466</v>
      </c>
      <c r="E473" s="36" t="s">
        <v>111</v>
      </c>
      <c r="F473" s="39" t="s">
        <v>7</v>
      </c>
      <c r="G473" s="36" t="s">
        <v>68</v>
      </c>
      <c r="H473" s="36" t="s">
        <v>68</v>
      </c>
      <c r="I473" s="37" t="n">
        <v>193</v>
      </c>
      <c r="J473" s="37"/>
      <c r="K473" s="37" t="n">
        <v>5</v>
      </c>
      <c r="L473" s="37" t="n">
        <v>1</v>
      </c>
      <c r="M473" s="37" t="s">
        <v>1478</v>
      </c>
      <c r="N473" s="37" t="n">
        <v>757</v>
      </c>
      <c r="O473" s="37"/>
      <c r="P473" s="37" t="s">
        <v>1468</v>
      </c>
      <c r="Q473" s="37" t="s">
        <v>641</v>
      </c>
      <c r="R473" s="36" t="str">
        <f aca="false">IF(H473="Ya",IF(M473&lt;&gt;"","SUDAH PLOTTING","BELUM PLOTTING"),"-")</f>
        <v>SUDAH PLOTTING</v>
      </c>
      <c r="S473" s="37" t="s">
        <v>192</v>
      </c>
      <c r="T473" s="37"/>
      <c r="U473" s="40" t="s">
        <v>692</v>
      </c>
      <c r="V473" s="40" t="s">
        <v>68</v>
      </c>
    </row>
    <row r="474" customFormat="false" ht="15" hidden="false" customHeight="true" outlineLevel="0" collapsed="false">
      <c r="A474" s="36" t="s">
        <v>1479</v>
      </c>
      <c r="B474" s="37" t="s">
        <v>221</v>
      </c>
      <c r="C474" s="37" t="s">
        <v>340</v>
      </c>
      <c r="D474" s="37" t="s">
        <v>1466</v>
      </c>
      <c r="E474" s="36" t="s">
        <v>166</v>
      </c>
      <c r="F474" s="39" t="s">
        <v>7</v>
      </c>
      <c r="G474" s="36" t="s">
        <v>68</v>
      </c>
      <c r="H474" s="36" t="s">
        <v>68</v>
      </c>
      <c r="I474" s="37" t="n">
        <v>192</v>
      </c>
      <c r="J474" s="37"/>
      <c r="K474" s="37" t="n">
        <v>4</v>
      </c>
      <c r="L474" s="37" t="n">
        <v>1</v>
      </c>
      <c r="M474" s="37" t="s">
        <v>1480</v>
      </c>
      <c r="N474" s="37" t="n">
        <v>757</v>
      </c>
      <c r="O474" s="37"/>
      <c r="P474" s="37" t="s">
        <v>1468</v>
      </c>
      <c r="Q474" s="37" t="s">
        <v>641</v>
      </c>
      <c r="R474" s="36" t="str">
        <f aca="false">IF(H474="Ya",IF(M474&lt;&gt;"","SUDAH PLOTTING","BELUM PLOTTING"),"-")</f>
        <v>SUDAH PLOTTING</v>
      </c>
      <c r="S474" s="37" t="s">
        <v>192</v>
      </c>
      <c r="T474" s="37"/>
      <c r="U474" s="40" t="s">
        <v>692</v>
      </c>
      <c r="V474" s="40" t="s">
        <v>68</v>
      </c>
    </row>
    <row r="475" customFormat="false" ht="15" hidden="false" customHeight="true" outlineLevel="0" collapsed="false">
      <c r="A475" s="36" t="s">
        <v>1481</v>
      </c>
      <c r="B475" s="37" t="s">
        <v>221</v>
      </c>
      <c r="C475" s="37" t="s">
        <v>340</v>
      </c>
      <c r="D475" s="37" t="s">
        <v>1466</v>
      </c>
      <c r="E475" s="36" t="s">
        <v>719</v>
      </c>
      <c r="F475" s="39" t="s">
        <v>7</v>
      </c>
      <c r="G475" s="36" t="s">
        <v>68</v>
      </c>
      <c r="H475" s="36" t="s">
        <v>68</v>
      </c>
      <c r="I475" s="37" t="n">
        <v>190</v>
      </c>
      <c r="J475" s="37"/>
      <c r="K475" s="37" t="n">
        <v>4</v>
      </c>
      <c r="L475" s="37" t="n">
        <v>0</v>
      </c>
      <c r="M475" s="37" t="s">
        <v>1482</v>
      </c>
      <c r="N475" s="37" t="n">
        <v>757</v>
      </c>
      <c r="O475" s="37"/>
      <c r="P475" s="37" t="s">
        <v>1468</v>
      </c>
      <c r="Q475" s="37" t="s">
        <v>641</v>
      </c>
      <c r="R475" s="36" t="str">
        <f aca="false">IF(H475="Ya",IF(M475&lt;&gt;"","SUDAH PLOTTING","BELUM PLOTTING"),"-")</f>
        <v>SUDAH PLOTTING</v>
      </c>
      <c r="S475" s="37" t="s">
        <v>76</v>
      </c>
      <c r="T475" s="37"/>
      <c r="U475" s="40" t="s">
        <v>692</v>
      </c>
      <c r="V475" s="41" t="s">
        <v>658</v>
      </c>
    </row>
    <row r="476" customFormat="false" ht="15" hidden="false" customHeight="true" outlineLevel="0" collapsed="false">
      <c r="A476" s="36" t="s">
        <v>1483</v>
      </c>
      <c r="B476" s="37" t="s">
        <v>221</v>
      </c>
      <c r="C476" s="37" t="s">
        <v>340</v>
      </c>
      <c r="D476" s="37" t="s">
        <v>1484</v>
      </c>
      <c r="E476" s="36" t="s">
        <v>79</v>
      </c>
      <c r="F476" s="39" t="s">
        <v>7</v>
      </c>
      <c r="G476" s="36" t="s">
        <v>68</v>
      </c>
      <c r="H476" s="36" t="s">
        <v>68</v>
      </c>
      <c r="I476" s="37" t="n">
        <v>200</v>
      </c>
      <c r="J476" s="37" t="n">
        <v>80</v>
      </c>
      <c r="K476" s="37" t="n">
        <v>8</v>
      </c>
      <c r="L476" s="37" t="n">
        <v>0</v>
      </c>
      <c r="M476" s="37" t="s">
        <v>1485</v>
      </c>
      <c r="N476" s="37" t="n">
        <v>74</v>
      </c>
      <c r="O476" s="37"/>
      <c r="P476" s="37" t="s">
        <v>1486</v>
      </c>
      <c r="Q476" s="37" t="s">
        <v>641</v>
      </c>
      <c r="R476" s="36" t="str">
        <f aca="false">IF(H476="Ya",IF(M476&lt;&gt;"","SUDAH PLOTTING","BELUM PLOTTING"),"-")</f>
        <v>SUDAH PLOTTING</v>
      </c>
      <c r="S476" s="37" t="s">
        <v>76</v>
      </c>
      <c r="T476" s="37"/>
      <c r="U476" s="40" t="s">
        <v>692</v>
      </c>
      <c r="V476" s="41" t="s">
        <v>658</v>
      </c>
    </row>
    <row r="477" customFormat="false" ht="15" hidden="false" customHeight="true" outlineLevel="0" collapsed="false">
      <c r="A477" s="36" t="s">
        <v>1487</v>
      </c>
      <c r="B477" s="37" t="s">
        <v>221</v>
      </c>
      <c r="C477" s="37" t="s">
        <v>340</v>
      </c>
      <c r="D477" s="37" t="s">
        <v>1484</v>
      </c>
      <c r="E477" s="36" t="s">
        <v>88</v>
      </c>
      <c r="F477" s="39" t="s">
        <v>7</v>
      </c>
      <c r="G477" s="36" t="s">
        <v>68</v>
      </c>
      <c r="H477" s="36" t="s">
        <v>68</v>
      </c>
      <c r="I477" s="37" t="n">
        <v>165</v>
      </c>
      <c r="J477" s="37" t="n">
        <v>80</v>
      </c>
      <c r="K477" s="37" t="n">
        <v>1</v>
      </c>
      <c r="L477" s="37" t="n">
        <v>0</v>
      </c>
      <c r="M477" s="37" t="s">
        <v>1488</v>
      </c>
      <c r="N477" s="37" t="n">
        <v>74</v>
      </c>
      <c r="O477" s="37"/>
      <c r="P477" s="37" t="s">
        <v>1486</v>
      </c>
      <c r="Q477" s="37" t="s">
        <v>641</v>
      </c>
      <c r="R477" s="36" t="str">
        <f aca="false">IF(H477="Ya",IF(M477&lt;&gt;"","SUDAH PLOTTING","BELUM PLOTTING"),"-")</f>
        <v>SUDAH PLOTTING</v>
      </c>
      <c r="S477" s="37" t="s">
        <v>76</v>
      </c>
      <c r="T477" s="37"/>
      <c r="U477" s="40" t="s">
        <v>692</v>
      </c>
      <c r="V477" s="41" t="s">
        <v>658</v>
      </c>
    </row>
    <row r="478" customFormat="false" ht="15" hidden="false" customHeight="true" outlineLevel="0" collapsed="false">
      <c r="A478" s="36" t="s">
        <v>1489</v>
      </c>
      <c r="B478" s="37" t="s">
        <v>221</v>
      </c>
      <c r="C478" s="37" t="s">
        <v>340</v>
      </c>
      <c r="D478" s="37" t="s">
        <v>1484</v>
      </c>
      <c r="E478" s="36" t="s">
        <v>92</v>
      </c>
      <c r="F478" s="38" t="s">
        <v>11</v>
      </c>
      <c r="G478" s="36" t="s">
        <v>68</v>
      </c>
      <c r="H478" s="36" t="s">
        <v>658</v>
      </c>
      <c r="I478" s="37" t="n">
        <v>133</v>
      </c>
      <c r="J478" s="37"/>
      <c r="K478" s="37" t="n">
        <v>0</v>
      </c>
      <c r="L478" s="37" t="n">
        <v>0</v>
      </c>
      <c r="M478" s="37"/>
      <c r="N478" s="37" t="n">
        <v>74</v>
      </c>
      <c r="O478" s="37" t="s">
        <v>1490</v>
      </c>
      <c r="P478" s="37" t="s">
        <v>1486</v>
      </c>
      <c r="Q478" s="37" t="s">
        <v>641</v>
      </c>
      <c r="R478" s="36" t="str">
        <f aca="false">IF(H478="Ya",IF(M478&lt;&gt;"","SUDAH PLOTTING","BELUM PLOTTING"),"-")</f>
        <v>-</v>
      </c>
      <c r="S478" s="37"/>
      <c r="T478" s="37"/>
    </row>
    <row r="479" customFormat="false" ht="15" hidden="false" customHeight="true" outlineLevel="0" collapsed="false">
      <c r="A479" s="36" t="s">
        <v>1491</v>
      </c>
      <c r="B479" s="37" t="s">
        <v>221</v>
      </c>
      <c r="C479" s="37" t="s">
        <v>340</v>
      </c>
      <c r="D479" s="37" t="s">
        <v>1484</v>
      </c>
      <c r="E479" s="36" t="s">
        <v>97</v>
      </c>
      <c r="F479" s="38" t="s">
        <v>11</v>
      </c>
      <c r="G479" s="36" t="s">
        <v>68</v>
      </c>
      <c r="H479" s="36" t="s">
        <v>658</v>
      </c>
      <c r="I479" s="37" t="n">
        <v>160</v>
      </c>
      <c r="J479" s="37"/>
      <c r="K479" s="37" t="n">
        <v>0</v>
      </c>
      <c r="L479" s="37" t="n">
        <v>0</v>
      </c>
      <c r="M479" s="37"/>
      <c r="N479" s="37" t="n">
        <v>74</v>
      </c>
      <c r="O479" s="37" t="s">
        <v>1490</v>
      </c>
      <c r="P479" s="37" t="s">
        <v>1486</v>
      </c>
      <c r="Q479" s="37" t="s">
        <v>641</v>
      </c>
      <c r="R479" s="36" t="str">
        <f aca="false">IF(H479="Ya",IF(M479&lt;&gt;"","SUDAH PLOTTING","BELUM PLOTTING"),"-")</f>
        <v>-</v>
      </c>
      <c r="S479" s="37"/>
      <c r="T479" s="37"/>
    </row>
    <row r="480" customFormat="false" ht="15" hidden="false" customHeight="true" outlineLevel="0" collapsed="false">
      <c r="A480" s="36" t="s">
        <v>1492</v>
      </c>
      <c r="B480" s="37" t="s">
        <v>221</v>
      </c>
      <c r="C480" s="37" t="s">
        <v>340</v>
      </c>
      <c r="D480" s="37" t="s">
        <v>1484</v>
      </c>
      <c r="E480" s="36" t="s">
        <v>103</v>
      </c>
      <c r="F480" s="38" t="s">
        <v>11</v>
      </c>
      <c r="G480" s="36" t="s">
        <v>68</v>
      </c>
      <c r="H480" s="36" t="s">
        <v>658</v>
      </c>
      <c r="I480" s="37" t="n">
        <v>151</v>
      </c>
      <c r="J480" s="37"/>
      <c r="K480" s="37" t="n">
        <v>0</v>
      </c>
      <c r="L480" s="37" t="n">
        <v>0</v>
      </c>
      <c r="M480" s="37"/>
      <c r="N480" s="37" t="n">
        <v>74</v>
      </c>
      <c r="O480" s="37" t="s">
        <v>1490</v>
      </c>
      <c r="P480" s="37" t="s">
        <v>1486</v>
      </c>
      <c r="Q480" s="37" t="s">
        <v>641</v>
      </c>
      <c r="R480" s="36" t="str">
        <f aca="false">IF(H480="Ya",IF(M480&lt;&gt;"","SUDAH PLOTTING","BELUM PLOTTING"),"-")</f>
        <v>-</v>
      </c>
      <c r="S480" s="37"/>
      <c r="T480" s="37"/>
    </row>
    <row r="481" customFormat="false" ht="15" hidden="false" customHeight="true" outlineLevel="0" collapsed="false">
      <c r="A481" s="36" t="s">
        <v>1493</v>
      </c>
      <c r="B481" s="37" t="s">
        <v>221</v>
      </c>
      <c r="C481" s="37" t="s">
        <v>340</v>
      </c>
      <c r="D481" s="37" t="s">
        <v>1484</v>
      </c>
      <c r="E481" s="36" t="s">
        <v>111</v>
      </c>
      <c r="F481" s="38" t="s">
        <v>11</v>
      </c>
      <c r="G481" s="36" t="s">
        <v>68</v>
      </c>
      <c r="H481" s="36" t="s">
        <v>658</v>
      </c>
      <c r="I481" s="37" t="n">
        <v>151</v>
      </c>
      <c r="J481" s="37"/>
      <c r="K481" s="37" t="n">
        <v>0</v>
      </c>
      <c r="L481" s="37" t="n">
        <v>0</v>
      </c>
      <c r="M481" s="37"/>
      <c r="N481" s="37" t="n">
        <v>74</v>
      </c>
      <c r="O481" s="37" t="s">
        <v>1490</v>
      </c>
      <c r="P481" s="37" t="s">
        <v>1486</v>
      </c>
      <c r="Q481" s="37" t="s">
        <v>641</v>
      </c>
      <c r="R481" s="36" t="str">
        <f aca="false">IF(H481="Ya",IF(M481&lt;&gt;"","SUDAH PLOTTING","BELUM PLOTTING"),"-")</f>
        <v>-</v>
      </c>
      <c r="S481" s="37"/>
      <c r="T481" s="37"/>
    </row>
    <row r="482" customFormat="false" ht="15" hidden="false" customHeight="true" outlineLevel="0" collapsed="false">
      <c r="A482" s="36" t="s">
        <v>1494</v>
      </c>
      <c r="B482" s="37" t="s">
        <v>221</v>
      </c>
      <c r="C482" s="37" t="s">
        <v>340</v>
      </c>
      <c r="D482" s="37" t="s">
        <v>1484</v>
      </c>
      <c r="E482" s="36" t="s">
        <v>166</v>
      </c>
      <c r="F482" s="38" t="s">
        <v>11</v>
      </c>
      <c r="G482" s="36" t="s">
        <v>68</v>
      </c>
      <c r="H482" s="36" t="s">
        <v>658</v>
      </c>
      <c r="I482" s="37" t="n">
        <v>134</v>
      </c>
      <c r="J482" s="37"/>
      <c r="K482" s="37" t="n">
        <v>0</v>
      </c>
      <c r="L482" s="37" t="n">
        <v>0</v>
      </c>
      <c r="M482" s="37"/>
      <c r="N482" s="37" t="n">
        <v>74</v>
      </c>
      <c r="O482" s="37" t="s">
        <v>1490</v>
      </c>
      <c r="P482" s="37" t="s">
        <v>1486</v>
      </c>
      <c r="Q482" s="37" t="s">
        <v>641</v>
      </c>
      <c r="R482" s="36" t="str">
        <f aca="false">IF(H482="Ya",IF(M482&lt;&gt;"","SUDAH PLOTTING","BELUM PLOTTING"),"-")</f>
        <v>-</v>
      </c>
      <c r="S482" s="37"/>
      <c r="T482" s="37"/>
    </row>
    <row r="483" customFormat="false" ht="15" hidden="false" customHeight="true" outlineLevel="0" collapsed="false">
      <c r="A483" s="36" t="s">
        <v>1495</v>
      </c>
      <c r="B483" s="37" t="s">
        <v>221</v>
      </c>
      <c r="C483" s="37" t="s">
        <v>340</v>
      </c>
      <c r="D483" s="37" t="s">
        <v>1484</v>
      </c>
      <c r="E483" s="36" t="s">
        <v>719</v>
      </c>
      <c r="F483" s="38" t="s">
        <v>11</v>
      </c>
      <c r="G483" s="36" t="s">
        <v>68</v>
      </c>
      <c r="H483" s="36" t="s">
        <v>658</v>
      </c>
      <c r="I483" s="37" t="n">
        <v>141</v>
      </c>
      <c r="J483" s="37"/>
      <c r="K483" s="37" t="n">
        <v>0</v>
      </c>
      <c r="L483" s="37" t="n">
        <v>0</v>
      </c>
      <c r="M483" s="37"/>
      <c r="N483" s="37" t="n">
        <v>74</v>
      </c>
      <c r="O483" s="37" t="s">
        <v>1490</v>
      </c>
      <c r="P483" s="37" t="s">
        <v>1486</v>
      </c>
      <c r="Q483" s="37" t="s">
        <v>641</v>
      </c>
      <c r="R483" s="36" t="str">
        <f aca="false">IF(H483="Ya",IF(M483&lt;&gt;"","SUDAH PLOTTING","BELUM PLOTTING"),"-")</f>
        <v>-</v>
      </c>
      <c r="S483" s="37"/>
      <c r="T483" s="37"/>
    </row>
    <row r="484" customFormat="false" ht="15" hidden="false" customHeight="true" outlineLevel="0" collapsed="false">
      <c r="A484" s="36" t="s">
        <v>1496</v>
      </c>
      <c r="B484" s="37" t="s">
        <v>221</v>
      </c>
      <c r="C484" s="37" t="s">
        <v>340</v>
      </c>
      <c r="D484" s="37" t="s">
        <v>1484</v>
      </c>
      <c r="E484" s="36" t="s">
        <v>721</v>
      </c>
      <c r="F484" s="38" t="s">
        <v>11</v>
      </c>
      <c r="G484" s="36" t="s">
        <v>68</v>
      </c>
      <c r="H484" s="36" t="s">
        <v>658</v>
      </c>
      <c r="I484" s="37" t="n">
        <v>123</v>
      </c>
      <c r="J484" s="37"/>
      <c r="K484" s="37" t="n">
        <v>0</v>
      </c>
      <c r="L484" s="37" t="n">
        <v>0</v>
      </c>
      <c r="M484" s="37"/>
      <c r="N484" s="37" t="n">
        <v>74</v>
      </c>
      <c r="O484" s="37" t="s">
        <v>1490</v>
      </c>
      <c r="P484" s="37" t="s">
        <v>1486</v>
      </c>
      <c r="Q484" s="37" t="s">
        <v>641</v>
      </c>
      <c r="R484" s="36" t="str">
        <f aca="false">IF(H484="Ya",IF(M484&lt;&gt;"","SUDAH PLOTTING","BELUM PLOTTING"),"-")</f>
        <v>-</v>
      </c>
      <c r="S484" s="37"/>
      <c r="T484" s="37"/>
    </row>
    <row r="485" customFormat="false" ht="15" hidden="false" customHeight="true" outlineLevel="0" collapsed="false">
      <c r="A485" s="36" t="s">
        <v>1497</v>
      </c>
      <c r="B485" s="37" t="s">
        <v>221</v>
      </c>
      <c r="C485" s="37" t="s">
        <v>310</v>
      </c>
      <c r="D485" s="37" t="s">
        <v>1246</v>
      </c>
      <c r="E485" s="36" t="s">
        <v>79</v>
      </c>
      <c r="F485" s="39" t="s">
        <v>7</v>
      </c>
      <c r="G485" s="36" t="s">
        <v>68</v>
      </c>
      <c r="H485" s="36" t="s">
        <v>68</v>
      </c>
      <c r="I485" s="37" t="n">
        <v>184</v>
      </c>
      <c r="J485" s="37" t="n">
        <v>70</v>
      </c>
      <c r="K485" s="37" t="n">
        <v>2</v>
      </c>
      <c r="L485" s="37" t="n">
        <v>0</v>
      </c>
      <c r="M485" s="37" t="s">
        <v>1498</v>
      </c>
      <c r="N485" s="37" t="n">
        <v>2</v>
      </c>
      <c r="O485" s="37"/>
      <c r="P485" s="37" t="s">
        <v>1499</v>
      </c>
      <c r="Q485" s="37" t="s">
        <v>618</v>
      </c>
      <c r="R485" s="36" t="str">
        <f aca="false">IF(H485="Ya",IF(M485&lt;&gt;"","SUDAH PLOTTING","BELUM PLOTTING"),"-")</f>
        <v>SUDAH PLOTTING</v>
      </c>
      <c r="S485" s="37" t="s">
        <v>192</v>
      </c>
      <c r="T485" s="37"/>
      <c r="U485" s="40" t="s">
        <v>692</v>
      </c>
      <c r="V485" s="40" t="s">
        <v>68</v>
      </c>
    </row>
    <row r="486" customFormat="false" ht="15" hidden="false" customHeight="true" outlineLevel="0" collapsed="false">
      <c r="A486" s="36" t="s">
        <v>1500</v>
      </c>
      <c r="B486" s="37" t="s">
        <v>221</v>
      </c>
      <c r="C486" s="37" t="s">
        <v>310</v>
      </c>
      <c r="D486" s="37" t="s">
        <v>1246</v>
      </c>
      <c r="E486" s="36" t="s">
        <v>88</v>
      </c>
      <c r="F486" s="39" t="s">
        <v>7</v>
      </c>
      <c r="G486" s="36" t="s">
        <v>68</v>
      </c>
      <c r="H486" s="36" t="s">
        <v>68</v>
      </c>
      <c r="I486" s="37" t="n">
        <v>196</v>
      </c>
      <c r="J486" s="37" t="n">
        <v>60</v>
      </c>
      <c r="K486" s="37" t="n">
        <v>2</v>
      </c>
      <c r="L486" s="37" t="n">
        <v>0</v>
      </c>
      <c r="M486" s="37" t="s">
        <v>1501</v>
      </c>
      <c r="N486" s="37" t="n">
        <v>2</v>
      </c>
      <c r="O486" s="37"/>
      <c r="P486" s="37" t="s">
        <v>1499</v>
      </c>
      <c r="Q486" s="37" t="s">
        <v>618</v>
      </c>
      <c r="R486" s="36" t="str">
        <f aca="false">IF(H486="Ya",IF(M486&lt;&gt;"","SUDAH PLOTTING","BELUM PLOTTING"),"-")</f>
        <v>SUDAH PLOTTING</v>
      </c>
      <c r="S486" s="37" t="s">
        <v>212</v>
      </c>
      <c r="T486" s="37"/>
      <c r="U486" s="40" t="s">
        <v>692</v>
      </c>
      <c r="V486" s="40" t="s">
        <v>68</v>
      </c>
    </row>
    <row r="487" customFormat="false" ht="15" hidden="false" customHeight="true" outlineLevel="0" collapsed="false">
      <c r="A487" s="36" t="s">
        <v>1502</v>
      </c>
      <c r="B487" s="37" t="s">
        <v>221</v>
      </c>
      <c r="C487" s="37" t="s">
        <v>310</v>
      </c>
      <c r="D487" s="37" t="s">
        <v>1246</v>
      </c>
      <c r="E487" s="36" t="s">
        <v>92</v>
      </c>
      <c r="F487" s="39" t="s">
        <v>7</v>
      </c>
      <c r="G487" s="36" t="s">
        <v>68</v>
      </c>
      <c r="H487" s="36" t="s">
        <v>68</v>
      </c>
      <c r="I487" s="37" t="n">
        <v>188</v>
      </c>
      <c r="J487" s="37"/>
      <c r="K487" s="37" t="n">
        <v>1</v>
      </c>
      <c r="L487" s="37" t="n">
        <v>0</v>
      </c>
      <c r="M487" s="37" t="s">
        <v>1503</v>
      </c>
      <c r="N487" s="37" t="n">
        <v>2</v>
      </c>
      <c r="O487" s="37"/>
      <c r="P487" s="37" t="s">
        <v>1499</v>
      </c>
      <c r="Q487" s="37" t="s">
        <v>618</v>
      </c>
      <c r="R487" s="36" t="str">
        <f aca="false">IF(H487="Ya",IF(M487&lt;&gt;"","SUDAH PLOTTING","BELUM PLOTTING"),"-")</f>
        <v>SUDAH PLOTTING</v>
      </c>
      <c r="S487" s="37" t="s">
        <v>315</v>
      </c>
      <c r="T487" s="37"/>
      <c r="U487" s="40" t="s">
        <v>692</v>
      </c>
      <c r="V487" s="41" t="s">
        <v>658</v>
      </c>
    </row>
    <row r="488" customFormat="false" ht="15" hidden="false" customHeight="true" outlineLevel="0" collapsed="false">
      <c r="A488" s="36" t="s">
        <v>1504</v>
      </c>
      <c r="B488" s="37" t="s">
        <v>221</v>
      </c>
      <c r="C488" s="37" t="s">
        <v>310</v>
      </c>
      <c r="D488" s="37" t="s">
        <v>1246</v>
      </c>
      <c r="E488" s="36" t="s">
        <v>97</v>
      </c>
      <c r="F488" s="39" t="s">
        <v>7</v>
      </c>
      <c r="G488" s="36" t="s">
        <v>68</v>
      </c>
      <c r="H488" s="36" t="s">
        <v>68</v>
      </c>
      <c r="I488" s="37" t="n">
        <v>148</v>
      </c>
      <c r="J488" s="37" t="n">
        <v>50</v>
      </c>
      <c r="K488" s="37" t="n">
        <v>3</v>
      </c>
      <c r="L488" s="37" t="n">
        <v>1</v>
      </c>
      <c r="M488" s="37" t="s">
        <v>1505</v>
      </c>
      <c r="N488" s="37" t="n">
        <v>2</v>
      </c>
      <c r="O488" s="37"/>
      <c r="P488" s="37" t="s">
        <v>1499</v>
      </c>
      <c r="Q488" s="37" t="s">
        <v>618</v>
      </c>
      <c r="R488" s="36" t="str">
        <f aca="false">IF(H488="Ya",IF(M488&lt;&gt;"","SUDAH PLOTTING","BELUM PLOTTING"),"-")</f>
        <v>SUDAH PLOTTING</v>
      </c>
      <c r="S488" s="37" t="s">
        <v>212</v>
      </c>
      <c r="T488" s="37"/>
      <c r="U488" s="40" t="s">
        <v>692</v>
      </c>
      <c r="V488" s="40" t="s">
        <v>68</v>
      </c>
    </row>
    <row r="489" customFormat="false" ht="15" hidden="false" customHeight="true" outlineLevel="0" collapsed="false">
      <c r="A489" s="36" t="s">
        <v>1506</v>
      </c>
      <c r="B489" s="37" t="s">
        <v>221</v>
      </c>
      <c r="C489" s="37" t="s">
        <v>310</v>
      </c>
      <c r="D489" s="37" t="s">
        <v>1246</v>
      </c>
      <c r="E489" s="36" t="s">
        <v>103</v>
      </c>
      <c r="F489" s="39" t="s">
        <v>7</v>
      </c>
      <c r="G489" s="36" t="s">
        <v>68</v>
      </c>
      <c r="H489" s="36" t="s">
        <v>68</v>
      </c>
      <c r="I489" s="37" t="n">
        <v>144</v>
      </c>
      <c r="J489" s="37"/>
      <c r="K489" s="37" t="n">
        <v>2</v>
      </c>
      <c r="L489" s="37" t="n">
        <v>0</v>
      </c>
      <c r="M489" s="37" t="s">
        <v>1501</v>
      </c>
      <c r="N489" s="37" t="n">
        <v>2</v>
      </c>
      <c r="O489" s="37"/>
      <c r="P489" s="37" t="s">
        <v>1499</v>
      </c>
      <c r="Q489" s="37" t="s">
        <v>618</v>
      </c>
      <c r="R489" s="36" t="str">
        <f aca="false">IF(H489="Ya",IF(M489&lt;&gt;"","SUDAH PLOTTING","BELUM PLOTTING"),"-")</f>
        <v>SUDAH PLOTTING</v>
      </c>
      <c r="S489" s="37" t="s">
        <v>212</v>
      </c>
      <c r="T489" s="37"/>
      <c r="U489" s="40" t="s">
        <v>692</v>
      </c>
      <c r="V489" s="40" t="s">
        <v>68</v>
      </c>
    </row>
    <row r="490" customFormat="false" ht="15" hidden="false" customHeight="true" outlineLevel="0" collapsed="false">
      <c r="A490" s="36" t="s">
        <v>1507</v>
      </c>
      <c r="B490" s="37" t="s">
        <v>221</v>
      </c>
      <c r="C490" s="37" t="s">
        <v>310</v>
      </c>
      <c r="D490" s="37" t="s">
        <v>1246</v>
      </c>
      <c r="E490" s="36" t="s">
        <v>111</v>
      </c>
      <c r="F490" s="39" t="s">
        <v>7</v>
      </c>
      <c r="G490" s="36" t="s">
        <v>68</v>
      </c>
      <c r="H490" s="36" t="s">
        <v>68</v>
      </c>
      <c r="I490" s="37" t="n">
        <v>191</v>
      </c>
      <c r="J490" s="37" t="n">
        <v>100</v>
      </c>
      <c r="K490" s="37" t="n">
        <v>4</v>
      </c>
      <c r="L490" s="37" t="n">
        <v>1</v>
      </c>
      <c r="M490" s="37" t="s">
        <v>1505</v>
      </c>
      <c r="N490" s="37" t="n">
        <v>2</v>
      </c>
      <c r="O490" s="37"/>
      <c r="P490" s="37" t="s">
        <v>1499</v>
      </c>
      <c r="Q490" s="37" t="s">
        <v>618</v>
      </c>
      <c r="R490" s="36" t="str">
        <f aca="false">IF(H490="Ya",IF(M490&lt;&gt;"","SUDAH PLOTTING","BELUM PLOTTING"),"-")</f>
        <v>SUDAH PLOTTING</v>
      </c>
      <c r="S490" s="37" t="s">
        <v>212</v>
      </c>
      <c r="T490" s="37"/>
      <c r="U490" s="40" t="s">
        <v>692</v>
      </c>
      <c r="V490" s="40" t="s">
        <v>68</v>
      </c>
    </row>
    <row r="491" customFormat="false" ht="15" hidden="false" customHeight="true" outlineLevel="0" collapsed="false">
      <c r="A491" s="36" t="s">
        <v>1508</v>
      </c>
      <c r="B491" s="37" t="s">
        <v>221</v>
      </c>
      <c r="C491" s="37" t="s">
        <v>310</v>
      </c>
      <c r="D491" s="37" t="s">
        <v>1509</v>
      </c>
      <c r="E491" s="36" t="s">
        <v>79</v>
      </c>
      <c r="F491" s="39" t="s">
        <v>7</v>
      </c>
      <c r="G491" s="36" t="s">
        <v>68</v>
      </c>
      <c r="H491" s="36" t="s">
        <v>68</v>
      </c>
      <c r="I491" s="37" t="n">
        <v>126</v>
      </c>
      <c r="J491" s="37" t="n">
        <v>40</v>
      </c>
      <c r="K491" s="37" t="n">
        <v>2</v>
      </c>
      <c r="L491" s="37" t="n">
        <v>0</v>
      </c>
      <c r="M491" s="37" t="s">
        <v>1448</v>
      </c>
      <c r="N491" s="37" t="n">
        <v>1</v>
      </c>
      <c r="O491" s="37"/>
      <c r="P491" s="37" t="s">
        <v>1510</v>
      </c>
      <c r="Q491" s="37" t="s">
        <v>618</v>
      </c>
      <c r="R491" s="36" t="str">
        <f aca="false">IF(H491="Ya",IF(M491&lt;&gt;"","SUDAH PLOTTING","BELUM PLOTTING"),"-")</f>
        <v>SUDAH PLOTTING</v>
      </c>
      <c r="S491" s="37" t="s">
        <v>58</v>
      </c>
      <c r="T491" s="37"/>
      <c r="U491" s="40" t="s">
        <v>692</v>
      </c>
      <c r="V491" s="41" t="s">
        <v>658</v>
      </c>
    </row>
    <row r="492" customFormat="false" ht="15" hidden="false" customHeight="true" outlineLevel="0" collapsed="false">
      <c r="A492" s="36" t="s">
        <v>1511</v>
      </c>
      <c r="B492" s="37" t="s">
        <v>221</v>
      </c>
      <c r="C492" s="37" t="s">
        <v>310</v>
      </c>
      <c r="D492" s="37" t="s">
        <v>1509</v>
      </c>
      <c r="E492" s="36" t="s">
        <v>88</v>
      </c>
      <c r="F492" s="39" t="s">
        <v>7</v>
      </c>
      <c r="G492" s="36" t="s">
        <v>68</v>
      </c>
      <c r="H492" s="36" t="s">
        <v>68</v>
      </c>
      <c r="I492" s="37" t="n">
        <v>115</v>
      </c>
      <c r="J492" s="37"/>
      <c r="K492" s="37" t="n">
        <v>1</v>
      </c>
      <c r="L492" s="37" t="n">
        <v>0</v>
      </c>
      <c r="M492" s="37" t="s">
        <v>1448</v>
      </c>
      <c r="N492" s="37" t="n">
        <v>1</v>
      </c>
      <c r="O492" s="37"/>
      <c r="P492" s="37" t="s">
        <v>1510</v>
      </c>
      <c r="Q492" s="37" t="s">
        <v>618</v>
      </c>
      <c r="R492" s="36" t="str">
        <f aca="false">IF(H492="Ya",IF(M492&lt;&gt;"","SUDAH PLOTTING","BELUM PLOTTING"),"-")</f>
        <v>SUDAH PLOTTING</v>
      </c>
      <c r="S492" s="37" t="s">
        <v>58</v>
      </c>
      <c r="T492" s="37"/>
      <c r="U492" s="40" t="s">
        <v>692</v>
      </c>
      <c r="V492" s="41" t="s">
        <v>658</v>
      </c>
    </row>
    <row r="493" customFormat="false" ht="15" hidden="false" customHeight="true" outlineLevel="0" collapsed="false">
      <c r="A493" s="36" t="s">
        <v>1512</v>
      </c>
      <c r="B493" s="37" t="s">
        <v>221</v>
      </c>
      <c r="C493" s="37" t="s">
        <v>310</v>
      </c>
      <c r="D493" s="37" t="s">
        <v>1509</v>
      </c>
      <c r="E493" s="36" t="s">
        <v>92</v>
      </c>
      <c r="F493" s="39" t="s">
        <v>7</v>
      </c>
      <c r="G493" s="36" t="s">
        <v>68</v>
      </c>
      <c r="H493" s="36" t="s">
        <v>68</v>
      </c>
      <c r="I493" s="37" t="n">
        <v>132</v>
      </c>
      <c r="J493" s="37" t="n">
        <v>60</v>
      </c>
      <c r="K493" s="37" t="n">
        <v>2</v>
      </c>
      <c r="L493" s="37" t="n">
        <v>1</v>
      </c>
      <c r="M493" s="37" t="s">
        <v>1435</v>
      </c>
      <c r="N493" s="37" t="n">
        <v>1</v>
      </c>
      <c r="O493" s="37"/>
      <c r="P493" s="37" t="s">
        <v>1510</v>
      </c>
      <c r="Q493" s="37" t="s">
        <v>618</v>
      </c>
      <c r="R493" s="36" t="str">
        <f aca="false">IF(H493="Ya",IF(M493&lt;&gt;"","SUDAH PLOTTING","BELUM PLOTTING"),"-")</f>
        <v>SUDAH PLOTTING</v>
      </c>
      <c r="S493" s="37" t="s">
        <v>212</v>
      </c>
      <c r="T493" s="37"/>
      <c r="U493" s="40" t="s">
        <v>692</v>
      </c>
      <c r="V493" s="40" t="s">
        <v>68</v>
      </c>
    </row>
    <row r="494" customFormat="false" ht="15" hidden="false" customHeight="true" outlineLevel="0" collapsed="false">
      <c r="A494" s="36" t="s">
        <v>1513</v>
      </c>
      <c r="B494" s="37" t="s">
        <v>221</v>
      </c>
      <c r="C494" s="37" t="s">
        <v>310</v>
      </c>
      <c r="D494" s="37" t="s">
        <v>1514</v>
      </c>
      <c r="E494" s="36" t="s">
        <v>79</v>
      </c>
      <c r="F494" s="38" t="s">
        <v>11</v>
      </c>
      <c r="G494" s="36" t="s">
        <v>68</v>
      </c>
      <c r="H494" s="36" t="s">
        <v>658</v>
      </c>
      <c r="I494" s="37" t="n">
        <v>174</v>
      </c>
      <c r="J494" s="37"/>
      <c r="K494" s="37" t="n">
        <v>0</v>
      </c>
      <c r="L494" s="37" t="n">
        <v>0</v>
      </c>
      <c r="M494" s="37"/>
      <c r="N494" s="37"/>
      <c r="O494" s="37" t="s">
        <v>659</v>
      </c>
      <c r="P494" s="37" t="s">
        <v>1515</v>
      </c>
      <c r="Q494" s="37" t="s">
        <v>618</v>
      </c>
      <c r="R494" s="36" t="str">
        <f aca="false">IF(H494="Ya",IF(M494&lt;&gt;"","SUDAH PLOTTING","BELUM PLOTTING"),"-")</f>
        <v>-</v>
      </c>
      <c r="S494" s="37"/>
      <c r="T494" s="37"/>
    </row>
    <row r="495" customFormat="false" ht="15" hidden="false" customHeight="true" outlineLevel="0" collapsed="false">
      <c r="A495" s="36" t="s">
        <v>1516</v>
      </c>
      <c r="B495" s="37" t="s">
        <v>221</v>
      </c>
      <c r="C495" s="37" t="s">
        <v>310</v>
      </c>
      <c r="D495" s="37" t="s">
        <v>1514</v>
      </c>
      <c r="E495" s="36" t="s">
        <v>88</v>
      </c>
      <c r="F495" s="38" t="s">
        <v>11</v>
      </c>
      <c r="G495" s="36" t="s">
        <v>68</v>
      </c>
      <c r="H495" s="36" t="s">
        <v>658</v>
      </c>
      <c r="I495" s="37" t="n">
        <v>142</v>
      </c>
      <c r="J495" s="37"/>
      <c r="K495" s="37" t="n">
        <v>0</v>
      </c>
      <c r="L495" s="37" t="n">
        <v>0</v>
      </c>
      <c r="M495" s="37"/>
      <c r="N495" s="37"/>
      <c r="O495" s="37" t="s">
        <v>659</v>
      </c>
      <c r="P495" s="37" t="s">
        <v>1515</v>
      </c>
      <c r="Q495" s="37" t="s">
        <v>618</v>
      </c>
      <c r="R495" s="36" t="str">
        <f aca="false">IF(H495="Ya",IF(M495&lt;&gt;"","SUDAH PLOTTING","BELUM PLOTTING"),"-")</f>
        <v>-</v>
      </c>
      <c r="S495" s="37"/>
      <c r="T495" s="37"/>
    </row>
    <row r="496" customFormat="false" ht="15" hidden="false" customHeight="true" outlineLevel="0" collapsed="false">
      <c r="A496" s="36" t="s">
        <v>1517</v>
      </c>
      <c r="B496" s="37" t="s">
        <v>221</v>
      </c>
      <c r="C496" s="37" t="s">
        <v>310</v>
      </c>
      <c r="D496" s="37" t="s">
        <v>1514</v>
      </c>
      <c r="E496" s="36" t="s">
        <v>92</v>
      </c>
      <c r="F496" s="38" t="s">
        <v>11</v>
      </c>
      <c r="G496" s="36" t="s">
        <v>68</v>
      </c>
      <c r="H496" s="36" t="s">
        <v>658</v>
      </c>
      <c r="I496" s="37" t="n">
        <v>147</v>
      </c>
      <c r="J496" s="37"/>
      <c r="K496" s="37" t="n">
        <v>0</v>
      </c>
      <c r="L496" s="37" t="n">
        <v>0</v>
      </c>
      <c r="M496" s="37"/>
      <c r="N496" s="37"/>
      <c r="O496" s="37" t="s">
        <v>659</v>
      </c>
      <c r="P496" s="37" t="s">
        <v>1515</v>
      </c>
      <c r="Q496" s="37" t="s">
        <v>618</v>
      </c>
      <c r="R496" s="36" t="str">
        <f aca="false">IF(H496="Ya",IF(M496&lt;&gt;"","SUDAH PLOTTING","BELUM PLOTTING"),"-")</f>
        <v>-</v>
      </c>
      <c r="S496" s="37"/>
      <c r="T496" s="37"/>
    </row>
    <row r="497" customFormat="false" ht="15" hidden="false" customHeight="true" outlineLevel="0" collapsed="false">
      <c r="A497" s="36" t="s">
        <v>1518</v>
      </c>
      <c r="B497" s="37" t="s">
        <v>221</v>
      </c>
      <c r="C497" s="37" t="s">
        <v>310</v>
      </c>
      <c r="D497" s="37" t="s">
        <v>1514</v>
      </c>
      <c r="E497" s="36" t="s">
        <v>97</v>
      </c>
      <c r="F497" s="38" t="s">
        <v>11</v>
      </c>
      <c r="G497" s="36" t="s">
        <v>68</v>
      </c>
      <c r="H497" s="36" t="s">
        <v>658</v>
      </c>
      <c r="I497" s="37" t="n">
        <v>144</v>
      </c>
      <c r="J497" s="37"/>
      <c r="K497" s="37" t="n">
        <v>0</v>
      </c>
      <c r="L497" s="37" t="n">
        <v>0</v>
      </c>
      <c r="M497" s="37"/>
      <c r="N497" s="37"/>
      <c r="O497" s="37" t="s">
        <v>659</v>
      </c>
      <c r="P497" s="37" t="s">
        <v>1515</v>
      </c>
      <c r="Q497" s="37" t="s">
        <v>618</v>
      </c>
      <c r="R497" s="36" t="str">
        <f aca="false">IF(H497="Ya",IF(M497&lt;&gt;"","SUDAH PLOTTING","BELUM PLOTTING"),"-")</f>
        <v>-</v>
      </c>
      <c r="S497" s="37"/>
      <c r="T497" s="37"/>
    </row>
    <row r="498" customFormat="false" ht="15" hidden="false" customHeight="true" outlineLevel="0" collapsed="false">
      <c r="A498" s="36" t="s">
        <v>1519</v>
      </c>
      <c r="B498" s="37" t="s">
        <v>221</v>
      </c>
      <c r="C498" s="37" t="s">
        <v>310</v>
      </c>
      <c r="D498" s="37" t="s">
        <v>1514</v>
      </c>
      <c r="E498" s="36" t="s">
        <v>103</v>
      </c>
      <c r="F498" s="38" t="s">
        <v>11</v>
      </c>
      <c r="G498" s="36" t="s">
        <v>68</v>
      </c>
      <c r="H498" s="36" t="s">
        <v>658</v>
      </c>
      <c r="I498" s="37" t="n">
        <v>184</v>
      </c>
      <c r="J498" s="37"/>
      <c r="K498" s="37" t="n">
        <v>0</v>
      </c>
      <c r="L498" s="37" t="n">
        <v>0</v>
      </c>
      <c r="M498" s="37"/>
      <c r="N498" s="37"/>
      <c r="O498" s="37" t="s">
        <v>659</v>
      </c>
      <c r="P498" s="37" t="s">
        <v>1515</v>
      </c>
      <c r="Q498" s="37" t="s">
        <v>618</v>
      </c>
      <c r="R498" s="36" t="str">
        <f aca="false">IF(H498="Ya",IF(M498&lt;&gt;"","SUDAH PLOTTING","BELUM PLOTTING"),"-")</f>
        <v>-</v>
      </c>
      <c r="S498" s="37"/>
      <c r="T498" s="37"/>
    </row>
    <row r="499" customFormat="false" ht="15" hidden="false" customHeight="true" outlineLevel="0" collapsed="false">
      <c r="A499" s="36" t="s">
        <v>1520</v>
      </c>
      <c r="B499" s="37" t="s">
        <v>221</v>
      </c>
      <c r="C499" s="37" t="s">
        <v>310</v>
      </c>
      <c r="D499" s="37" t="s">
        <v>1514</v>
      </c>
      <c r="E499" s="36" t="s">
        <v>111</v>
      </c>
      <c r="F499" s="38" t="s">
        <v>11</v>
      </c>
      <c r="G499" s="36" t="s">
        <v>68</v>
      </c>
      <c r="H499" s="36" t="s">
        <v>658</v>
      </c>
      <c r="I499" s="37" t="n">
        <v>172</v>
      </c>
      <c r="J499" s="37"/>
      <c r="K499" s="37" t="n">
        <v>0</v>
      </c>
      <c r="L499" s="37" t="n">
        <v>0</v>
      </c>
      <c r="M499" s="37"/>
      <c r="N499" s="37"/>
      <c r="O499" s="37" t="s">
        <v>659</v>
      </c>
      <c r="P499" s="37" t="s">
        <v>1515</v>
      </c>
      <c r="Q499" s="37" t="s">
        <v>618</v>
      </c>
      <c r="R499" s="36" t="str">
        <f aca="false">IF(H499="Ya",IF(M499&lt;&gt;"","SUDAH PLOTTING","BELUM PLOTTING"),"-")</f>
        <v>-</v>
      </c>
      <c r="S499" s="37"/>
      <c r="T499" s="37"/>
    </row>
    <row r="500" customFormat="false" ht="15" hidden="false" customHeight="true" outlineLevel="0" collapsed="false">
      <c r="A500" s="36" t="s">
        <v>1521</v>
      </c>
      <c r="B500" s="37" t="s">
        <v>221</v>
      </c>
      <c r="C500" s="37" t="s">
        <v>310</v>
      </c>
      <c r="D500" s="37" t="s">
        <v>1522</v>
      </c>
      <c r="E500" s="36" t="s">
        <v>79</v>
      </c>
      <c r="F500" s="38" t="s">
        <v>11</v>
      </c>
      <c r="G500" s="36" t="s">
        <v>68</v>
      </c>
      <c r="H500" s="36" t="s">
        <v>658</v>
      </c>
      <c r="I500" s="37" t="n">
        <v>176</v>
      </c>
      <c r="J500" s="37"/>
      <c r="K500" s="37" t="n">
        <v>0</v>
      </c>
      <c r="L500" s="37" t="n">
        <v>0</v>
      </c>
      <c r="M500" s="37"/>
      <c r="N500" s="37"/>
      <c r="O500" s="37" t="s">
        <v>659</v>
      </c>
      <c r="P500" s="37" t="s">
        <v>1523</v>
      </c>
      <c r="Q500" s="37" t="s">
        <v>618</v>
      </c>
      <c r="R500" s="36" t="str">
        <f aca="false">IF(H500="Ya",IF(M500&lt;&gt;"","SUDAH PLOTTING","BELUM PLOTTING"),"-")</f>
        <v>-</v>
      </c>
      <c r="S500" s="37"/>
      <c r="T500" s="37"/>
    </row>
    <row r="501" customFormat="false" ht="15" hidden="false" customHeight="true" outlineLevel="0" collapsed="false">
      <c r="A501" s="36" t="s">
        <v>1524</v>
      </c>
      <c r="B501" s="37" t="s">
        <v>221</v>
      </c>
      <c r="C501" s="37" t="s">
        <v>310</v>
      </c>
      <c r="D501" s="37" t="s">
        <v>1522</v>
      </c>
      <c r="E501" s="36" t="s">
        <v>88</v>
      </c>
      <c r="F501" s="38" t="s">
        <v>11</v>
      </c>
      <c r="G501" s="36" t="s">
        <v>68</v>
      </c>
      <c r="H501" s="36" t="s">
        <v>658</v>
      </c>
      <c r="I501" s="37" t="n">
        <v>140</v>
      </c>
      <c r="J501" s="37"/>
      <c r="K501" s="37" t="n">
        <v>0</v>
      </c>
      <c r="L501" s="37" t="n">
        <v>0</v>
      </c>
      <c r="M501" s="37"/>
      <c r="N501" s="37"/>
      <c r="O501" s="37" t="s">
        <v>659</v>
      </c>
      <c r="P501" s="37" t="s">
        <v>1523</v>
      </c>
      <c r="Q501" s="37" t="s">
        <v>618</v>
      </c>
      <c r="R501" s="36" t="str">
        <f aca="false">IF(H501="Ya",IF(M501&lt;&gt;"","SUDAH PLOTTING","BELUM PLOTTING"),"-")</f>
        <v>-</v>
      </c>
      <c r="S501" s="37"/>
      <c r="T501" s="37"/>
    </row>
    <row r="502" customFormat="false" ht="15" hidden="false" customHeight="true" outlineLevel="0" collapsed="false">
      <c r="A502" s="36" t="s">
        <v>1525</v>
      </c>
      <c r="B502" s="37" t="s">
        <v>221</v>
      </c>
      <c r="C502" s="37" t="s">
        <v>310</v>
      </c>
      <c r="D502" s="37" t="s">
        <v>1522</v>
      </c>
      <c r="E502" s="36" t="s">
        <v>92</v>
      </c>
      <c r="F502" s="38" t="s">
        <v>11</v>
      </c>
      <c r="G502" s="36" t="s">
        <v>68</v>
      </c>
      <c r="H502" s="36" t="s">
        <v>658</v>
      </c>
      <c r="I502" s="37" t="n">
        <v>160</v>
      </c>
      <c r="J502" s="37"/>
      <c r="K502" s="37" t="n">
        <v>0</v>
      </c>
      <c r="L502" s="37" t="n">
        <v>0</v>
      </c>
      <c r="M502" s="37"/>
      <c r="N502" s="37"/>
      <c r="O502" s="37" t="s">
        <v>659</v>
      </c>
      <c r="P502" s="37" t="s">
        <v>1523</v>
      </c>
      <c r="Q502" s="37" t="s">
        <v>618</v>
      </c>
      <c r="R502" s="36" t="str">
        <f aca="false">IF(H502="Ya",IF(M502&lt;&gt;"","SUDAH PLOTTING","BELUM PLOTTING"),"-")</f>
        <v>-</v>
      </c>
      <c r="S502" s="37"/>
      <c r="T502" s="37"/>
    </row>
    <row r="503" customFormat="false" ht="15" hidden="false" customHeight="true" outlineLevel="0" collapsed="false">
      <c r="A503" s="36" t="s">
        <v>1526</v>
      </c>
      <c r="B503" s="37" t="s">
        <v>221</v>
      </c>
      <c r="C503" s="37" t="s">
        <v>310</v>
      </c>
      <c r="D503" s="37" t="s">
        <v>1522</v>
      </c>
      <c r="E503" s="36" t="s">
        <v>97</v>
      </c>
      <c r="F503" s="38" t="s">
        <v>11</v>
      </c>
      <c r="G503" s="36" t="s">
        <v>68</v>
      </c>
      <c r="H503" s="36" t="s">
        <v>658</v>
      </c>
      <c r="I503" s="37" t="n">
        <v>179</v>
      </c>
      <c r="J503" s="37"/>
      <c r="K503" s="37" t="n">
        <v>0</v>
      </c>
      <c r="L503" s="37" t="n">
        <v>0</v>
      </c>
      <c r="M503" s="37"/>
      <c r="N503" s="37"/>
      <c r="O503" s="37" t="s">
        <v>659</v>
      </c>
      <c r="P503" s="37" t="s">
        <v>1523</v>
      </c>
      <c r="Q503" s="37" t="s">
        <v>618</v>
      </c>
      <c r="R503" s="36" t="str">
        <f aca="false">IF(H503="Ya",IF(M503&lt;&gt;"","SUDAH PLOTTING","BELUM PLOTTING"),"-")</f>
        <v>-</v>
      </c>
      <c r="S503" s="37"/>
      <c r="T503" s="37"/>
    </row>
    <row r="504" customFormat="false" ht="15" hidden="false" customHeight="true" outlineLevel="0" collapsed="false">
      <c r="A504" s="36" t="s">
        <v>1527</v>
      </c>
      <c r="B504" s="37" t="s">
        <v>221</v>
      </c>
      <c r="C504" s="37" t="s">
        <v>310</v>
      </c>
      <c r="D504" s="37" t="s">
        <v>1522</v>
      </c>
      <c r="E504" s="36" t="s">
        <v>103</v>
      </c>
      <c r="F504" s="38" t="s">
        <v>11</v>
      </c>
      <c r="G504" s="36" t="s">
        <v>68</v>
      </c>
      <c r="H504" s="36" t="s">
        <v>658</v>
      </c>
      <c r="I504" s="37" t="n">
        <v>151</v>
      </c>
      <c r="J504" s="37"/>
      <c r="K504" s="37" t="n">
        <v>0</v>
      </c>
      <c r="L504" s="37" t="n">
        <v>0</v>
      </c>
      <c r="M504" s="37"/>
      <c r="N504" s="37"/>
      <c r="O504" s="37" t="s">
        <v>659</v>
      </c>
      <c r="P504" s="37" t="s">
        <v>1523</v>
      </c>
      <c r="Q504" s="37" t="s">
        <v>618</v>
      </c>
      <c r="R504" s="36" t="str">
        <f aca="false">IF(H504="Ya",IF(M504&lt;&gt;"","SUDAH PLOTTING","BELUM PLOTTING"),"-")</f>
        <v>-</v>
      </c>
      <c r="S504" s="37"/>
      <c r="T504" s="37"/>
    </row>
    <row r="505" customFormat="false" ht="15" hidden="false" customHeight="true" outlineLevel="0" collapsed="false">
      <c r="A505" s="36" t="s">
        <v>1528</v>
      </c>
      <c r="B505" s="37" t="s">
        <v>221</v>
      </c>
      <c r="C505" s="37" t="s">
        <v>310</v>
      </c>
      <c r="D505" s="37" t="s">
        <v>1522</v>
      </c>
      <c r="E505" s="36" t="s">
        <v>111</v>
      </c>
      <c r="F505" s="38" t="s">
        <v>11</v>
      </c>
      <c r="G505" s="36" t="s">
        <v>68</v>
      </c>
      <c r="H505" s="36" t="s">
        <v>658</v>
      </c>
      <c r="I505" s="37" t="n">
        <v>133</v>
      </c>
      <c r="J505" s="37"/>
      <c r="K505" s="37" t="n">
        <v>0</v>
      </c>
      <c r="L505" s="37" t="n">
        <v>0</v>
      </c>
      <c r="M505" s="37"/>
      <c r="N505" s="37"/>
      <c r="O505" s="37" t="s">
        <v>659</v>
      </c>
      <c r="P505" s="37" t="s">
        <v>1523</v>
      </c>
      <c r="Q505" s="37" t="s">
        <v>618</v>
      </c>
      <c r="R505" s="36" t="str">
        <f aca="false">IF(H505="Ya",IF(M505&lt;&gt;"","SUDAH PLOTTING","BELUM PLOTTING"),"-")</f>
        <v>-</v>
      </c>
      <c r="S505" s="37"/>
      <c r="T505" s="37"/>
    </row>
    <row r="506" customFormat="false" ht="15" hidden="false" customHeight="true" outlineLevel="0" collapsed="false">
      <c r="A506" s="36" t="s">
        <v>1529</v>
      </c>
      <c r="B506" s="37" t="s">
        <v>221</v>
      </c>
      <c r="C506" s="37" t="s">
        <v>310</v>
      </c>
      <c r="D506" s="37" t="s">
        <v>1522</v>
      </c>
      <c r="E506" s="36" t="s">
        <v>166</v>
      </c>
      <c r="F506" s="38" t="s">
        <v>11</v>
      </c>
      <c r="G506" s="36" t="s">
        <v>68</v>
      </c>
      <c r="H506" s="36" t="s">
        <v>658</v>
      </c>
      <c r="I506" s="37" t="n">
        <v>151</v>
      </c>
      <c r="J506" s="37"/>
      <c r="K506" s="37" t="n">
        <v>0</v>
      </c>
      <c r="L506" s="37" t="n">
        <v>0</v>
      </c>
      <c r="M506" s="37"/>
      <c r="N506" s="37"/>
      <c r="O506" s="37" t="s">
        <v>659</v>
      </c>
      <c r="P506" s="37" t="s">
        <v>1523</v>
      </c>
      <c r="Q506" s="37" t="s">
        <v>618</v>
      </c>
      <c r="R506" s="36" t="str">
        <f aca="false">IF(H506="Ya",IF(M506&lt;&gt;"","SUDAH PLOTTING","BELUM PLOTTING"),"-")</f>
        <v>-</v>
      </c>
      <c r="S506" s="37"/>
      <c r="T506" s="37"/>
    </row>
    <row r="507" customFormat="false" ht="15" hidden="false" customHeight="true" outlineLevel="0" collapsed="false">
      <c r="A507" s="36" t="s">
        <v>1530</v>
      </c>
      <c r="B507" s="37" t="s">
        <v>221</v>
      </c>
      <c r="C507" s="37" t="s">
        <v>310</v>
      </c>
      <c r="D507" s="37" t="s">
        <v>1522</v>
      </c>
      <c r="E507" s="36" t="s">
        <v>719</v>
      </c>
      <c r="F507" s="38" t="s">
        <v>11</v>
      </c>
      <c r="G507" s="36" t="s">
        <v>68</v>
      </c>
      <c r="H507" s="36" t="s">
        <v>658</v>
      </c>
      <c r="I507" s="37" t="n">
        <v>135</v>
      </c>
      <c r="J507" s="37"/>
      <c r="K507" s="37" t="n">
        <v>0</v>
      </c>
      <c r="L507" s="37" t="n">
        <v>0</v>
      </c>
      <c r="M507" s="37"/>
      <c r="N507" s="37"/>
      <c r="O507" s="37" t="s">
        <v>659</v>
      </c>
      <c r="P507" s="37" t="s">
        <v>1523</v>
      </c>
      <c r="Q507" s="37" t="s">
        <v>618</v>
      </c>
      <c r="R507" s="36" t="str">
        <f aca="false">IF(H507="Ya",IF(M507&lt;&gt;"","SUDAH PLOTTING","BELUM PLOTTING"),"-")</f>
        <v>-</v>
      </c>
      <c r="S507" s="37"/>
      <c r="T507" s="37"/>
    </row>
    <row r="508" customFormat="false" ht="15" hidden="false" customHeight="true" outlineLevel="0" collapsed="false">
      <c r="A508" s="36" t="s">
        <v>1531</v>
      </c>
      <c r="B508" s="37" t="s">
        <v>221</v>
      </c>
      <c r="C508" s="37" t="s">
        <v>310</v>
      </c>
      <c r="D508" s="37" t="s">
        <v>1522</v>
      </c>
      <c r="E508" s="36" t="s">
        <v>721</v>
      </c>
      <c r="F508" s="38" t="s">
        <v>11</v>
      </c>
      <c r="G508" s="36" t="s">
        <v>68</v>
      </c>
      <c r="H508" s="36" t="s">
        <v>658</v>
      </c>
      <c r="I508" s="37" t="n">
        <v>187</v>
      </c>
      <c r="J508" s="37"/>
      <c r="K508" s="37" t="n">
        <v>0</v>
      </c>
      <c r="L508" s="37" t="n">
        <v>0</v>
      </c>
      <c r="M508" s="37"/>
      <c r="N508" s="37"/>
      <c r="O508" s="37" t="s">
        <v>659</v>
      </c>
      <c r="P508" s="37" t="s">
        <v>1523</v>
      </c>
      <c r="Q508" s="37" t="s">
        <v>618</v>
      </c>
      <c r="R508" s="36" t="str">
        <f aca="false">IF(H508="Ya",IF(M508&lt;&gt;"","SUDAH PLOTTING","BELUM PLOTTING"),"-")</f>
        <v>-</v>
      </c>
      <c r="S508" s="37"/>
      <c r="T508" s="37"/>
    </row>
    <row r="509" customFormat="false" ht="15" hidden="false" customHeight="true" outlineLevel="0" collapsed="false">
      <c r="A509" s="36" t="s">
        <v>1532</v>
      </c>
      <c r="B509" s="37" t="s">
        <v>221</v>
      </c>
      <c r="C509" s="37" t="s">
        <v>310</v>
      </c>
      <c r="D509" s="37" t="s">
        <v>1522</v>
      </c>
      <c r="E509" s="36" t="s">
        <v>723</v>
      </c>
      <c r="F509" s="38" t="s">
        <v>11</v>
      </c>
      <c r="G509" s="36" t="s">
        <v>68</v>
      </c>
      <c r="H509" s="36" t="s">
        <v>658</v>
      </c>
      <c r="I509" s="37" t="n">
        <v>182</v>
      </c>
      <c r="J509" s="37"/>
      <c r="K509" s="37" t="n">
        <v>0</v>
      </c>
      <c r="L509" s="37" t="n">
        <v>0</v>
      </c>
      <c r="M509" s="37"/>
      <c r="N509" s="37"/>
      <c r="O509" s="37" t="s">
        <v>659</v>
      </c>
      <c r="P509" s="37" t="s">
        <v>1523</v>
      </c>
      <c r="Q509" s="37" t="s">
        <v>618</v>
      </c>
      <c r="R509" s="36" t="str">
        <f aca="false">IF(H509="Ya",IF(M509&lt;&gt;"","SUDAH PLOTTING","BELUM PLOTTING"),"-")</f>
        <v>-</v>
      </c>
      <c r="S509" s="37"/>
      <c r="T509" s="37"/>
    </row>
    <row r="510" customFormat="false" ht="15" hidden="false" customHeight="true" outlineLevel="0" collapsed="false">
      <c r="A510" s="36" t="s">
        <v>1533</v>
      </c>
      <c r="B510" s="37" t="s">
        <v>221</v>
      </c>
      <c r="C510" s="37" t="s">
        <v>310</v>
      </c>
      <c r="D510" s="37" t="s">
        <v>1522</v>
      </c>
      <c r="E510" s="36" t="s">
        <v>725</v>
      </c>
      <c r="F510" s="38" t="s">
        <v>11</v>
      </c>
      <c r="G510" s="36" t="s">
        <v>68</v>
      </c>
      <c r="H510" s="36" t="s">
        <v>658</v>
      </c>
      <c r="I510" s="37" t="n">
        <v>150</v>
      </c>
      <c r="J510" s="37"/>
      <c r="K510" s="37" t="n">
        <v>0</v>
      </c>
      <c r="L510" s="37" t="n">
        <v>0</v>
      </c>
      <c r="M510" s="37"/>
      <c r="N510" s="37"/>
      <c r="O510" s="37" t="s">
        <v>659</v>
      </c>
      <c r="P510" s="37" t="s">
        <v>1523</v>
      </c>
      <c r="Q510" s="37" t="s">
        <v>618</v>
      </c>
      <c r="R510" s="36" t="str">
        <f aca="false">IF(H510="Ya",IF(M510&lt;&gt;"","SUDAH PLOTTING","BELUM PLOTTING"),"-")</f>
        <v>-</v>
      </c>
      <c r="S510" s="37"/>
      <c r="T510" s="37"/>
    </row>
    <row r="511" customFormat="false" ht="15" hidden="false" customHeight="true" outlineLevel="0" collapsed="false">
      <c r="A511" s="36" t="s">
        <v>1534</v>
      </c>
      <c r="B511" s="37" t="s">
        <v>221</v>
      </c>
      <c r="C511" s="37" t="s">
        <v>310</v>
      </c>
      <c r="D511" s="37" t="s">
        <v>1522</v>
      </c>
      <c r="E511" s="36" t="s">
        <v>727</v>
      </c>
      <c r="F511" s="38" t="s">
        <v>11</v>
      </c>
      <c r="G511" s="36" t="s">
        <v>68</v>
      </c>
      <c r="H511" s="36" t="s">
        <v>658</v>
      </c>
      <c r="I511" s="37" t="n">
        <v>139</v>
      </c>
      <c r="J511" s="37"/>
      <c r="K511" s="37" t="n">
        <v>0</v>
      </c>
      <c r="L511" s="37" t="n">
        <v>0</v>
      </c>
      <c r="M511" s="37"/>
      <c r="N511" s="37"/>
      <c r="O511" s="37" t="s">
        <v>659</v>
      </c>
      <c r="P511" s="37" t="s">
        <v>1523</v>
      </c>
      <c r="Q511" s="37" t="s">
        <v>618</v>
      </c>
      <c r="R511" s="36" t="str">
        <f aca="false">IF(H511="Ya",IF(M511&lt;&gt;"","SUDAH PLOTTING","BELUM PLOTTING"),"-")</f>
        <v>-</v>
      </c>
      <c r="S511" s="37"/>
      <c r="T511" s="37"/>
    </row>
    <row r="512" customFormat="false" ht="15" hidden="false" customHeight="true" outlineLevel="0" collapsed="false">
      <c r="A512" s="36" t="s">
        <v>1535</v>
      </c>
      <c r="B512" s="37" t="s">
        <v>221</v>
      </c>
      <c r="C512" s="37" t="s">
        <v>310</v>
      </c>
      <c r="D512" s="37" t="s">
        <v>1522</v>
      </c>
      <c r="E512" s="36" t="s">
        <v>729</v>
      </c>
      <c r="F512" s="38" t="s">
        <v>11</v>
      </c>
      <c r="G512" s="36" t="s">
        <v>68</v>
      </c>
      <c r="H512" s="36" t="s">
        <v>658</v>
      </c>
      <c r="I512" s="37" t="n">
        <v>186</v>
      </c>
      <c r="J512" s="37"/>
      <c r="K512" s="37" t="n">
        <v>0</v>
      </c>
      <c r="L512" s="37" t="n">
        <v>0</v>
      </c>
      <c r="M512" s="37"/>
      <c r="N512" s="37"/>
      <c r="O512" s="37" t="s">
        <v>659</v>
      </c>
      <c r="P512" s="37" t="s">
        <v>1523</v>
      </c>
      <c r="Q512" s="37" t="s">
        <v>618</v>
      </c>
      <c r="R512" s="36" t="str">
        <f aca="false">IF(H512="Ya",IF(M512&lt;&gt;"","SUDAH PLOTTING","BELUM PLOTTING"),"-")</f>
        <v>-</v>
      </c>
      <c r="S512" s="37"/>
      <c r="T512" s="37"/>
    </row>
    <row r="513" customFormat="false" ht="15" hidden="false" customHeight="true" outlineLevel="0" collapsed="false">
      <c r="A513" s="36" t="s">
        <v>1536</v>
      </c>
      <c r="B513" s="37" t="s">
        <v>221</v>
      </c>
      <c r="C513" s="37" t="s">
        <v>310</v>
      </c>
      <c r="D513" s="37" t="s">
        <v>1522</v>
      </c>
      <c r="E513" s="36" t="s">
        <v>731</v>
      </c>
      <c r="F513" s="38" t="s">
        <v>11</v>
      </c>
      <c r="G513" s="36" t="s">
        <v>68</v>
      </c>
      <c r="H513" s="36" t="s">
        <v>658</v>
      </c>
      <c r="I513" s="37" t="n">
        <v>180</v>
      </c>
      <c r="J513" s="37"/>
      <c r="K513" s="37" t="n">
        <v>0</v>
      </c>
      <c r="L513" s="37" t="n">
        <v>0</v>
      </c>
      <c r="M513" s="37"/>
      <c r="N513" s="37"/>
      <c r="O513" s="37" t="s">
        <v>659</v>
      </c>
      <c r="P513" s="37" t="s">
        <v>1523</v>
      </c>
      <c r="Q513" s="37" t="s">
        <v>618</v>
      </c>
      <c r="R513" s="36" t="str">
        <f aca="false">IF(H513="Ya",IF(M513&lt;&gt;"","SUDAH PLOTTING","BELUM PLOTTING"),"-")</f>
        <v>-</v>
      </c>
      <c r="S513" s="37"/>
      <c r="T513" s="37"/>
    </row>
    <row r="514" customFormat="false" ht="15" hidden="false" customHeight="true" outlineLevel="0" collapsed="false">
      <c r="A514" s="36" t="s">
        <v>1537</v>
      </c>
      <c r="B514" s="37" t="s">
        <v>221</v>
      </c>
      <c r="C514" s="37" t="s">
        <v>310</v>
      </c>
      <c r="D514" s="37" t="s">
        <v>1522</v>
      </c>
      <c r="E514" s="36" t="s">
        <v>733</v>
      </c>
      <c r="F514" s="38" t="s">
        <v>11</v>
      </c>
      <c r="G514" s="36" t="s">
        <v>68</v>
      </c>
      <c r="H514" s="36" t="s">
        <v>658</v>
      </c>
      <c r="I514" s="37" t="n">
        <v>191</v>
      </c>
      <c r="J514" s="37"/>
      <c r="K514" s="37" t="n">
        <v>0</v>
      </c>
      <c r="L514" s="37" t="n">
        <v>0</v>
      </c>
      <c r="M514" s="37"/>
      <c r="N514" s="37"/>
      <c r="O514" s="37" t="s">
        <v>659</v>
      </c>
      <c r="P514" s="37" t="s">
        <v>1523</v>
      </c>
      <c r="Q514" s="37" t="s">
        <v>618</v>
      </c>
      <c r="R514" s="36" t="str">
        <f aca="false">IF(H514="Ya",IF(M514&lt;&gt;"","SUDAH PLOTTING","BELUM PLOTTING"),"-")</f>
        <v>-</v>
      </c>
      <c r="S514" s="37"/>
      <c r="T514" s="37"/>
    </row>
    <row r="515" customFormat="false" ht="15" hidden="false" customHeight="true" outlineLevel="0" collapsed="false">
      <c r="A515" s="36" t="s">
        <v>1538</v>
      </c>
      <c r="B515" s="37" t="s">
        <v>221</v>
      </c>
      <c r="C515" s="37" t="s">
        <v>310</v>
      </c>
      <c r="D515" s="37" t="s">
        <v>1522</v>
      </c>
      <c r="E515" s="36" t="s">
        <v>735</v>
      </c>
      <c r="F515" s="38" t="s">
        <v>11</v>
      </c>
      <c r="G515" s="36" t="s">
        <v>68</v>
      </c>
      <c r="H515" s="36" t="s">
        <v>658</v>
      </c>
      <c r="I515" s="37" t="n">
        <v>173</v>
      </c>
      <c r="J515" s="37"/>
      <c r="K515" s="37" t="n">
        <v>0</v>
      </c>
      <c r="L515" s="37" t="n">
        <v>0</v>
      </c>
      <c r="M515" s="37"/>
      <c r="N515" s="37"/>
      <c r="O515" s="37" t="s">
        <v>659</v>
      </c>
      <c r="P515" s="37" t="s">
        <v>1523</v>
      </c>
      <c r="Q515" s="37" t="s">
        <v>618</v>
      </c>
      <c r="R515" s="36" t="str">
        <f aca="false">IF(H515="Ya",IF(M515&lt;&gt;"","SUDAH PLOTTING","BELUM PLOTTING"),"-")</f>
        <v>-</v>
      </c>
      <c r="S515" s="37"/>
      <c r="T515" s="37"/>
    </row>
    <row r="516" customFormat="false" ht="15" hidden="false" customHeight="true" outlineLevel="0" collapsed="false">
      <c r="A516" s="36" t="s">
        <v>1539</v>
      </c>
      <c r="B516" s="37" t="s">
        <v>221</v>
      </c>
      <c r="C516" s="37" t="s">
        <v>310</v>
      </c>
      <c r="D516" s="37" t="s">
        <v>1522</v>
      </c>
      <c r="E516" s="36" t="s">
        <v>737</v>
      </c>
      <c r="F516" s="38" t="s">
        <v>11</v>
      </c>
      <c r="G516" s="36" t="s">
        <v>68</v>
      </c>
      <c r="H516" s="36" t="s">
        <v>658</v>
      </c>
      <c r="I516" s="37" t="n">
        <v>151</v>
      </c>
      <c r="J516" s="37"/>
      <c r="K516" s="37" t="n">
        <v>0</v>
      </c>
      <c r="L516" s="37" t="n">
        <v>0</v>
      </c>
      <c r="M516" s="37"/>
      <c r="N516" s="37"/>
      <c r="O516" s="37" t="s">
        <v>659</v>
      </c>
      <c r="P516" s="37" t="s">
        <v>1523</v>
      </c>
      <c r="Q516" s="37" t="s">
        <v>618</v>
      </c>
      <c r="R516" s="36" t="str">
        <f aca="false">IF(H516="Ya",IF(M516&lt;&gt;"","SUDAH PLOTTING","BELUM PLOTTING"),"-")</f>
        <v>-</v>
      </c>
      <c r="S516" s="37"/>
      <c r="T516" s="37"/>
    </row>
    <row r="517" customFormat="false" ht="15" hidden="false" customHeight="true" outlineLevel="0" collapsed="false">
      <c r="A517" s="36" t="s">
        <v>1540</v>
      </c>
      <c r="B517" s="37" t="s">
        <v>221</v>
      </c>
      <c r="C517" s="37" t="s">
        <v>310</v>
      </c>
      <c r="D517" s="37" t="s">
        <v>1522</v>
      </c>
      <c r="E517" s="36" t="s">
        <v>739</v>
      </c>
      <c r="F517" s="38" t="s">
        <v>11</v>
      </c>
      <c r="G517" s="36" t="s">
        <v>68</v>
      </c>
      <c r="H517" s="36" t="s">
        <v>658</v>
      </c>
      <c r="I517" s="37" t="n">
        <v>160</v>
      </c>
      <c r="J517" s="37"/>
      <c r="K517" s="37" t="n">
        <v>0</v>
      </c>
      <c r="L517" s="37" t="n">
        <v>0</v>
      </c>
      <c r="M517" s="37"/>
      <c r="N517" s="37"/>
      <c r="O517" s="37" t="s">
        <v>659</v>
      </c>
      <c r="P517" s="37" t="s">
        <v>1523</v>
      </c>
      <c r="Q517" s="37" t="s">
        <v>618</v>
      </c>
      <c r="R517" s="36" t="str">
        <f aca="false">IF(H517="Ya",IF(M517&lt;&gt;"","SUDAH PLOTTING","BELUM PLOTTING"),"-")</f>
        <v>-</v>
      </c>
      <c r="S517" s="37"/>
      <c r="T517" s="37"/>
    </row>
    <row r="518" customFormat="false" ht="15" hidden="false" customHeight="true" outlineLevel="0" collapsed="false">
      <c r="A518" s="36" t="s">
        <v>1541</v>
      </c>
      <c r="B518" s="37" t="s">
        <v>221</v>
      </c>
      <c r="C518" s="37" t="s">
        <v>310</v>
      </c>
      <c r="D518" s="37" t="s">
        <v>1522</v>
      </c>
      <c r="E518" s="36" t="s">
        <v>1542</v>
      </c>
      <c r="F518" s="38" t="s">
        <v>11</v>
      </c>
      <c r="G518" s="36" t="s">
        <v>68</v>
      </c>
      <c r="H518" s="36" t="s">
        <v>658</v>
      </c>
      <c r="I518" s="37" t="n">
        <v>148</v>
      </c>
      <c r="J518" s="37"/>
      <c r="K518" s="37" t="n">
        <v>0</v>
      </c>
      <c r="L518" s="37" t="n">
        <v>0</v>
      </c>
      <c r="M518" s="37"/>
      <c r="N518" s="37"/>
      <c r="O518" s="37" t="s">
        <v>659</v>
      </c>
      <c r="P518" s="37" t="s">
        <v>1523</v>
      </c>
      <c r="Q518" s="37" t="s">
        <v>618</v>
      </c>
      <c r="R518" s="36" t="str">
        <f aca="false">IF(H518="Ya",IF(M518&lt;&gt;"","SUDAH PLOTTING","BELUM PLOTTING"),"-")</f>
        <v>-</v>
      </c>
      <c r="S518" s="37"/>
      <c r="T518" s="37"/>
    </row>
    <row r="519" customFormat="false" ht="15" hidden="false" customHeight="true" outlineLevel="0" collapsed="false">
      <c r="A519" s="36" t="s">
        <v>1543</v>
      </c>
      <c r="B519" s="37" t="s">
        <v>221</v>
      </c>
      <c r="C519" s="37" t="s">
        <v>310</v>
      </c>
      <c r="D519" s="37" t="s">
        <v>1522</v>
      </c>
      <c r="E519" s="36" t="s">
        <v>1544</v>
      </c>
      <c r="F519" s="38" t="s">
        <v>11</v>
      </c>
      <c r="G519" s="36" t="s">
        <v>68</v>
      </c>
      <c r="H519" s="36" t="s">
        <v>658</v>
      </c>
      <c r="I519" s="37" t="n">
        <v>213</v>
      </c>
      <c r="J519" s="37"/>
      <c r="K519" s="37" t="n">
        <v>0</v>
      </c>
      <c r="L519" s="37" t="n">
        <v>0</v>
      </c>
      <c r="M519" s="37"/>
      <c r="N519" s="37"/>
      <c r="O519" s="37" t="s">
        <v>659</v>
      </c>
      <c r="P519" s="37" t="s">
        <v>1523</v>
      </c>
      <c r="Q519" s="37" t="s">
        <v>618</v>
      </c>
      <c r="R519" s="36" t="str">
        <f aca="false">IF(H519="Ya",IF(M519&lt;&gt;"","SUDAH PLOTTING","BELUM PLOTTING"),"-")</f>
        <v>-</v>
      </c>
      <c r="S519" s="37"/>
      <c r="T519" s="37"/>
    </row>
    <row r="520" customFormat="false" ht="15" hidden="false" customHeight="true" outlineLevel="0" collapsed="false">
      <c r="A520" s="36" t="s">
        <v>1545</v>
      </c>
      <c r="B520" s="37" t="s">
        <v>221</v>
      </c>
      <c r="C520" s="37" t="s">
        <v>310</v>
      </c>
      <c r="D520" s="37" t="s">
        <v>1546</v>
      </c>
      <c r="E520" s="36" t="s">
        <v>79</v>
      </c>
      <c r="F520" s="39" t="s">
        <v>7</v>
      </c>
      <c r="G520" s="36" t="s">
        <v>68</v>
      </c>
      <c r="H520" s="36" t="s">
        <v>68</v>
      </c>
      <c r="I520" s="37" t="n">
        <v>159</v>
      </c>
      <c r="J520" s="37"/>
      <c r="K520" s="37" t="n">
        <v>1</v>
      </c>
      <c r="L520" s="37" t="n">
        <v>0</v>
      </c>
      <c r="M520" s="37" t="s">
        <v>1446</v>
      </c>
      <c r="N520" s="37"/>
      <c r="O520" s="37"/>
      <c r="P520" s="37" t="s">
        <v>1547</v>
      </c>
      <c r="Q520" s="37" t="s">
        <v>618</v>
      </c>
      <c r="R520" s="36" t="str">
        <f aca="false">IF(H520="Ya",IF(M520&lt;&gt;"","SUDAH PLOTTING","BELUM PLOTTING"),"-")</f>
        <v>SUDAH PLOTTING</v>
      </c>
      <c r="S520" s="37" t="s">
        <v>212</v>
      </c>
      <c r="T520" s="37"/>
      <c r="U520" s="40" t="s">
        <v>692</v>
      </c>
      <c r="V520" s="40" t="s">
        <v>68</v>
      </c>
    </row>
    <row r="521" customFormat="false" ht="15" hidden="false" customHeight="true" outlineLevel="0" collapsed="false">
      <c r="A521" s="36" t="s">
        <v>1548</v>
      </c>
      <c r="B521" s="37" t="s">
        <v>221</v>
      </c>
      <c r="C521" s="37" t="s">
        <v>310</v>
      </c>
      <c r="D521" s="37" t="s">
        <v>1546</v>
      </c>
      <c r="E521" s="36" t="s">
        <v>88</v>
      </c>
      <c r="F521" s="39" t="s">
        <v>7</v>
      </c>
      <c r="G521" s="36" t="s">
        <v>68</v>
      </c>
      <c r="H521" s="36" t="s">
        <v>68</v>
      </c>
      <c r="I521" s="37" t="n">
        <v>165</v>
      </c>
      <c r="J521" s="37"/>
      <c r="K521" s="37" t="n">
        <v>2</v>
      </c>
      <c r="L521" s="37" t="n">
        <v>0</v>
      </c>
      <c r="M521" s="37" t="s">
        <v>1446</v>
      </c>
      <c r="N521" s="37"/>
      <c r="O521" s="37"/>
      <c r="P521" s="37" t="s">
        <v>1547</v>
      </c>
      <c r="Q521" s="37" t="s">
        <v>618</v>
      </c>
      <c r="R521" s="36" t="str">
        <f aca="false">IF(H521="Ya",IF(M521&lt;&gt;"","SUDAH PLOTTING","BELUM PLOTTING"),"-")</f>
        <v>SUDAH PLOTTING</v>
      </c>
      <c r="S521" s="37" t="s">
        <v>212</v>
      </c>
      <c r="T521" s="37"/>
      <c r="U521" s="40" t="s">
        <v>692</v>
      </c>
      <c r="V521" s="40" t="s">
        <v>68</v>
      </c>
    </row>
    <row r="522" customFormat="false" ht="15" hidden="false" customHeight="true" outlineLevel="0" collapsed="false">
      <c r="A522" s="36" t="s">
        <v>1549</v>
      </c>
      <c r="B522" s="37" t="s">
        <v>221</v>
      </c>
      <c r="C522" s="37" t="s">
        <v>310</v>
      </c>
      <c r="D522" s="37" t="s">
        <v>1546</v>
      </c>
      <c r="E522" s="36" t="s">
        <v>92</v>
      </c>
      <c r="F522" s="39" t="s">
        <v>7</v>
      </c>
      <c r="G522" s="36" t="s">
        <v>68</v>
      </c>
      <c r="H522" s="36" t="s">
        <v>68</v>
      </c>
      <c r="I522" s="37" t="n">
        <v>146</v>
      </c>
      <c r="J522" s="37"/>
      <c r="K522" s="37" t="n">
        <v>1</v>
      </c>
      <c r="L522" s="37" t="n">
        <v>0</v>
      </c>
      <c r="M522" s="37" t="s">
        <v>1446</v>
      </c>
      <c r="N522" s="37"/>
      <c r="O522" s="37"/>
      <c r="P522" s="37" t="s">
        <v>1547</v>
      </c>
      <c r="Q522" s="37" t="s">
        <v>618</v>
      </c>
      <c r="R522" s="36" t="str">
        <f aca="false">IF(H522="Ya",IF(M522&lt;&gt;"","SUDAH PLOTTING","BELUM PLOTTING"),"-")</f>
        <v>SUDAH PLOTTING</v>
      </c>
      <c r="S522" s="37" t="s">
        <v>212</v>
      </c>
      <c r="T522" s="37"/>
      <c r="U522" s="40" t="s">
        <v>692</v>
      </c>
      <c r="V522" s="40" t="s">
        <v>68</v>
      </c>
    </row>
    <row r="523" customFormat="false" ht="15" hidden="false" customHeight="true" outlineLevel="0" collapsed="false">
      <c r="A523" s="36" t="s">
        <v>1550</v>
      </c>
      <c r="B523" s="37" t="s">
        <v>221</v>
      </c>
      <c r="C523" s="37" t="s">
        <v>310</v>
      </c>
      <c r="D523" s="37" t="s">
        <v>1546</v>
      </c>
      <c r="E523" s="36" t="s">
        <v>97</v>
      </c>
      <c r="F523" s="39" t="s">
        <v>7</v>
      </c>
      <c r="G523" s="36" t="s">
        <v>68</v>
      </c>
      <c r="H523" s="36" t="s">
        <v>68</v>
      </c>
      <c r="I523" s="37" t="n">
        <v>167</v>
      </c>
      <c r="J523" s="37"/>
      <c r="K523" s="37" t="n">
        <v>4</v>
      </c>
      <c r="L523" s="37" t="n">
        <v>0</v>
      </c>
      <c r="M523" s="37" t="s">
        <v>1446</v>
      </c>
      <c r="N523" s="37"/>
      <c r="O523" s="37"/>
      <c r="P523" s="37" t="s">
        <v>1547</v>
      </c>
      <c r="Q523" s="37" t="s">
        <v>618</v>
      </c>
      <c r="R523" s="36" t="str">
        <f aca="false">IF(H523="Ya",IF(M523&lt;&gt;"","SUDAH PLOTTING","BELUM PLOTTING"),"-")</f>
        <v>SUDAH PLOTTING</v>
      </c>
      <c r="S523" s="37" t="s">
        <v>212</v>
      </c>
      <c r="T523" s="37"/>
      <c r="U523" s="40" t="s">
        <v>692</v>
      </c>
      <c r="V523" s="40" t="s">
        <v>68</v>
      </c>
    </row>
    <row r="524" customFormat="false" ht="15" hidden="false" customHeight="true" outlineLevel="0" collapsed="false">
      <c r="A524" s="36" t="s">
        <v>1551</v>
      </c>
      <c r="B524" s="37" t="s">
        <v>221</v>
      </c>
      <c r="C524" s="37" t="s">
        <v>310</v>
      </c>
      <c r="D524" s="37" t="s">
        <v>1546</v>
      </c>
      <c r="E524" s="36" t="s">
        <v>103</v>
      </c>
      <c r="F524" s="39" t="s">
        <v>7</v>
      </c>
      <c r="G524" s="36" t="s">
        <v>68</v>
      </c>
      <c r="H524" s="36" t="s">
        <v>68</v>
      </c>
      <c r="I524" s="37" t="n">
        <v>175</v>
      </c>
      <c r="J524" s="37"/>
      <c r="K524" s="37" t="n">
        <v>3</v>
      </c>
      <c r="L524" s="37" t="n">
        <v>0</v>
      </c>
      <c r="M524" s="37" t="s">
        <v>1498</v>
      </c>
      <c r="N524" s="37"/>
      <c r="O524" s="37"/>
      <c r="P524" s="37" t="s">
        <v>1547</v>
      </c>
      <c r="Q524" s="37" t="s">
        <v>618</v>
      </c>
      <c r="R524" s="36" t="str">
        <f aca="false">IF(H524="Ya",IF(M524&lt;&gt;"","SUDAH PLOTTING","BELUM PLOTTING"),"-")</f>
        <v>SUDAH PLOTTING</v>
      </c>
      <c r="S524" s="37" t="s">
        <v>192</v>
      </c>
      <c r="T524" s="37"/>
      <c r="U524" s="40" t="s">
        <v>692</v>
      </c>
      <c r="V524" s="40" t="s">
        <v>68</v>
      </c>
    </row>
    <row r="525" customFormat="false" ht="15" hidden="false" customHeight="true" outlineLevel="0" collapsed="false">
      <c r="A525" s="36" t="s">
        <v>1552</v>
      </c>
      <c r="B525" s="37" t="s">
        <v>221</v>
      </c>
      <c r="C525" s="37" t="s">
        <v>310</v>
      </c>
      <c r="D525" s="37" t="s">
        <v>1546</v>
      </c>
      <c r="E525" s="36" t="s">
        <v>111</v>
      </c>
      <c r="F525" s="39" t="s">
        <v>7</v>
      </c>
      <c r="G525" s="36" t="s">
        <v>68</v>
      </c>
      <c r="H525" s="36" t="s">
        <v>68</v>
      </c>
      <c r="I525" s="37" t="n">
        <v>139</v>
      </c>
      <c r="J525" s="37"/>
      <c r="K525" s="37" t="n">
        <v>1</v>
      </c>
      <c r="L525" s="37" t="n">
        <v>0</v>
      </c>
      <c r="M525" s="37" t="s">
        <v>1501</v>
      </c>
      <c r="N525" s="37"/>
      <c r="O525" s="37"/>
      <c r="P525" s="37" t="s">
        <v>1547</v>
      </c>
      <c r="Q525" s="37" t="s">
        <v>618</v>
      </c>
      <c r="R525" s="36" t="str">
        <f aca="false">IF(H525="Ya",IF(M525&lt;&gt;"","SUDAH PLOTTING","BELUM PLOTTING"),"-")</f>
        <v>SUDAH PLOTTING</v>
      </c>
      <c r="S525" s="37" t="s">
        <v>212</v>
      </c>
      <c r="T525" s="37"/>
      <c r="U525" s="40" t="s">
        <v>692</v>
      </c>
      <c r="V525" s="40" t="s">
        <v>68</v>
      </c>
    </row>
    <row r="526" customFormat="false" ht="15" hidden="false" customHeight="true" outlineLevel="0" collapsed="false">
      <c r="A526" s="36" t="s">
        <v>1553</v>
      </c>
      <c r="B526" s="37" t="s">
        <v>221</v>
      </c>
      <c r="C526" s="37" t="s">
        <v>310</v>
      </c>
      <c r="D526" s="37" t="s">
        <v>1546</v>
      </c>
      <c r="E526" s="36" t="s">
        <v>166</v>
      </c>
      <c r="F526" s="39" t="s">
        <v>7</v>
      </c>
      <c r="G526" s="36" t="s">
        <v>68</v>
      </c>
      <c r="H526" s="36" t="s">
        <v>68</v>
      </c>
      <c r="I526" s="37" t="n">
        <v>132</v>
      </c>
      <c r="J526" s="37"/>
      <c r="K526" s="37" t="n">
        <v>1</v>
      </c>
      <c r="L526" s="37" t="n">
        <v>0</v>
      </c>
      <c r="M526" s="37" t="s">
        <v>1446</v>
      </c>
      <c r="N526" s="37"/>
      <c r="O526" s="37"/>
      <c r="P526" s="37" t="s">
        <v>1547</v>
      </c>
      <c r="Q526" s="37" t="s">
        <v>618</v>
      </c>
      <c r="R526" s="36" t="str">
        <f aca="false">IF(H526="Ya",IF(M526&lt;&gt;"","SUDAH PLOTTING","BELUM PLOTTING"),"-")</f>
        <v>SUDAH PLOTTING</v>
      </c>
      <c r="S526" s="37" t="s">
        <v>212</v>
      </c>
      <c r="T526" s="37"/>
      <c r="U526" s="40" t="s">
        <v>692</v>
      </c>
      <c r="V526" s="40" t="s">
        <v>68</v>
      </c>
    </row>
    <row r="527" customFormat="false" ht="15" hidden="false" customHeight="true" outlineLevel="0" collapsed="false">
      <c r="A527" s="36" t="s">
        <v>1554</v>
      </c>
      <c r="B527" s="37" t="s">
        <v>221</v>
      </c>
      <c r="C527" s="37" t="s">
        <v>310</v>
      </c>
      <c r="D527" s="37" t="s">
        <v>1546</v>
      </c>
      <c r="E527" s="36" t="s">
        <v>719</v>
      </c>
      <c r="F527" s="39" t="s">
        <v>7</v>
      </c>
      <c r="G527" s="36" t="s">
        <v>68</v>
      </c>
      <c r="H527" s="36" t="s">
        <v>68</v>
      </c>
      <c r="I527" s="37" t="n">
        <v>152</v>
      </c>
      <c r="J527" s="37"/>
      <c r="K527" s="37" t="n">
        <v>1</v>
      </c>
      <c r="L527" s="37" t="n">
        <v>0</v>
      </c>
      <c r="M527" s="37" t="s">
        <v>1498</v>
      </c>
      <c r="N527" s="37"/>
      <c r="O527" s="37"/>
      <c r="P527" s="37" t="s">
        <v>1547</v>
      </c>
      <c r="Q527" s="37" t="s">
        <v>618</v>
      </c>
      <c r="R527" s="36" t="str">
        <f aca="false">IF(H527="Ya",IF(M527&lt;&gt;"","SUDAH PLOTTING","BELUM PLOTTING"),"-")</f>
        <v>SUDAH PLOTTING</v>
      </c>
      <c r="S527" s="37" t="s">
        <v>192</v>
      </c>
      <c r="T527" s="37"/>
      <c r="U527" s="40" t="s">
        <v>692</v>
      </c>
      <c r="V527" s="40" t="s">
        <v>68</v>
      </c>
    </row>
    <row r="528" customFormat="false" ht="15" hidden="false" customHeight="true" outlineLevel="0" collapsed="false">
      <c r="A528" s="36" t="s">
        <v>1555</v>
      </c>
      <c r="B528" s="37" t="s">
        <v>221</v>
      </c>
      <c r="C528" s="37" t="s">
        <v>310</v>
      </c>
      <c r="D528" s="37" t="s">
        <v>1556</v>
      </c>
      <c r="E528" s="36" t="s">
        <v>79</v>
      </c>
      <c r="F528" s="38" t="s">
        <v>11</v>
      </c>
      <c r="G528" s="36" t="s">
        <v>68</v>
      </c>
      <c r="H528" s="36" t="s">
        <v>658</v>
      </c>
      <c r="I528" s="37" t="n">
        <v>168</v>
      </c>
      <c r="J528" s="37"/>
      <c r="K528" s="37" t="n">
        <v>0</v>
      </c>
      <c r="L528" s="37" t="n">
        <v>0</v>
      </c>
      <c r="M528" s="37"/>
      <c r="N528" s="37"/>
      <c r="O528" s="37" t="s">
        <v>659</v>
      </c>
      <c r="P528" s="37" t="s">
        <v>1557</v>
      </c>
      <c r="Q528" s="37" t="s">
        <v>618</v>
      </c>
      <c r="R528" s="36" t="str">
        <f aca="false">IF(H528="Ya",IF(M528&lt;&gt;"","SUDAH PLOTTING","BELUM PLOTTING"),"-")</f>
        <v>-</v>
      </c>
      <c r="S528" s="37"/>
      <c r="T528" s="37"/>
    </row>
    <row r="529" customFormat="false" ht="15" hidden="false" customHeight="true" outlineLevel="0" collapsed="false">
      <c r="A529" s="36" t="s">
        <v>1558</v>
      </c>
      <c r="B529" s="37" t="s">
        <v>221</v>
      </c>
      <c r="C529" s="37" t="s">
        <v>310</v>
      </c>
      <c r="D529" s="37" t="s">
        <v>1556</v>
      </c>
      <c r="E529" s="36" t="s">
        <v>88</v>
      </c>
      <c r="F529" s="38" t="s">
        <v>11</v>
      </c>
      <c r="G529" s="36" t="s">
        <v>68</v>
      </c>
      <c r="H529" s="36" t="s">
        <v>658</v>
      </c>
      <c r="I529" s="37" t="n">
        <v>155</v>
      </c>
      <c r="J529" s="37"/>
      <c r="K529" s="37" t="n">
        <v>0</v>
      </c>
      <c r="L529" s="37" t="n">
        <v>0</v>
      </c>
      <c r="M529" s="37"/>
      <c r="N529" s="37"/>
      <c r="O529" s="37" t="s">
        <v>659</v>
      </c>
      <c r="P529" s="37" t="s">
        <v>1557</v>
      </c>
      <c r="Q529" s="37" t="s">
        <v>618</v>
      </c>
      <c r="R529" s="36" t="str">
        <f aca="false">IF(H529="Ya",IF(M529&lt;&gt;"","SUDAH PLOTTING","BELUM PLOTTING"),"-")</f>
        <v>-</v>
      </c>
      <c r="S529" s="37"/>
      <c r="T529" s="37"/>
    </row>
    <row r="530" customFormat="false" ht="15" hidden="false" customHeight="true" outlineLevel="0" collapsed="false">
      <c r="A530" s="36" t="s">
        <v>1559</v>
      </c>
      <c r="B530" s="37" t="s">
        <v>221</v>
      </c>
      <c r="C530" s="37" t="s">
        <v>310</v>
      </c>
      <c r="D530" s="37" t="s">
        <v>1556</v>
      </c>
      <c r="E530" s="36" t="s">
        <v>92</v>
      </c>
      <c r="F530" s="38" t="s">
        <v>11</v>
      </c>
      <c r="G530" s="36" t="s">
        <v>68</v>
      </c>
      <c r="H530" s="36" t="s">
        <v>658</v>
      </c>
      <c r="I530" s="37" t="n">
        <v>135</v>
      </c>
      <c r="J530" s="37"/>
      <c r="K530" s="37" t="n">
        <v>0</v>
      </c>
      <c r="L530" s="37" t="n">
        <v>0</v>
      </c>
      <c r="M530" s="37"/>
      <c r="N530" s="37"/>
      <c r="O530" s="37" t="s">
        <v>659</v>
      </c>
      <c r="P530" s="37" t="s">
        <v>1557</v>
      </c>
      <c r="Q530" s="37" t="s">
        <v>618</v>
      </c>
      <c r="R530" s="36" t="str">
        <f aca="false">IF(H530="Ya",IF(M530&lt;&gt;"","SUDAH PLOTTING","BELUM PLOTTING"),"-")</f>
        <v>-</v>
      </c>
      <c r="S530" s="37"/>
      <c r="T530" s="37"/>
    </row>
    <row r="531" customFormat="false" ht="15" hidden="false" customHeight="true" outlineLevel="0" collapsed="false">
      <c r="A531" s="36" t="s">
        <v>1560</v>
      </c>
      <c r="B531" s="37" t="s">
        <v>221</v>
      </c>
      <c r="C531" s="37" t="s">
        <v>310</v>
      </c>
      <c r="D531" s="37" t="s">
        <v>1556</v>
      </c>
      <c r="E531" s="36" t="s">
        <v>97</v>
      </c>
      <c r="F531" s="38" t="s">
        <v>11</v>
      </c>
      <c r="G531" s="36" t="s">
        <v>68</v>
      </c>
      <c r="H531" s="36" t="s">
        <v>658</v>
      </c>
      <c r="I531" s="37" t="n">
        <v>125</v>
      </c>
      <c r="J531" s="37"/>
      <c r="K531" s="37" t="n">
        <v>0</v>
      </c>
      <c r="L531" s="37" t="n">
        <v>0</v>
      </c>
      <c r="M531" s="37"/>
      <c r="N531" s="37"/>
      <c r="O531" s="37" t="s">
        <v>659</v>
      </c>
      <c r="P531" s="37" t="s">
        <v>1557</v>
      </c>
      <c r="Q531" s="37" t="s">
        <v>618</v>
      </c>
      <c r="R531" s="36" t="str">
        <f aca="false">IF(H531="Ya",IF(M531&lt;&gt;"","SUDAH PLOTTING","BELUM PLOTTING"),"-")</f>
        <v>-</v>
      </c>
      <c r="S531" s="37"/>
      <c r="T531" s="37"/>
    </row>
    <row r="532" customFormat="false" ht="15" hidden="false" customHeight="true" outlineLevel="0" collapsed="false">
      <c r="A532" s="36" t="s">
        <v>1561</v>
      </c>
      <c r="B532" s="37" t="s">
        <v>221</v>
      </c>
      <c r="C532" s="37" t="s">
        <v>310</v>
      </c>
      <c r="D532" s="37" t="s">
        <v>1556</v>
      </c>
      <c r="E532" s="36" t="s">
        <v>103</v>
      </c>
      <c r="F532" s="38" t="s">
        <v>11</v>
      </c>
      <c r="G532" s="36" t="s">
        <v>68</v>
      </c>
      <c r="H532" s="36" t="s">
        <v>658</v>
      </c>
      <c r="I532" s="37" t="n">
        <v>158</v>
      </c>
      <c r="J532" s="37"/>
      <c r="K532" s="37" t="n">
        <v>0</v>
      </c>
      <c r="L532" s="37" t="n">
        <v>0</v>
      </c>
      <c r="M532" s="37"/>
      <c r="N532" s="37"/>
      <c r="O532" s="37" t="s">
        <v>659</v>
      </c>
      <c r="P532" s="37" t="s">
        <v>1557</v>
      </c>
      <c r="Q532" s="37" t="s">
        <v>618</v>
      </c>
      <c r="R532" s="36" t="str">
        <f aca="false">IF(H532="Ya",IF(M532&lt;&gt;"","SUDAH PLOTTING","BELUM PLOTTING"),"-")</f>
        <v>-</v>
      </c>
      <c r="S532" s="37"/>
      <c r="T532" s="37"/>
    </row>
    <row r="533" customFormat="false" ht="15" hidden="false" customHeight="true" outlineLevel="0" collapsed="false">
      <c r="A533" s="36" t="s">
        <v>1562</v>
      </c>
      <c r="B533" s="37" t="s">
        <v>221</v>
      </c>
      <c r="C533" s="37" t="s">
        <v>310</v>
      </c>
      <c r="D533" s="37" t="s">
        <v>1556</v>
      </c>
      <c r="E533" s="36" t="s">
        <v>111</v>
      </c>
      <c r="F533" s="38" t="s">
        <v>11</v>
      </c>
      <c r="G533" s="36" t="s">
        <v>68</v>
      </c>
      <c r="H533" s="36" t="s">
        <v>658</v>
      </c>
      <c r="I533" s="37" t="n">
        <v>115</v>
      </c>
      <c r="J533" s="37"/>
      <c r="K533" s="37" t="n">
        <v>0</v>
      </c>
      <c r="L533" s="37" t="n">
        <v>0</v>
      </c>
      <c r="M533" s="37"/>
      <c r="N533" s="37"/>
      <c r="O533" s="37" t="s">
        <v>659</v>
      </c>
      <c r="P533" s="37" t="s">
        <v>1557</v>
      </c>
      <c r="Q533" s="37" t="s">
        <v>618</v>
      </c>
      <c r="R533" s="36" t="str">
        <f aca="false">IF(H533="Ya",IF(M533&lt;&gt;"","SUDAH PLOTTING","BELUM PLOTTING"),"-")</f>
        <v>-</v>
      </c>
      <c r="S533" s="37"/>
      <c r="T533" s="37"/>
    </row>
    <row r="534" customFormat="false" ht="15" hidden="false" customHeight="true" outlineLevel="0" collapsed="false">
      <c r="A534" s="36" t="s">
        <v>1563</v>
      </c>
      <c r="B534" s="37" t="s">
        <v>221</v>
      </c>
      <c r="C534" s="37" t="s">
        <v>310</v>
      </c>
      <c r="D534" s="37" t="s">
        <v>1556</v>
      </c>
      <c r="E534" s="36" t="s">
        <v>166</v>
      </c>
      <c r="F534" s="38" t="s">
        <v>11</v>
      </c>
      <c r="G534" s="36" t="s">
        <v>68</v>
      </c>
      <c r="H534" s="36" t="s">
        <v>658</v>
      </c>
      <c r="I534" s="37" t="n">
        <v>133</v>
      </c>
      <c r="J534" s="37"/>
      <c r="K534" s="37" t="n">
        <v>0</v>
      </c>
      <c r="L534" s="37" t="n">
        <v>0</v>
      </c>
      <c r="M534" s="37"/>
      <c r="N534" s="37"/>
      <c r="O534" s="37" t="s">
        <v>659</v>
      </c>
      <c r="P534" s="37" t="s">
        <v>1557</v>
      </c>
      <c r="Q534" s="37" t="s">
        <v>618</v>
      </c>
      <c r="R534" s="36" t="str">
        <f aca="false">IF(H534="Ya",IF(M534&lt;&gt;"","SUDAH PLOTTING","BELUM PLOTTING"),"-")</f>
        <v>-</v>
      </c>
      <c r="S534" s="37"/>
      <c r="T534" s="37"/>
    </row>
    <row r="535" customFormat="false" ht="15" hidden="false" customHeight="true" outlineLevel="0" collapsed="false">
      <c r="A535" s="36" t="s">
        <v>1564</v>
      </c>
      <c r="B535" s="37" t="s">
        <v>221</v>
      </c>
      <c r="C535" s="37" t="s">
        <v>310</v>
      </c>
      <c r="D535" s="37" t="s">
        <v>1556</v>
      </c>
      <c r="E535" s="36" t="s">
        <v>719</v>
      </c>
      <c r="F535" s="38" t="s">
        <v>11</v>
      </c>
      <c r="G535" s="36" t="s">
        <v>68</v>
      </c>
      <c r="H535" s="36" t="s">
        <v>658</v>
      </c>
      <c r="I535" s="37" t="n">
        <v>133</v>
      </c>
      <c r="J535" s="37"/>
      <c r="K535" s="37" t="n">
        <v>0</v>
      </c>
      <c r="L535" s="37" t="n">
        <v>0</v>
      </c>
      <c r="M535" s="37"/>
      <c r="N535" s="37"/>
      <c r="O535" s="37" t="s">
        <v>659</v>
      </c>
      <c r="P535" s="37" t="s">
        <v>1557</v>
      </c>
      <c r="Q535" s="37" t="s">
        <v>618</v>
      </c>
      <c r="R535" s="36" t="str">
        <f aca="false">IF(H535="Ya",IF(M535&lt;&gt;"","SUDAH PLOTTING","BELUM PLOTTING"),"-")</f>
        <v>-</v>
      </c>
      <c r="S535" s="37"/>
      <c r="T535" s="37"/>
    </row>
    <row r="536" customFormat="false" ht="15" hidden="false" customHeight="true" outlineLevel="0" collapsed="false">
      <c r="A536" s="36" t="s">
        <v>1565</v>
      </c>
      <c r="B536" s="37" t="s">
        <v>221</v>
      </c>
      <c r="C536" s="37" t="s">
        <v>310</v>
      </c>
      <c r="D536" s="37" t="s">
        <v>1556</v>
      </c>
      <c r="E536" s="36" t="s">
        <v>721</v>
      </c>
      <c r="F536" s="38" t="s">
        <v>11</v>
      </c>
      <c r="G536" s="36" t="s">
        <v>68</v>
      </c>
      <c r="H536" s="36" t="s">
        <v>658</v>
      </c>
      <c r="I536" s="37" t="n">
        <v>148</v>
      </c>
      <c r="J536" s="37"/>
      <c r="K536" s="37" t="n">
        <v>0</v>
      </c>
      <c r="L536" s="37" t="n">
        <v>0</v>
      </c>
      <c r="M536" s="37"/>
      <c r="N536" s="37"/>
      <c r="O536" s="37" t="s">
        <v>659</v>
      </c>
      <c r="P536" s="37" t="s">
        <v>1557</v>
      </c>
      <c r="Q536" s="37" t="s">
        <v>618</v>
      </c>
      <c r="R536" s="36" t="str">
        <f aca="false">IF(H536="Ya",IF(M536&lt;&gt;"","SUDAH PLOTTING","BELUM PLOTTING"),"-")</f>
        <v>-</v>
      </c>
      <c r="S536" s="37"/>
      <c r="T536" s="37"/>
    </row>
    <row r="537" customFormat="false" ht="15" hidden="false" customHeight="true" outlineLevel="0" collapsed="false">
      <c r="A537" s="36" t="s">
        <v>1566</v>
      </c>
      <c r="B537" s="37" t="s">
        <v>221</v>
      </c>
      <c r="C537" s="37" t="s">
        <v>310</v>
      </c>
      <c r="D537" s="37" t="s">
        <v>1556</v>
      </c>
      <c r="E537" s="36" t="s">
        <v>723</v>
      </c>
      <c r="F537" s="38" t="s">
        <v>11</v>
      </c>
      <c r="G537" s="36" t="s">
        <v>68</v>
      </c>
      <c r="H537" s="36" t="s">
        <v>658</v>
      </c>
      <c r="I537" s="37" t="n">
        <v>121</v>
      </c>
      <c r="J537" s="37"/>
      <c r="K537" s="37" t="n">
        <v>0</v>
      </c>
      <c r="L537" s="37" t="n">
        <v>0</v>
      </c>
      <c r="M537" s="37"/>
      <c r="N537" s="37"/>
      <c r="O537" s="37" t="s">
        <v>659</v>
      </c>
      <c r="P537" s="37" t="s">
        <v>1557</v>
      </c>
      <c r="Q537" s="37" t="s">
        <v>618</v>
      </c>
      <c r="R537" s="36" t="str">
        <f aca="false">IF(H537="Ya",IF(M537&lt;&gt;"","SUDAH PLOTTING","BELUM PLOTTING"),"-")</f>
        <v>-</v>
      </c>
      <c r="S537" s="37"/>
      <c r="T537" s="37"/>
    </row>
    <row r="538" customFormat="false" ht="15" hidden="false" customHeight="true" outlineLevel="0" collapsed="false">
      <c r="A538" s="36" t="s">
        <v>1567</v>
      </c>
      <c r="B538" s="37" t="s">
        <v>221</v>
      </c>
      <c r="C538" s="37" t="s">
        <v>310</v>
      </c>
      <c r="D538" s="37" t="s">
        <v>1556</v>
      </c>
      <c r="E538" s="36" t="s">
        <v>725</v>
      </c>
      <c r="F538" s="38" t="s">
        <v>11</v>
      </c>
      <c r="G538" s="36" t="s">
        <v>68</v>
      </c>
      <c r="H538" s="36" t="s">
        <v>658</v>
      </c>
      <c r="I538" s="37" t="n">
        <v>124</v>
      </c>
      <c r="J538" s="37"/>
      <c r="K538" s="37" t="n">
        <v>0</v>
      </c>
      <c r="L538" s="37" t="n">
        <v>0</v>
      </c>
      <c r="M538" s="37"/>
      <c r="N538" s="37"/>
      <c r="O538" s="37" t="s">
        <v>659</v>
      </c>
      <c r="P538" s="37" t="s">
        <v>1557</v>
      </c>
      <c r="Q538" s="37" t="s">
        <v>618</v>
      </c>
      <c r="R538" s="36" t="str">
        <f aca="false">IF(H538="Ya",IF(M538&lt;&gt;"","SUDAH PLOTTING","BELUM PLOTTING"),"-")</f>
        <v>-</v>
      </c>
      <c r="S538" s="37"/>
      <c r="T538" s="37"/>
    </row>
    <row r="539" customFormat="false" ht="15" hidden="false" customHeight="true" outlineLevel="0" collapsed="false">
      <c r="A539" s="36" t="s">
        <v>1568</v>
      </c>
      <c r="B539" s="37" t="s">
        <v>221</v>
      </c>
      <c r="C539" s="37" t="s">
        <v>310</v>
      </c>
      <c r="D539" s="37" t="s">
        <v>1569</v>
      </c>
      <c r="E539" s="36" t="s">
        <v>79</v>
      </c>
      <c r="F539" s="38" t="s">
        <v>11</v>
      </c>
      <c r="G539" s="36" t="s">
        <v>68</v>
      </c>
      <c r="H539" s="36" t="s">
        <v>658</v>
      </c>
      <c r="I539" s="37" t="n">
        <v>140</v>
      </c>
      <c r="J539" s="37"/>
      <c r="K539" s="37" t="n">
        <v>0</v>
      </c>
      <c r="L539" s="37" t="n">
        <v>0</v>
      </c>
      <c r="M539" s="37"/>
      <c r="N539" s="37"/>
      <c r="O539" s="37" t="s">
        <v>659</v>
      </c>
      <c r="P539" s="37" t="s">
        <v>1570</v>
      </c>
      <c r="Q539" s="37" t="s">
        <v>618</v>
      </c>
      <c r="R539" s="36" t="str">
        <f aca="false">IF(H539="Ya",IF(M539&lt;&gt;"","SUDAH PLOTTING","BELUM PLOTTING"),"-")</f>
        <v>-</v>
      </c>
      <c r="S539" s="37"/>
      <c r="T539" s="37"/>
    </row>
    <row r="540" customFormat="false" ht="15" hidden="false" customHeight="true" outlineLevel="0" collapsed="false">
      <c r="A540" s="36" t="s">
        <v>1571</v>
      </c>
      <c r="B540" s="37" t="s">
        <v>221</v>
      </c>
      <c r="C540" s="37" t="s">
        <v>310</v>
      </c>
      <c r="D540" s="37" t="s">
        <v>1569</v>
      </c>
      <c r="E540" s="36" t="s">
        <v>88</v>
      </c>
      <c r="F540" s="39" t="s">
        <v>7</v>
      </c>
      <c r="G540" s="36" t="s">
        <v>68</v>
      </c>
      <c r="H540" s="36" t="s">
        <v>68</v>
      </c>
      <c r="I540" s="37" t="n">
        <v>176</v>
      </c>
      <c r="J540" s="37"/>
      <c r="K540" s="37" t="n">
        <v>2</v>
      </c>
      <c r="L540" s="37" t="n">
        <v>0</v>
      </c>
      <c r="M540" s="37" t="s">
        <v>1189</v>
      </c>
      <c r="N540" s="37"/>
      <c r="O540" s="37"/>
      <c r="P540" s="37" t="s">
        <v>1570</v>
      </c>
      <c r="Q540" s="37" t="s">
        <v>618</v>
      </c>
      <c r="R540" s="36" t="str">
        <f aca="false">IF(H540="Ya",IF(M540&lt;&gt;"","SUDAH PLOTTING","BELUM PLOTTING"),"-")</f>
        <v>SUDAH PLOTTING</v>
      </c>
      <c r="S540" s="37" t="s">
        <v>298</v>
      </c>
      <c r="T540" s="37"/>
      <c r="U540" s="40" t="s">
        <v>692</v>
      </c>
      <c r="V540" s="41" t="s">
        <v>658</v>
      </c>
    </row>
    <row r="541" customFormat="false" ht="15" hidden="false" customHeight="true" outlineLevel="0" collapsed="false">
      <c r="A541" s="36" t="s">
        <v>1572</v>
      </c>
      <c r="B541" s="37" t="s">
        <v>221</v>
      </c>
      <c r="C541" s="37" t="s">
        <v>310</v>
      </c>
      <c r="D541" s="37" t="s">
        <v>1569</v>
      </c>
      <c r="E541" s="36" t="s">
        <v>92</v>
      </c>
      <c r="F541" s="38" t="s">
        <v>11</v>
      </c>
      <c r="G541" s="36" t="s">
        <v>68</v>
      </c>
      <c r="H541" s="36" t="s">
        <v>658</v>
      </c>
      <c r="I541" s="37" t="n">
        <v>168</v>
      </c>
      <c r="J541" s="37"/>
      <c r="K541" s="37" t="n">
        <v>0</v>
      </c>
      <c r="L541" s="37" t="n">
        <v>0</v>
      </c>
      <c r="M541" s="37"/>
      <c r="N541" s="37"/>
      <c r="O541" s="37" t="s">
        <v>659</v>
      </c>
      <c r="P541" s="37" t="s">
        <v>1570</v>
      </c>
      <c r="Q541" s="37" t="s">
        <v>618</v>
      </c>
      <c r="R541" s="36" t="str">
        <f aca="false">IF(H541="Ya",IF(M541&lt;&gt;"","SUDAH PLOTTING","BELUM PLOTTING"),"-")</f>
        <v>-</v>
      </c>
      <c r="S541" s="37"/>
      <c r="T541" s="37"/>
    </row>
    <row r="542" customFormat="false" ht="15" hidden="false" customHeight="true" outlineLevel="0" collapsed="false">
      <c r="A542" s="36" t="s">
        <v>1573</v>
      </c>
      <c r="B542" s="37" t="s">
        <v>221</v>
      </c>
      <c r="C542" s="37" t="s">
        <v>310</v>
      </c>
      <c r="D542" s="37" t="s">
        <v>1569</v>
      </c>
      <c r="E542" s="36" t="s">
        <v>97</v>
      </c>
      <c r="F542" s="38" t="s">
        <v>11</v>
      </c>
      <c r="G542" s="36" t="s">
        <v>68</v>
      </c>
      <c r="H542" s="36" t="s">
        <v>658</v>
      </c>
      <c r="I542" s="37" t="n">
        <v>124</v>
      </c>
      <c r="J542" s="37"/>
      <c r="K542" s="37" t="n">
        <v>0</v>
      </c>
      <c r="L542" s="37" t="n">
        <v>0</v>
      </c>
      <c r="M542" s="37"/>
      <c r="N542" s="37"/>
      <c r="O542" s="37" t="s">
        <v>659</v>
      </c>
      <c r="P542" s="37" t="s">
        <v>1570</v>
      </c>
      <c r="Q542" s="37" t="s">
        <v>618</v>
      </c>
      <c r="R542" s="36" t="str">
        <f aca="false">IF(H542="Ya",IF(M542&lt;&gt;"","SUDAH PLOTTING","BELUM PLOTTING"),"-")</f>
        <v>-</v>
      </c>
      <c r="S542" s="37"/>
      <c r="T542" s="37"/>
    </row>
    <row r="543" customFormat="false" ht="15" hidden="false" customHeight="true" outlineLevel="0" collapsed="false">
      <c r="A543" s="36" t="s">
        <v>1574</v>
      </c>
      <c r="B543" s="37" t="s">
        <v>221</v>
      </c>
      <c r="C543" s="37" t="s">
        <v>310</v>
      </c>
      <c r="D543" s="37" t="s">
        <v>1569</v>
      </c>
      <c r="E543" s="36" t="s">
        <v>103</v>
      </c>
      <c r="F543" s="38" t="s">
        <v>11</v>
      </c>
      <c r="G543" s="36" t="s">
        <v>68</v>
      </c>
      <c r="H543" s="36" t="s">
        <v>658</v>
      </c>
      <c r="I543" s="37" t="n">
        <v>144</v>
      </c>
      <c r="J543" s="37"/>
      <c r="K543" s="37" t="n">
        <v>0</v>
      </c>
      <c r="L543" s="37" t="n">
        <v>0</v>
      </c>
      <c r="M543" s="37"/>
      <c r="N543" s="37"/>
      <c r="O543" s="37" t="s">
        <v>659</v>
      </c>
      <c r="P543" s="37" t="s">
        <v>1570</v>
      </c>
      <c r="Q543" s="37" t="s">
        <v>618</v>
      </c>
      <c r="R543" s="36" t="str">
        <f aca="false">IF(H543="Ya",IF(M543&lt;&gt;"","SUDAH PLOTTING","BELUM PLOTTING"),"-")</f>
        <v>-</v>
      </c>
      <c r="S543" s="37"/>
      <c r="T543" s="37"/>
    </row>
    <row r="544" customFormat="false" ht="15" hidden="false" customHeight="true" outlineLevel="0" collapsed="false">
      <c r="A544" s="36" t="s">
        <v>1575</v>
      </c>
      <c r="B544" s="37" t="s">
        <v>221</v>
      </c>
      <c r="C544" s="37" t="s">
        <v>310</v>
      </c>
      <c r="D544" s="37" t="s">
        <v>1569</v>
      </c>
      <c r="E544" s="36" t="s">
        <v>111</v>
      </c>
      <c r="F544" s="38" t="s">
        <v>11</v>
      </c>
      <c r="G544" s="36" t="s">
        <v>68</v>
      </c>
      <c r="H544" s="36" t="s">
        <v>658</v>
      </c>
      <c r="I544" s="37" t="n">
        <v>133</v>
      </c>
      <c r="J544" s="37"/>
      <c r="K544" s="37" t="n">
        <v>0</v>
      </c>
      <c r="L544" s="37" t="n">
        <v>0</v>
      </c>
      <c r="M544" s="37"/>
      <c r="N544" s="37"/>
      <c r="O544" s="37" t="s">
        <v>659</v>
      </c>
      <c r="P544" s="37" t="s">
        <v>1570</v>
      </c>
      <c r="Q544" s="37" t="s">
        <v>618</v>
      </c>
      <c r="R544" s="36" t="str">
        <f aca="false">IF(H544="Ya",IF(M544&lt;&gt;"","SUDAH PLOTTING","BELUM PLOTTING"),"-")</f>
        <v>-</v>
      </c>
      <c r="S544" s="37"/>
      <c r="T544" s="37"/>
    </row>
    <row r="545" customFormat="false" ht="15" hidden="false" customHeight="true" outlineLevel="0" collapsed="false">
      <c r="A545" s="36" t="s">
        <v>1576</v>
      </c>
      <c r="B545" s="37" t="s">
        <v>230</v>
      </c>
      <c r="C545" s="37" t="s">
        <v>231</v>
      </c>
      <c r="D545" s="37" t="s">
        <v>1577</v>
      </c>
      <c r="E545" s="36" t="s">
        <v>62</v>
      </c>
      <c r="F545" s="38" t="s">
        <v>11</v>
      </c>
      <c r="G545" s="36" t="s">
        <v>68</v>
      </c>
      <c r="H545" s="36" t="s">
        <v>658</v>
      </c>
      <c r="I545" s="37" t="n">
        <v>115</v>
      </c>
      <c r="J545" s="37"/>
      <c r="K545" s="37" t="n">
        <v>0</v>
      </c>
      <c r="L545" s="37" t="n">
        <v>0</v>
      </c>
      <c r="M545" s="37"/>
      <c r="N545" s="37"/>
      <c r="O545" s="37" t="s">
        <v>659</v>
      </c>
      <c r="P545" s="37" t="s">
        <v>1578</v>
      </c>
      <c r="Q545" s="37" t="s">
        <v>611</v>
      </c>
      <c r="R545" s="36" t="str">
        <f aca="false">IF(H545="Ya",IF(M545&lt;&gt;"","SUDAH PLOTTING","BELUM PLOTTING"),"-")</f>
        <v>-</v>
      </c>
      <c r="S545" s="37"/>
      <c r="T545" s="37"/>
    </row>
    <row r="546" customFormat="false" ht="15" hidden="false" customHeight="true" outlineLevel="0" collapsed="false">
      <c r="A546" s="36" t="s">
        <v>1579</v>
      </c>
      <c r="B546" s="37" t="s">
        <v>230</v>
      </c>
      <c r="C546" s="37" t="s">
        <v>231</v>
      </c>
      <c r="D546" s="37" t="s">
        <v>1580</v>
      </c>
      <c r="E546" s="36" t="s">
        <v>62</v>
      </c>
      <c r="F546" s="38" t="s">
        <v>11</v>
      </c>
      <c r="G546" s="36" t="s">
        <v>68</v>
      </c>
      <c r="H546" s="36" t="s">
        <v>658</v>
      </c>
      <c r="I546" s="37" t="n">
        <v>201</v>
      </c>
      <c r="J546" s="37"/>
      <c r="K546" s="37" t="n">
        <v>0</v>
      </c>
      <c r="L546" s="37" t="n">
        <v>0</v>
      </c>
      <c r="M546" s="37"/>
      <c r="N546" s="37"/>
      <c r="O546" s="37" t="s">
        <v>659</v>
      </c>
      <c r="P546" s="37" t="s">
        <v>1581</v>
      </c>
      <c r="Q546" s="37" t="s">
        <v>611</v>
      </c>
      <c r="R546" s="36" t="str">
        <f aca="false">IF(H546="Ya",IF(M546&lt;&gt;"","SUDAH PLOTTING","BELUM PLOTTING"),"-")</f>
        <v>-</v>
      </c>
      <c r="S546" s="37"/>
      <c r="T546" s="37"/>
    </row>
    <row r="547" customFormat="false" ht="15" hidden="false" customHeight="true" outlineLevel="0" collapsed="false">
      <c r="A547" s="36" t="s">
        <v>233</v>
      </c>
      <c r="B547" s="37" t="s">
        <v>230</v>
      </c>
      <c r="C547" s="37" t="s">
        <v>231</v>
      </c>
      <c r="D547" s="37" t="s">
        <v>232</v>
      </c>
      <c r="E547" s="36" t="s">
        <v>79</v>
      </c>
      <c r="F547" s="39" t="s">
        <v>7</v>
      </c>
      <c r="G547" s="36" t="s">
        <v>68</v>
      </c>
      <c r="H547" s="36" t="s">
        <v>68</v>
      </c>
      <c r="I547" s="37" t="n">
        <v>140</v>
      </c>
      <c r="J547" s="37" t="n">
        <v>0.5</v>
      </c>
      <c r="K547" s="37" t="n">
        <v>0</v>
      </c>
      <c r="L547" s="37" t="n">
        <v>0</v>
      </c>
      <c r="M547" s="37"/>
      <c r="N547" s="37" t="n">
        <v>1</v>
      </c>
      <c r="O547" s="37" t="s">
        <v>749</v>
      </c>
      <c r="P547" s="37" t="s">
        <v>1582</v>
      </c>
      <c r="Q547" s="37" t="s">
        <v>611</v>
      </c>
      <c r="R547" s="36" t="str">
        <f aca="false">IF(H547="Ya",IF(M547&lt;&gt;"","SUDAH PLOTTING","BELUM PLOTTING"),"-")</f>
        <v>BELUM PLOTTING</v>
      </c>
      <c r="S547" s="37" t="s">
        <v>229</v>
      </c>
      <c r="T547" s="37" t="s">
        <v>1583</v>
      </c>
      <c r="U547" s="40" t="s">
        <v>1167</v>
      </c>
      <c r="V547" s="41" t="s">
        <v>658</v>
      </c>
    </row>
    <row r="548" customFormat="false" ht="15" hidden="false" customHeight="true" outlineLevel="0" collapsed="false">
      <c r="A548" s="36" t="s">
        <v>239</v>
      </c>
      <c r="B548" s="37" t="s">
        <v>230</v>
      </c>
      <c r="C548" s="37" t="s">
        <v>231</v>
      </c>
      <c r="D548" s="37" t="s">
        <v>232</v>
      </c>
      <c r="E548" s="36" t="s">
        <v>88</v>
      </c>
      <c r="F548" s="39" t="s">
        <v>7</v>
      </c>
      <c r="G548" s="36" t="s">
        <v>68</v>
      </c>
      <c r="H548" s="36" t="s">
        <v>68</v>
      </c>
      <c r="I548" s="37" t="n">
        <v>125</v>
      </c>
      <c r="J548" s="37" t="n">
        <v>0.5</v>
      </c>
      <c r="K548" s="37" t="n">
        <v>0</v>
      </c>
      <c r="L548" s="37" t="n">
        <v>0</v>
      </c>
      <c r="M548" s="37"/>
      <c r="N548" s="37" t="n">
        <v>1</v>
      </c>
      <c r="O548" s="37" t="s">
        <v>749</v>
      </c>
      <c r="P548" s="37" t="s">
        <v>1582</v>
      </c>
      <c r="Q548" s="37" t="s">
        <v>611</v>
      </c>
      <c r="R548" s="36" t="str">
        <f aca="false">IF(H548="Ya",IF(M548&lt;&gt;"","SUDAH PLOTTING","BELUM PLOTTING"),"-")</f>
        <v>BELUM PLOTTING</v>
      </c>
      <c r="S548" s="37" t="s">
        <v>206</v>
      </c>
      <c r="T548" s="37" t="s">
        <v>1584</v>
      </c>
      <c r="U548" s="40" t="s">
        <v>1167</v>
      </c>
      <c r="V548" s="41" t="s">
        <v>658</v>
      </c>
    </row>
    <row r="549" customFormat="false" ht="15" hidden="false" customHeight="true" outlineLevel="0" collapsed="false">
      <c r="A549" s="36" t="s">
        <v>1585</v>
      </c>
      <c r="B549" s="37" t="s">
        <v>230</v>
      </c>
      <c r="C549" s="37" t="s">
        <v>231</v>
      </c>
      <c r="D549" s="37" t="s">
        <v>1586</v>
      </c>
      <c r="E549" s="36" t="s">
        <v>62</v>
      </c>
      <c r="F549" s="38" t="s">
        <v>11</v>
      </c>
      <c r="G549" s="36" t="s">
        <v>68</v>
      </c>
      <c r="H549" s="36" t="s">
        <v>658</v>
      </c>
      <c r="I549" s="37" t="n">
        <v>47</v>
      </c>
      <c r="J549" s="37"/>
      <c r="K549" s="37" t="n">
        <v>0</v>
      </c>
      <c r="L549" s="37" t="n">
        <v>0</v>
      </c>
      <c r="M549" s="37"/>
      <c r="N549" s="37"/>
      <c r="O549" s="37" t="s">
        <v>659</v>
      </c>
      <c r="P549" s="37" t="s">
        <v>1587</v>
      </c>
      <c r="Q549" s="37" t="s">
        <v>611</v>
      </c>
      <c r="R549" s="36" t="str">
        <f aca="false">IF(H549="Ya",IF(M549&lt;&gt;"","SUDAH PLOTTING","BELUM PLOTTING"),"-")</f>
        <v>-</v>
      </c>
      <c r="S549" s="37"/>
      <c r="T549" s="37"/>
    </row>
    <row r="550" customFormat="false" ht="15" hidden="false" customHeight="true" outlineLevel="0" collapsed="false">
      <c r="A550" s="36" t="s">
        <v>1588</v>
      </c>
      <c r="B550" s="37" t="s">
        <v>230</v>
      </c>
      <c r="C550" s="37" t="s">
        <v>231</v>
      </c>
      <c r="D550" s="37" t="s">
        <v>1589</v>
      </c>
      <c r="E550" s="36" t="s">
        <v>62</v>
      </c>
      <c r="F550" s="38" t="s">
        <v>11</v>
      </c>
      <c r="G550" s="36" t="s">
        <v>68</v>
      </c>
      <c r="H550" s="36" t="s">
        <v>658</v>
      </c>
      <c r="I550" s="37" t="n">
        <v>91</v>
      </c>
      <c r="J550" s="37"/>
      <c r="K550" s="37" t="n">
        <v>0</v>
      </c>
      <c r="L550" s="37" t="n">
        <v>0</v>
      </c>
      <c r="M550" s="37"/>
      <c r="N550" s="37"/>
      <c r="O550" s="37" t="s">
        <v>659</v>
      </c>
      <c r="P550" s="37" t="s">
        <v>1590</v>
      </c>
      <c r="Q550" s="37" t="s">
        <v>611</v>
      </c>
      <c r="R550" s="36" t="str">
        <f aca="false">IF(H550="Ya",IF(M550&lt;&gt;"","SUDAH PLOTTING","BELUM PLOTTING"),"-")</f>
        <v>-</v>
      </c>
      <c r="S550" s="37"/>
      <c r="T550" s="37"/>
    </row>
    <row r="551" customFormat="false" ht="15" hidden="false" customHeight="true" outlineLevel="0" collapsed="false">
      <c r="A551" s="36" t="s">
        <v>246</v>
      </c>
      <c r="B551" s="37" t="s">
        <v>230</v>
      </c>
      <c r="C551" s="37" t="s">
        <v>244</v>
      </c>
      <c r="D551" s="37" t="s">
        <v>245</v>
      </c>
      <c r="E551" s="36" t="s">
        <v>79</v>
      </c>
      <c r="F551" s="39" t="s">
        <v>7</v>
      </c>
      <c r="G551" s="36" t="s">
        <v>68</v>
      </c>
      <c r="H551" s="36" t="s">
        <v>68</v>
      </c>
      <c r="I551" s="37" t="n">
        <v>115</v>
      </c>
      <c r="J551" s="37" t="n">
        <v>0.33</v>
      </c>
      <c r="K551" s="37" t="n">
        <v>0</v>
      </c>
      <c r="L551" s="37" t="n">
        <v>0</v>
      </c>
      <c r="M551" s="37"/>
      <c r="N551" s="37" t="n">
        <v>1</v>
      </c>
      <c r="O551" s="37" t="s">
        <v>749</v>
      </c>
      <c r="P551" s="37" t="s">
        <v>1591</v>
      </c>
      <c r="Q551" s="37" t="s">
        <v>616</v>
      </c>
      <c r="R551" s="36" t="str">
        <f aca="false">IF(H551="Ya",IF(M551&lt;&gt;"","SUDAH PLOTTING","BELUM PLOTTING"),"-")</f>
        <v>BELUM PLOTTING</v>
      </c>
      <c r="S551" s="37" t="s">
        <v>206</v>
      </c>
      <c r="T551" s="37" t="s">
        <v>1592</v>
      </c>
      <c r="U551" s="40" t="s">
        <v>1167</v>
      </c>
      <c r="V551" s="41" t="s">
        <v>658</v>
      </c>
    </row>
    <row r="552" customFormat="false" ht="15" hidden="false" customHeight="true" outlineLevel="0" collapsed="false">
      <c r="A552" s="36" t="s">
        <v>251</v>
      </c>
      <c r="B552" s="37" t="s">
        <v>230</v>
      </c>
      <c r="C552" s="37" t="s">
        <v>244</v>
      </c>
      <c r="D552" s="37" t="s">
        <v>245</v>
      </c>
      <c r="E552" s="36" t="s">
        <v>88</v>
      </c>
      <c r="F552" s="39" t="s">
        <v>7</v>
      </c>
      <c r="G552" s="36" t="s">
        <v>68</v>
      </c>
      <c r="H552" s="36" t="s">
        <v>68</v>
      </c>
      <c r="I552" s="37" t="n">
        <v>136</v>
      </c>
      <c r="J552" s="37" t="n">
        <v>0.33</v>
      </c>
      <c r="K552" s="37" t="n">
        <v>0</v>
      </c>
      <c r="L552" s="37" t="n">
        <v>0</v>
      </c>
      <c r="M552" s="37"/>
      <c r="N552" s="37" t="n">
        <v>1</v>
      </c>
      <c r="O552" s="37" t="s">
        <v>749</v>
      </c>
      <c r="P552" s="37" t="s">
        <v>1591</v>
      </c>
      <c r="Q552" s="37" t="s">
        <v>616</v>
      </c>
      <c r="R552" s="36" t="str">
        <f aca="false">IF(H552="Ya",IF(M552&lt;&gt;"","SUDAH PLOTTING","BELUM PLOTTING"),"-")</f>
        <v>BELUM PLOTTING</v>
      </c>
      <c r="S552" s="37" t="s">
        <v>206</v>
      </c>
      <c r="T552" s="37" t="s">
        <v>1593</v>
      </c>
      <c r="U552" s="40" t="s">
        <v>1167</v>
      </c>
      <c r="V552" s="41" t="s">
        <v>658</v>
      </c>
    </row>
    <row r="553" customFormat="false" ht="15" hidden="false" customHeight="true" outlineLevel="0" collapsed="false">
      <c r="A553" s="36" t="s">
        <v>256</v>
      </c>
      <c r="B553" s="37" t="s">
        <v>230</v>
      </c>
      <c r="C553" s="37" t="s">
        <v>244</v>
      </c>
      <c r="D553" s="37" t="s">
        <v>245</v>
      </c>
      <c r="E553" s="36" t="s">
        <v>92</v>
      </c>
      <c r="F553" s="39" t="s">
        <v>7</v>
      </c>
      <c r="G553" s="36" t="s">
        <v>68</v>
      </c>
      <c r="H553" s="36" t="s">
        <v>68</v>
      </c>
      <c r="I553" s="37" t="n">
        <v>49</v>
      </c>
      <c r="J553" s="37" t="n">
        <v>0.33</v>
      </c>
      <c r="K553" s="37" t="n">
        <v>0</v>
      </c>
      <c r="L553" s="37" t="n">
        <v>0</v>
      </c>
      <c r="M553" s="37"/>
      <c r="N553" s="37" t="n">
        <v>1</v>
      </c>
      <c r="O553" s="37" t="s">
        <v>749</v>
      </c>
      <c r="P553" s="37" t="s">
        <v>1591</v>
      </c>
      <c r="Q553" s="37" t="s">
        <v>616</v>
      </c>
      <c r="R553" s="36" t="str">
        <f aca="false">IF(H553="Ya",IF(M553&lt;&gt;"","SUDAH PLOTTING","BELUM PLOTTING"),"-")</f>
        <v>BELUM PLOTTING</v>
      </c>
      <c r="S553" s="37" t="s">
        <v>255</v>
      </c>
      <c r="T553" s="37" t="s">
        <v>1594</v>
      </c>
      <c r="U553" s="40" t="s">
        <v>1167</v>
      </c>
      <c r="V553" s="41" t="s">
        <v>658</v>
      </c>
    </row>
    <row r="554" customFormat="false" ht="15" hidden="false" customHeight="true" outlineLevel="0" collapsed="false">
      <c r="A554" s="36" t="s">
        <v>1595</v>
      </c>
      <c r="B554" s="37" t="s">
        <v>230</v>
      </c>
      <c r="C554" s="37" t="s">
        <v>244</v>
      </c>
      <c r="D554" s="37" t="s">
        <v>1596</v>
      </c>
      <c r="E554" s="36" t="s">
        <v>62</v>
      </c>
      <c r="F554" s="38" t="s">
        <v>11</v>
      </c>
      <c r="G554" s="36" t="s">
        <v>68</v>
      </c>
      <c r="H554" s="36" t="s">
        <v>658</v>
      </c>
      <c r="I554" s="37" t="n">
        <v>128</v>
      </c>
      <c r="J554" s="37"/>
      <c r="K554" s="37" t="n">
        <v>0</v>
      </c>
      <c r="L554" s="37" t="n">
        <v>0</v>
      </c>
      <c r="M554" s="37"/>
      <c r="N554" s="37"/>
      <c r="O554" s="37" t="s">
        <v>659</v>
      </c>
      <c r="P554" s="37" t="s">
        <v>1597</v>
      </c>
      <c r="Q554" s="37" t="s">
        <v>616</v>
      </c>
      <c r="R554" s="36" t="str">
        <f aca="false">IF(H554="Ya",IF(M554&lt;&gt;"","SUDAH PLOTTING","BELUM PLOTTING"),"-")</f>
        <v>-</v>
      </c>
      <c r="S554" s="37"/>
      <c r="T554" s="37"/>
    </row>
    <row r="555" customFormat="false" ht="15" hidden="false" customHeight="true" outlineLevel="0" collapsed="false">
      <c r="A555" s="36" t="s">
        <v>1598</v>
      </c>
      <c r="B555" s="37" t="s">
        <v>230</v>
      </c>
      <c r="C555" s="37" t="s">
        <v>244</v>
      </c>
      <c r="D555" s="37" t="s">
        <v>1599</v>
      </c>
      <c r="E555" s="36" t="s">
        <v>62</v>
      </c>
      <c r="F555" s="38" t="s">
        <v>11</v>
      </c>
      <c r="G555" s="36" t="s">
        <v>68</v>
      </c>
      <c r="H555" s="36" t="s">
        <v>658</v>
      </c>
      <c r="I555" s="37" t="n">
        <v>39</v>
      </c>
      <c r="J555" s="37"/>
      <c r="K555" s="37" t="n">
        <v>0</v>
      </c>
      <c r="L555" s="37" t="n">
        <v>0</v>
      </c>
      <c r="M555" s="37"/>
      <c r="N555" s="37"/>
      <c r="O555" s="37" t="s">
        <v>659</v>
      </c>
      <c r="P555" s="37" t="s">
        <v>1600</v>
      </c>
      <c r="Q555" s="37" t="s">
        <v>616</v>
      </c>
      <c r="R555" s="36" t="str">
        <f aca="false">IF(H555="Ya",IF(M555&lt;&gt;"","SUDAH PLOTTING","BELUM PLOTTING"),"-")</f>
        <v>-</v>
      </c>
      <c r="S555" s="37"/>
      <c r="T555" s="37"/>
    </row>
    <row r="556" customFormat="false" ht="15" hidden="false" customHeight="true" outlineLevel="0" collapsed="false">
      <c r="A556" s="36" t="s">
        <v>1601</v>
      </c>
      <c r="B556" s="37" t="s">
        <v>230</v>
      </c>
      <c r="C556" s="37" t="s">
        <v>244</v>
      </c>
      <c r="D556" s="37" t="s">
        <v>1602</v>
      </c>
      <c r="E556" s="36" t="s">
        <v>62</v>
      </c>
      <c r="F556" s="38" t="s">
        <v>11</v>
      </c>
      <c r="G556" s="36" t="s">
        <v>68</v>
      </c>
      <c r="H556" s="36" t="s">
        <v>658</v>
      </c>
      <c r="I556" s="37" t="n">
        <v>8</v>
      </c>
      <c r="J556" s="37"/>
      <c r="K556" s="37" t="n">
        <v>0</v>
      </c>
      <c r="L556" s="37" t="n">
        <v>0</v>
      </c>
      <c r="M556" s="37"/>
      <c r="N556" s="37"/>
      <c r="O556" s="37" t="s">
        <v>659</v>
      </c>
      <c r="P556" s="37" t="s">
        <v>1603</v>
      </c>
      <c r="Q556" s="37" t="s">
        <v>616</v>
      </c>
      <c r="R556" s="36" t="str">
        <f aca="false">IF(H556="Ya",IF(M556&lt;&gt;"","SUDAH PLOTTING","BELUM PLOTTING"),"-")</f>
        <v>-</v>
      </c>
      <c r="S556" s="37"/>
      <c r="T556" s="37"/>
    </row>
    <row r="557" customFormat="false" ht="15" hidden="false" customHeight="true" outlineLevel="0" collapsed="false">
      <c r="A557" s="36" t="s">
        <v>1604</v>
      </c>
      <c r="B557" s="37" t="s">
        <v>230</v>
      </c>
      <c r="C557" s="37" t="s">
        <v>244</v>
      </c>
      <c r="D557" s="37" t="s">
        <v>1605</v>
      </c>
      <c r="E557" s="36" t="s">
        <v>62</v>
      </c>
      <c r="F557" s="38" t="s">
        <v>11</v>
      </c>
      <c r="G557" s="36" t="s">
        <v>68</v>
      </c>
      <c r="H557" s="36" t="s">
        <v>658</v>
      </c>
      <c r="I557" s="37" t="n">
        <v>73</v>
      </c>
      <c r="J557" s="37"/>
      <c r="K557" s="37" t="n">
        <v>0</v>
      </c>
      <c r="L557" s="37" t="n">
        <v>0</v>
      </c>
      <c r="M557" s="37"/>
      <c r="N557" s="37"/>
      <c r="O557" s="37" t="s">
        <v>659</v>
      </c>
      <c r="P557" s="37" t="s">
        <v>1606</v>
      </c>
      <c r="Q557" s="37" t="s">
        <v>616</v>
      </c>
      <c r="R557" s="36" t="str">
        <f aca="false">IF(H557="Ya",IF(M557&lt;&gt;"","SUDAH PLOTTING","BELUM PLOTTING"),"-")</f>
        <v>-</v>
      </c>
      <c r="S557" s="37"/>
      <c r="T557" s="37"/>
    </row>
    <row r="558" customFormat="false" ht="15" hidden="false" customHeight="true" outlineLevel="0" collapsed="false">
      <c r="A558" s="36" t="s">
        <v>1607</v>
      </c>
      <c r="B558" s="37" t="s">
        <v>230</v>
      </c>
      <c r="C558" s="37" t="s">
        <v>244</v>
      </c>
      <c r="D558" s="37" t="s">
        <v>908</v>
      </c>
      <c r="E558" s="36" t="s">
        <v>62</v>
      </c>
      <c r="F558" s="38" t="s">
        <v>11</v>
      </c>
      <c r="G558" s="36" t="s">
        <v>68</v>
      </c>
      <c r="H558" s="36" t="s">
        <v>658</v>
      </c>
      <c r="I558" s="37" t="n">
        <v>101</v>
      </c>
      <c r="J558" s="37"/>
      <c r="K558" s="37" t="n">
        <v>0</v>
      </c>
      <c r="L558" s="37" t="n">
        <v>0</v>
      </c>
      <c r="M558" s="37"/>
      <c r="N558" s="37"/>
      <c r="O558" s="37" t="s">
        <v>659</v>
      </c>
      <c r="P558" s="37" t="s">
        <v>1608</v>
      </c>
      <c r="Q558" s="37" t="s">
        <v>616</v>
      </c>
      <c r="R558" s="36" t="str">
        <f aca="false">IF(H558="Ya",IF(M558&lt;&gt;"","SUDAH PLOTTING","BELUM PLOTTING"),"-")</f>
        <v>-</v>
      </c>
      <c r="S558" s="37"/>
      <c r="T558" s="37"/>
    </row>
    <row r="559" customFormat="false" ht="15" hidden="false" customHeight="true" outlineLevel="0" collapsed="false">
      <c r="A559" s="36" t="s">
        <v>1609</v>
      </c>
      <c r="B559" s="37" t="s">
        <v>230</v>
      </c>
      <c r="C559" s="37" t="s">
        <v>244</v>
      </c>
      <c r="D559" s="37" t="s">
        <v>1610</v>
      </c>
      <c r="E559" s="36" t="s">
        <v>62</v>
      </c>
      <c r="F559" s="38" t="s">
        <v>11</v>
      </c>
      <c r="G559" s="36" t="s">
        <v>68</v>
      </c>
      <c r="H559" s="36" t="s">
        <v>658</v>
      </c>
      <c r="I559" s="37" t="n">
        <v>121</v>
      </c>
      <c r="J559" s="37"/>
      <c r="K559" s="37" t="n">
        <v>0</v>
      </c>
      <c r="L559" s="37" t="n">
        <v>0</v>
      </c>
      <c r="M559" s="37"/>
      <c r="N559" s="37"/>
      <c r="O559" s="37" t="s">
        <v>659</v>
      </c>
      <c r="P559" s="37" t="s">
        <v>1611</v>
      </c>
      <c r="Q559" s="37" t="s">
        <v>616</v>
      </c>
      <c r="R559" s="36" t="str">
        <f aca="false">IF(H559="Ya",IF(M559&lt;&gt;"","SUDAH PLOTTING","BELUM PLOTTING"),"-")</f>
        <v>-</v>
      </c>
      <c r="S559" s="37"/>
      <c r="T559" s="37"/>
    </row>
    <row r="560" customFormat="false" ht="15" hidden="false" customHeight="true" outlineLevel="0" collapsed="false">
      <c r="A560" s="36" t="s">
        <v>262</v>
      </c>
      <c r="B560" s="37" t="s">
        <v>230</v>
      </c>
      <c r="C560" s="37" t="s">
        <v>244</v>
      </c>
      <c r="D560" s="37" t="s">
        <v>261</v>
      </c>
      <c r="E560" s="36" t="s">
        <v>62</v>
      </c>
      <c r="F560" s="39" t="s">
        <v>7</v>
      </c>
      <c r="G560" s="36" t="s">
        <v>68</v>
      </c>
      <c r="H560" s="36" t="s">
        <v>68</v>
      </c>
      <c r="I560" s="37" t="n">
        <v>109</v>
      </c>
      <c r="J560" s="37" t="n">
        <v>1</v>
      </c>
      <c r="K560" s="37" t="n">
        <v>0</v>
      </c>
      <c r="L560" s="37" t="n">
        <v>0</v>
      </c>
      <c r="M560" s="37"/>
      <c r="N560" s="37" t="n">
        <v>1</v>
      </c>
      <c r="O560" s="37" t="s">
        <v>749</v>
      </c>
      <c r="P560" s="37" t="s">
        <v>1612</v>
      </c>
      <c r="Q560" s="37" t="s">
        <v>616</v>
      </c>
      <c r="R560" s="36" t="str">
        <f aca="false">IF(H560="Ya",IF(M560&lt;&gt;"","SUDAH PLOTTING","BELUM PLOTTING"),"-")</f>
        <v>BELUM PLOTTING</v>
      </c>
      <c r="S560" s="37" t="s">
        <v>255</v>
      </c>
      <c r="T560" s="37" t="s">
        <v>1613</v>
      </c>
      <c r="U560" s="40" t="s">
        <v>1167</v>
      </c>
      <c r="V560" s="41" t="s">
        <v>658</v>
      </c>
    </row>
    <row r="561" customFormat="false" ht="15" hidden="false" customHeight="true" outlineLevel="0" collapsed="false">
      <c r="A561" s="36" t="s">
        <v>1614</v>
      </c>
      <c r="B561" s="37" t="s">
        <v>266</v>
      </c>
      <c r="C561" s="37" t="s">
        <v>467</v>
      </c>
      <c r="D561" s="37" t="s">
        <v>1615</v>
      </c>
      <c r="E561" s="36" t="s">
        <v>79</v>
      </c>
      <c r="F561" s="42" t="s">
        <v>9</v>
      </c>
      <c r="G561" s="36" t="s">
        <v>658</v>
      </c>
      <c r="H561" s="36" t="s">
        <v>68</v>
      </c>
      <c r="I561" s="37" t="n">
        <v>147</v>
      </c>
      <c r="J561" s="37" t="n">
        <v>30</v>
      </c>
      <c r="K561" s="37" t="n">
        <v>1</v>
      </c>
      <c r="L561" s="37" t="n">
        <v>1</v>
      </c>
      <c r="M561" s="37" t="s">
        <v>1616</v>
      </c>
      <c r="N561" s="37"/>
      <c r="O561" s="37" t="s">
        <v>1277</v>
      </c>
      <c r="P561" s="37" t="s">
        <v>1617</v>
      </c>
      <c r="Q561" s="37" t="s">
        <v>1618</v>
      </c>
      <c r="R561" s="36" t="str">
        <f aca="false">IF(H561="Ya",IF(M561&lt;&gt;"","SUDAH PLOTTING","BELUM PLOTTING"),"-")</f>
        <v>SUDAH PLOTTING</v>
      </c>
      <c r="S561" s="37" t="s">
        <v>229</v>
      </c>
      <c r="T561" s="37"/>
      <c r="U561" s="40" t="s">
        <v>692</v>
      </c>
      <c r="V561" s="41" t="s">
        <v>658</v>
      </c>
    </row>
    <row r="562" customFormat="false" ht="15" hidden="false" customHeight="true" outlineLevel="0" collapsed="false">
      <c r="A562" s="36" t="s">
        <v>1619</v>
      </c>
      <c r="B562" s="37" t="s">
        <v>266</v>
      </c>
      <c r="C562" s="37" t="s">
        <v>467</v>
      </c>
      <c r="D562" s="37" t="s">
        <v>1615</v>
      </c>
      <c r="E562" s="36" t="s">
        <v>88</v>
      </c>
      <c r="F562" s="42" t="s">
        <v>9</v>
      </c>
      <c r="G562" s="36" t="s">
        <v>658</v>
      </c>
      <c r="H562" s="36" t="s">
        <v>68</v>
      </c>
      <c r="I562" s="37" t="n">
        <v>131</v>
      </c>
      <c r="J562" s="37" t="n">
        <v>30</v>
      </c>
      <c r="K562" s="37" t="n">
        <v>1</v>
      </c>
      <c r="L562" s="37" t="n">
        <v>1</v>
      </c>
      <c r="M562" s="37" t="s">
        <v>1616</v>
      </c>
      <c r="N562" s="37"/>
      <c r="O562" s="37" t="s">
        <v>1277</v>
      </c>
      <c r="P562" s="37" t="s">
        <v>1617</v>
      </c>
      <c r="Q562" s="37" t="s">
        <v>1618</v>
      </c>
      <c r="R562" s="36" t="str">
        <f aca="false">IF(H562="Ya",IF(M562&lt;&gt;"","SUDAH PLOTTING","BELUM PLOTTING"),"-")</f>
        <v>SUDAH PLOTTING</v>
      </c>
      <c r="S562" s="37" t="s">
        <v>229</v>
      </c>
      <c r="T562" s="37"/>
      <c r="U562" s="40" t="s">
        <v>692</v>
      </c>
      <c r="V562" s="41" t="s">
        <v>658</v>
      </c>
    </row>
    <row r="563" customFormat="false" ht="15" hidden="false" customHeight="true" outlineLevel="0" collapsed="false">
      <c r="A563" s="36" t="s">
        <v>1620</v>
      </c>
      <c r="B563" s="37" t="s">
        <v>266</v>
      </c>
      <c r="C563" s="37" t="s">
        <v>467</v>
      </c>
      <c r="D563" s="37" t="s">
        <v>1621</v>
      </c>
      <c r="E563" s="36" t="s">
        <v>79</v>
      </c>
      <c r="F563" s="42" t="s">
        <v>9</v>
      </c>
      <c r="G563" s="36" t="s">
        <v>658</v>
      </c>
      <c r="H563" s="36" t="s">
        <v>68</v>
      </c>
      <c r="I563" s="37" t="n">
        <v>135</v>
      </c>
      <c r="J563" s="37" t="n">
        <v>30</v>
      </c>
      <c r="K563" s="37" t="n">
        <v>1</v>
      </c>
      <c r="L563" s="37" t="n">
        <v>0</v>
      </c>
      <c r="M563" s="37" t="s">
        <v>1622</v>
      </c>
      <c r="N563" s="37" t="n">
        <v>2</v>
      </c>
      <c r="O563" s="37" t="s">
        <v>1277</v>
      </c>
      <c r="P563" s="37" t="s">
        <v>1623</v>
      </c>
      <c r="Q563" s="37" t="s">
        <v>1618</v>
      </c>
      <c r="R563" s="36" t="str">
        <f aca="false">IF(H563="Ya",IF(M563&lt;&gt;"","SUDAH PLOTTING","BELUM PLOTTING"),"-")</f>
        <v>SUDAH PLOTTING</v>
      </c>
      <c r="S563" s="37" t="s">
        <v>206</v>
      </c>
      <c r="T563" s="37"/>
      <c r="U563" s="40" t="s">
        <v>692</v>
      </c>
      <c r="V563" s="41" t="s">
        <v>658</v>
      </c>
    </row>
    <row r="564" customFormat="false" ht="15" hidden="false" customHeight="true" outlineLevel="0" collapsed="false">
      <c r="A564" s="36" t="s">
        <v>1624</v>
      </c>
      <c r="B564" s="37" t="s">
        <v>266</v>
      </c>
      <c r="C564" s="37" t="s">
        <v>467</v>
      </c>
      <c r="D564" s="37" t="s">
        <v>1621</v>
      </c>
      <c r="E564" s="36" t="s">
        <v>88</v>
      </c>
      <c r="F564" s="42" t="s">
        <v>9</v>
      </c>
      <c r="G564" s="36" t="s">
        <v>658</v>
      </c>
      <c r="H564" s="36" t="s">
        <v>68</v>
      </c>
      <c r="I564" s="37" t="n">
        <v>219</v>
      </c>
      <c r="J564" s="37" t="n">
        <v>20</v>
      </c>
      <c r="K564" s="37" t="n">
        <v>1</v>
      </c>
      <c r="L564" s="37" t="n">
        <v>0</v>
      </c>
      <c r="M564" s="37" t="s">
        <v>1625</v>
      </c>
      <c r="N564" s="37" t="n">
        <v>2</v>
      </c>
      <c r="O564" s="37" t="s">
        <v>1277</v>
      </c>
      <c r="P564" s="37" t="s">
        <v>1623</v>
      </c>
      <c r="Q564" s="37" t="s">
        <v>1618</v>
      </c>
      <c r="R564" s="36" t="str">
        <f aca="false">IF(H564="Ya",IF(M564&lt;&gt;"","SUDAH PLOTTING","BELUM PLOTTING"),"-")</f>
        <v>SUDAH PLOTTING</v>
      </c>
      <c r="S564" s="37" t="s">
        <v>229</v>
      </c>
      <c r="T564" s="37"/>
      <c r="U564" s="40" t="s">
        <v>692</v>
      </c>
      <c r="V564" s="41" t="s">
        <v>658</v>
      </c>
    </row>
    <row r="565" customFormat="false" ht="15" hidden="false" customHeight="true" outlineLevel="0" collapsed="false">
      <c r="A565" s="36" t="s">
        <v>1626</v>
      </c>
      <c r="B565" s="37" t="s">
        <v>266</v>
      </c>
      <c r="C565" s="37" t="s">
        <v>376</v>
      </c>
      <c r="D565" s="37" t="s">
        <v>1627</v>
      </c>
      <c r="E565" s="36" t="s">
        <v>79</v>
      </c>
      <c r="F565" s="39" t="s">
        <v>7</v>
      </c>
      <c r="G565" s="36" t="s">
        <v>68</v>
      </c>
      <c r="H565" s="36" t="s">
        <v>68</v>
      </c>
      <c r="I565" s="37" t="n">
        <v>143</v>
      </c>
      <c r="J565" s="37"/>
      <c r="K565" s="37" t="n">
        <v>1</v>
      </c>
      <c r="L565" s="37" t="n">
        <v>0</v>
      </c>
      <c r="M565" s="37" t="s">
        <v>1628</v>
      </c>
      <c r="N565" s="37"/>
      <c r="O565" s="37"/>
      <c r="P565" s="37" t="s">
        <v>1629</v>
      </c>
      <c r="Q565" s="37" t="s">
        <v>628</v>
      </c>
      <c r="R565" s="36" t="str">
        <f aca="false">IF(H565="Ya",IF(M565&lt;&gt;"","SUDAH PLOTTING","BELUM PLOTTING"),"-")</f>
        <v>SUDAH PLOTTING</v>
      </c>
      <c r="S565" s="37" t="s">
        <v>229</v>
      </c>
      <c r="T565" s="37"/>
      <c r="U565" s="40" t="s">
        <v>692</v>
      </c>
      <c r="V565" s="41" t="s">
        <v>658</v>
      </c>
    </row>
    <row r="566" customFormat="false" ht="15" hidden="false" customHeight="true" outlineLevel="0" collapsed="false">
      <c r="A566" s="36" t="s">
        <v>1630</v>
      </c>
      <c r="B566" s="37" t="s">
        <v>266</v>
      </c>
      <c r="C566" s="37" t="s">
        <v>376</v>
      </c>
      <c r="D566" s="37" t="s">
        <v>1627</v>
      </c>
      <c r="E566" s="36" t="s">
        <v>88</v>
      </c>
      <c r="F566" s="39" t="s">
        <v>7</v>
      </c>
      <c r="G566" s="36" t="s">
        <v>68</v>
      </c>
      <c r="H566" s="36" t="s">
        <v>68</v>
      </c>
      <c r="I566" s="37" t="n">
        <v>131</v>
      </c>
      <c r="J566" s="37"/>
      <c r="K566" s="37" t="n">
        <v>1</v>
      </c>
      <c r="L566" s="37" t="n">
        <v>0</v>
      </c>
      <c r="M566" s="37" t="s">
        <v>1628</v>
      </c>
      <c r="N566" s="37"/>
      <c r="O566" s="37"/>
      <c r="P566" s="37" t="s">
        <v>1629</v>
      </c>
      <c r="Q566" s="37" t="s">
        <v>628</v>
      </c>
      <c r="R566" s="36" t="str">
        <f aca="false">IF(H566="Ya",IF(M566&lt;&gt;"","SUDAH PLOTTING","BELUM PLOTTING"),"-")</f>
        <v>SUDAH PLOTTING</v>
      </c>
      <c r="S566" s="37" t="s">
        <v>229</v>
      </c>
      <c r="T566" s="37"/>
      <c r="U566" s="40" t="s">
        <v>692</v>
      </c>
      <c r="V566" s="41" t="s">
        <v>658</v>
      </c>
    </row>
    <row r="567" customFormat="false" ht="15" hidden="false" customHeight="true" outlineLevel="0" collapsed="false">
      <c r="A567" s="36" t="s">
        <v>1631</v>
      </c>
      <c r="B567" s="37" t="s">
        <v>266</v>
      </c>
      <c r="C567" s="37" t="s">
        <v>376</v>
      </c>
      <c r="D567" s="37" t="s">
        <v>1627</v>
      </c>
      <c r="E567" s="36" t="s">
        <v>92</v>
      </c>
      <c r="F567" s="39" t="s">
        <v>7</v>
      </c>
      <c r="G567" s="36" t="s">
        <v>68</v>
      </c>
      <c r="H567" s="36" t="s">
        <v>68</v>
      </c>
      <c r="I567" s="37" t="n">
        <v>126</v>
      </c>
      <c r="J567" s="37"/>
      <c r="K567" s="37" t="n">
        <v>1</v>
      </c>
      <c r="L567" s="37" t="n">
        <v>0</v>
      </c>
      <c r="M567" s="37" t="s">
        <v>1616</v>
      </c>
      <c r="N567" s="37"/>
      <c r="O567" s="37"/>
      <c r="P567" s="37" t="s">
        <v>1629</v>
      </c>
      <c r="Q567" s="37" t="s">
        <v>628</v>
      </c>
      <c r="R567" s="36" t="str">
        <f aca="false">IF(H567="Ya",IF(M567&lt;&gt;"","SUDAH PLOTTING","BELUM PLOTTING"),"-")</f>
        <v>SUDAH PLOTTING</v>
      </c>
      <c r="S567" s="37" t="s">
        <v>229</v>
      </c>
      <c r="T567" s="37"/>
      <c r="U567" s="40" t="s">
        <v>692</v>
      </c>
      <c r="V567" s="41" t="s">
        <v>658</v>
      </c>
    </row>
    <row r="568" customFormat="false" ht="15" hidden="false" customHeight="true" outlineLevel="0" collapsed="false">
      <c r="A568" s="36" t="s">
        <v>1632</v>
      </c>
      <c r="B568" s="37" t="s">
        <v>266</v>
      </c>
      <c r="C568" s="37" t="s">
        <v>376</v>
      </c>
      <c r="D568" s="37" t="s">
        <v>1633</v>
      </c>
      <c r="E568" s="36" t="s">
        <v>62</v>
      </c>
      <c r="F568" s="38" t="s">
        <v>11</v>
      </c>
      <c r="G568" s="36" t="s">
        <v>68</v>
      </c>
      <c r="H568" s="36" t="s">
        <v>658</v>
      </c>
      <c r="I568" s="37" t="n">
        <v>225</v>
      </c>
      <c r="J568" s="37"/>
      <c r="K568" s="37" t="n">
        <v>0</v>
      </c>
      <c r="L568" s="37" t="n">
        <v>0</v>
      </c>
      <c r="M568" s="37"/>
      <c r="N568" s="37"/>
      <c r="O568" s="37" t="s">
        <v>659</v>
      </c>
      <c r="P568" s="37" t="s">
        <v>1634</v>
      </c>
      <c r="Q568" s="37" t="s">
        <v>628</v>
      </c>
      <c r="R568" s="36" t="str">
        <f aca="false">IF(H568="Ya",IF(M568&lt;&gt;"","SUDAH PLOTTING","BELUM PLOTTING"),"-")</f>
        <v>-</v>
      </c>
      <c r="S568" s="37"/>
      <c r="T568" s="37"/>
    </row>
    <row r="569" customFormat="false" ht="15" hidden="false" customHeight="true" outlineLevel="0" collapsed="false">
      <c r="A569" s="36" t="s">
        <v>1635</v>
      </c>
      <c r="B569" s="37" t="s">
        <v>266</v>
      </c>
      <c r="C569" s="37" t="s">
        <v>376</v>
      </c>
      <c r="D569" s="37" t="s">
        <v>1636</v>
      </c>
      <c r="E569" s="36" t="s">
        <v>62</v>
      </c>
      <c r="F569" s="38" t="s">
        <v>11</v>
      </c>
      <c r="G569" s="36" t="s">
        <v>68</v>
      </c>
      <c r="H569" s="36" t="s">
        <v>658</v>
      </c>
      <c r="I569" s="37" t="n">
        <v>111</v>
      </c>
      <c r="J569" s="37"/>
      <c r="K569" s="37" t="n">
        <v>0</v>
      </c>
      <c r="L569" s="37" t="n">
        <v>0</v>
      </c>
      <c r="M569" s="37"/>
      <c r="N569" s="37"/>
      <c r="O569" s="37" t="s">
        <v>659</v>
      </c>
      <c r="P569" s="37" t="s">
        <v>1637</v>
      </c>
      <c r="Q569" s="37" t="s">
        <v>628</v>
      </c>
      <c r="R569" s="36" t="str">
        <f aca="false">IF(H569="Ya",IF(M569&lt;&gt;"","SUDAH PLOTTING","BELUM PLOTTING"),"-")</f>
        <v>-</v>
      </c>
      <c r="S569" s="37"/>
      <c r="T569" s="37"/>
    </row>
    <row r="570" customFormat="false" ht="15" hidden="false" customHeight="true" outlineLevel="0" collapsed="false">
      <c r="A570" s="36" t="s">
        <v>1638</v>
      </c>
      <c r="B570" s="37" t="s">
        <v>266</v>
      </c>
      <c r="C570" s="37" t="s">
        <v>367</v>
      </c>
      <c r="D570" s="37" t="s">
        <v>1639</v>
      </c>
      <c r="E570" s="36" t="s">
        <v>79</v>
      </c>
      <c r="F570" s="39" t="s">
        <v>7</v>
      </c>
      <c r="G570" s="36" t="s">
        <v>68</v>
      </c>
      <c r="H570" s="36" t="s">
        <v>68</v>
      </c>
      <c r="I570" s="37" t="n">
        <v>130</v>
      </c>
      <c r="J570" s="37"/>
      <c r="K570" s="37" t="n">
        <v>2</v>
      </c>
      <c r="L570" s="37" t="n">
        <v>0</v>
      </c>
      <c r="M570" s="37" t="s">
        <v>1640</v>
      </c>
      <c r="N570" s="37" t="n">
        <v>9</v>
      </c>
      <c r="O570" s="37"/>
      <c r="P570" s="37" t="s">
        <v>1641</v>
      </c>
      <c r="Q570" s="37" t="s">
        <v>637</v>
      </c>
      <c r="R570" s="36" t="str">
        <f aca="false">IF(H570="Ya",IF(M570&lt;&gt;"","SUDAH PLOTTING","BELUM PLOTTING"),"-")</f>
        <v>SUDAH PLOTTING</v>
      </c>
      <c r="S570" s="37" t="s">
        <v>255</v>
      </c>
      <c r="T570" s="37"/>
      <c r="U570" s="40" t="s">
        <v>692</v>
      </c>
      <c r="V570" s="40" t="s">
        <v>68</v>
      </c>
    </row>
    <row r="571" customFormat="false" ht="15" hidden="false" customHeight="true" outlineLevel="0" collapsed="false">
      <c r="A571" s="36" t="s">
        <v>1642</v>
      </c>
      <c r="B571" s="37" t="s">
        <v>266</v>
      </c>
      <c r="C571" s="37" t="s">
        <v>367</v>
      </c>
      <c r="D571" s="37" t="s">
        <v>1639</v>
      </c>
      <c r="E571" s="36" t="s">
        <v>88</v>
      </c>
      <c r="F571" s="39" t="s">
        <v>7</v>
      </c>
      <c r="G571" s="36" t="s">
        <v>68</v>
      </c>
      <c r="H571" s="36" t="s">
        <v>68</v>
      </c>
      <c r="I571" s="37" t="n">
        <v>153</v>
      </c>
      <c r="J571" s="37"/>
      <c r="K571" s="37" t="n">
        <v>2</v>
      </c>
      <c r="L571" s="37" t="n">
        <v>0</v>
      </c>
      <c r="M571" s="37" t="s">
        <v>1643</v>
      </c>
      <c r="N571" s="37" t="n">
        <v>9</v>
      </c>
      <c r="O571" s="37"/>
      <c r="P571" s="37" t="s">
        <v>1641</v>
      </c>
      <c r="Q571" s="37" t="s">
        <v>637</v>
      </c>
      <c r="R571" s="36" t="str">
        <f aca="false">IF(H571="Ya",IF(M571&lt;&gt;"","SUDAH PLOTTING","BELUM PLOTTING"),"-")</f>
        <v>SUDAH PLOTTING</v>
      </c>
      <c r="S571" s="37" t="s">
        <v>76</v>
      </c>
      <c r="T571" s="37"/>
      <c r="U571" s="40" t="s">
        <v>692</v>
      </c>
      <c r="V571" s="41" t="s">
        <v>658</v>
      </c>
    </row>
    <row r="572" customFormat="false" ht="15" hidden="false" customHeight="true" outlineLevel="0" collapsed="false">
      <c r="A572" s="36" t="s">
        <v>1644</v>
      </c>
      <c r="B572" s="37" t="s">
        <v>266</v>
      </c>
      <c r="C572" s="37" t="s">
        <v>367</v>
      </c>
      <c r="D572" s="37" t="s">
        <v>1639</v>
      </c>
      <c r="E572" s="36" t="s">
        <v>92</v>
      </c>
      <c r="F572" s="39" t="s">
        <v>7</v>
      </c>
      <c r="G572" s="36" t="s">
        <v>68</v>
      </c>
      <c r="H572" s="36" t="s">
        <v>68</v>
      </c>
      <c r="I572" s="37" t="n">
        <v>130</v>
      </c>
      <c r="J572" s="37"/>
      <c r="K572" s="37" t="n">
        <v>2</v>
      </c>
      <c r="L572" s="37" t="n">
        <v>0</v>
      </c>
      <c r="M572" s="37" t="s">
        <v>487</v>
      </c>
      <c r="N572" s="37" t="n">
        <v>9</v>
      </c>
      <c r="O572" s="37"/>
      <c r="P572" s="37" t="s">
        <v>1641</v>
      </c>
      <c r="Q572" s="37" t="s">
        <v>637</v>
      </c>
      <c r="R572" s="36" t="str">
        <f aca="false">IF(H572="Ya",IF(M572&lt;&gt;"","SUDAH PLOTTING","BELUM PLOTTING"),"-")</f>
        <v>SUDAH PLOTTING</v>
      </c>
      <c r="S572" s="37" t="s">
        <v>76</v>
      </c>
      <c r="T572" s="37"/>
      <c r="U572" s="40" t="s">
        <v>692</v>
      </c>
      <c r="V572" s="41" t="s">
        <v>658</v>
      </c>
    </row>
    <row r="573" customFormat="false" ht="15" hidden="false" customHeight="true" outlineLevel="0" collapsed="false">
      <c r="A573" s="36" t="s">
        <v>1645</v>
      </c>
      <c r="B573" s="37" t="s">
        <v>266</v>
      </c>
      <c r="C573" s="37" t="s">
        <v>367</v>
      </c>
      <c r="D573" s="37" t="s">
        <v>1646</v>
      </c>
      <c r="E573" s="36" t="s">
        <v>62</v>
      </c>
      <c r="F573" s="39" t="s">
        <v>7</v>
      </c>
      <c r="G573" s="36" t="s">
        <v>68</v>
      </c>
      <c r="H573" s="36" t="s">
        <v>68</v>
      </c>
      <c r="I573" s="37" t="n">
        <v>228</v>
      </c>
      <c r="J573" s="37" t="n">
        <v>80</v>
      </c>
      <c r="K573" s="37" t="n">
        <v>1</v>
      </c>
      <c r="L573" s="37" t="n">
        <v>0</v>
      </c>
      <c r="M573" s="37" t="s">
        <v>1643</v>
      </c>
      <c r="N573" s="37" t="n">
        <v>10</v>
      </c>
      <c r="O573" s="37"/>
      <c r="P573" s="37" t="s">
        <v>1647</v>
      </c>
      <c r="Q573" s="37" t="s">
        <v>637</v>
      </c>
      <c r="R573" s="36" t="str">
        <f aca="false">IF(H573="Ya",IF(M573&lt;&gt;"","SUDAH PLOTTING","BELUM PLOTTING"),"-")</f>
        <v>SUDAH PLOTTING</v>
      </c>
      <c r="S573" s="37" t="s">
        <v>76</v>
      </c>
      <c r="T573" s="37"/>
      <c r="U573" s="40" t="s">
        <v>692</v>
      </c>
      <c r="V573" s="41" t="s">
        <v>658</v>
      </c>
    </row>
    <row r="574" customFormat="false" ht="15" hidden="false" customHeight="true" outlineLevel="0" collapsed="false">
      <c r="A574" s="36" t="s">
        <v>1648</v>
      </c>
      <c r="B574" s="37" t="s">
        <v>266</v>
      </c>
      <c r="C574" s="37" t="s">
        <v>367</v>
      </c>
      <c r="D574" s="37" t="s">
        <v>1649</v>
      </c>
      <c r="E574" s="36" t="s">
        <v>62</v>
      </c>
      <c r="F574" s="39" t="s">
        <v>7</v>
      </c>
      <c r="G574" s="36" t="s">
        <v>68</v>
      </c>
      <c r="H574" s="36" t="s">
        <v>68</v>
      </c>
      <c r="I574" s="37" t="n">
        <v>179</v>
      </c>
      <c r="J574" s="37"/>
      <c r="K574" s="37" t="n">
        <v>1</v>
      </c>
      <c r="L574" s="37" t="n">
        <v>0</v>
      </c>
      <c r="M574" s="37" t="s">
        <v>1640</v>
      </c>
      <c r="N574" s="37" t="n">
        <v>12</v>
      </c>
      <c r="O574" s="37"/>
      <c r="P574" s="37" t="s">
        <v>1650</v>
      </c>
      <c r="Q574" s="37" t="s">
        <v>637</v>
      </c>
      <c r="R574" s="36" t="str">
        <f aca="false">IF(H574="Ya",IF(M574&lt;&gt;"","SUDAH PLOTTING","BELUM PLOTTING"),"-")</f>
        <v>SUDAH PLOTTING</v>
      </c>
      <c r="S574" s="37" t="s">
        <v>255</v>
      </c>
      <c r="T574" s="37"/>
      <c r="U574" s="40" t="s">
        <v>692</v>
      </c>
      <c r="V574" s="40" t="s">
        <v>68</v>
      </c>
    </row>
    <row r="575" customFormat="false" ht="15" hidden="false" customHeight="true" outlineLevel="0" collapsed="false">
      <c r="A575" s="36" t="s">
        <v>1651</v>
      </c>
      <c r="B575" s="37" t="s">
        <v>266</v>
      </c>
      <c r="C575" s="37" t="s">
        <v>367</v>
      </c>
      <c r="D575" s="37" t="s">
        <v>1652</v>
      </c>
      <c r="E575" s="36" t="s">
        <v>62</v>
      </c>
      <c r="F575" s="39" t="s">
        <v>7</v>
      </c>
      <c r="G575" s="36" t="s">
        <v>68</v>
      </c>
      <c r="H575" s="36" t="s">
        <v>68</v>
      </c>
      <c r="I575" s="37" t="n">
        <v>105</v>
      </c>
      <c r="J575" s="37"/>
      <c r="K575" s="37" t="n">
        <v>1</v>
      </c>
      <c r="L575" s="37" t="n">
        <v>0</v>
      </c>
      <c r="M575" s="37" t="s">
        <v>1653</v>
      </c>
      <c r="N575" s="37" t="n">
        <v>28</v>
      </c>
      <c r="O575" s="37"/>
      <c r="P575" s="37" t="s">
        <v>1654</v>
      </c>
      <c r="Q575" s="37" t="s">
        <v>637</v>
      </c>
      <c r="R575" s="36" t="str">
        <f aca="false">IF(H575="Ya",IF(M575&lt;&gt;"","SUDAH PLOTTING","BELUM PLOTTING"),"-")</f>
        <v>SUDAH PLOTTING</v>
      </c>
      <c r="S575" s="37" t="s">
        <v>255</v>
      </c>
      <c r="T575" s="37"/>
      <c r="U575" s="40" t="s">
        <v>692</v>
      </c>
      <c r="V575" s="40" t="s">
        <v>68</v>
      </c>
    </row>
    <row r="576" customFormat="false" ht="15" hidden="false" customHeight="true" outlineLevel="0" collapsed="false">
      <c r="A576" s="36" t="s">
        <v>1655</v>
      </c>
      <c r="B576" s="37" t="s">
        <v>266</v>
      </c>
      <c r="C576" s="37" t="s">
        <v>367</v>
      </c>
      <c r="D576" s="37" t="s">
        <v>1656</v>
      </c>
      <c r="E576" s="36" t="s">
        <v>79</v>
      </c>
      <c r="F576" s="39" t="s">
        <v>7</v>
      </c>
      <c r="G576" s="36" t="s">
        <v>68</v>
      </c>
      <c r="H576" s="36" t="s">
        <v>68</v>
      </c>
      <c r="I576" s="37" t="n">
        <v>124</v>
      </c>
      <c r="J576" s="37"/>
      <c r="K576" s="37" t="n">
        <v>1</v>
      </c>
      <c r="L576" s="37" t="n">
        <v>0</v>
      </c>
      <c r="M576" s="37" t="s">
        <v>1657</v>
      </c>
      <c r="N576" s="37" t="n">
        <v>36</v>
      </c>
      <c r="O576" s="37"/>
      <c r="P576" s="37" t="s">
        <v>1658</v>
      </c>
      <c r="Q576" s="37" t="s">
        <v>637</v>
      </c>
      <c r="R576" s="36" t="str">
        <f aca="false">IF(H576="Ya",IF(M576&lt;&gt;"","SUDAH PLOTTING","BELUM PLOTTING"),"-")</f>
        <v>SUDAH PLOTTING</v>
      </c>
      <c r="S576" s="37" t="s">
        <v>255</v>
      </c>
      <c r="T576" s="37"/>
      <c r="U576" s="40" t="s">
        <v>692</v>
      </c>
      <c r="V576" s="40" t="s">
        <v>68</v>
      </c>
    </row>
    <row r="577" customFormat="false" ht="15" hidden="false" customHeight="true" outlineLevel="0" collapsed="false">
      <c r="A577" s="36" t="s">
        <v>1659</v>
      </c>
      <c r="B577" s="37" t="s">
        <v>266</v>
      </c>
      <c r="C577" s="37" t="s">
        <v>367</v>
      </c>
      <c r="D577" s="37" t="s">
        <v>1656</v>
      </c>
      <c r="E577" s="36" t="s">
        <v>88</v>
      </c>
      <c r="F577" s="39" t="s">
        <v>7</v>
      </c>
      <c r="G577" s="36" t="s">
        <v>68</v>
      </c>
      <c r="H577" s="36" t="s">
        <v>68</v>
      </c>
      <c r="I577" s="37" t="n">
        <v>124</v>
      </c>
      <c r="J577" s="37"/>
      <c r="K577" s="37" t="n">
        <v>1</v>
      </c>
      <c r="L577" s="37" t="n">
        <v>0</v>
      </c>
      <c r="M577" s="37" t="s">
        <v>1660</v>
      </c>
      <c r="N577" s="37" t="n">
        <v>36</v>
      </c>
      <c r="O577" s="37"/>
      <c r="P577" s="37" t="s">
        <v>1658</v>
      </c>
      <c r="Q577" s="37" t="s">
        <v>637</v>
      </c>
      <c r="R577" s="36" t="str">
        <f aca="false">IF(H577="Ya",IF(M577&lt;&gt;"","SUDAH PLOTTING","BELUM PLOTTING"),"-")</f>
        <v>SUDAH PLOTTING</v>
      </c>
      <c r="S577" s="37" t="s">
        <v>255</v>
      </c>
      <c r="T577" s="37"/>
      <c r="U577" s="40" t="s">
        <v>692</v>
      </c>
      <c r="V577" s="40" t="s">
        <v>68</v>
      </c>
    </row>
    <row r="578" customFormat="false" ht="15" hidden="false" customHeight="true" outlineLevel="0" collapsed="false">
      <c r="A578" s="36" t="s">
        <v>1661</v>
      </c>
      <c r="B578" s="37" t="s">
        <v>266</v>
      </c>
      <c r="C578" s="37" t="s">
        <v>367</v>
      </c>
      <c r="D578" s="37" t="s">
        <v>1662</v>
      </c>
      <c r="E578" s="36" t="s">
        <v>62</v>
      </c>
      <c r="F578" s="39" t="s">
        <v>7</v>
      </c>
      <c r="G578" s="36" t="s">
        <v>68</v>
      </c>
      <c r="H578" s="36" t="s">
        <v>68</v>
      </c>
      <c r="I578" s="37" t="n">
        <v>53</v>
      </c>
      <c r="J578" s="37"/>
      <c r="K578" s="37" t="n">
        <v>2</v>
      </c>
      <c r="L578" s="37" t="n">
        <v>0</v>
      </c>
      <c r="M578" s="37" t="s">
        <v>1653</v>
      </c>
      <c r="N578" s="37" t="n">
        <v>38</v>
      </c>
      <c r="O578" s="37"/>
      <c r="P578" s="37" t="s">
        <v>1663</v>
      </c>
      <c r="Q578" s="37" t="s">
        <v>637</v>
      </c>
      <c r="R578" s="36" t="str">
        <f aca="false">IF(H578="Ya",IF(M578&lt;&gt;"","SUDAH PLOTTING","BELUM PLOTTING"),"-")</f>
        <v>SUDAH PLOTTING</v>
      </c>
      <c r="S578" s="37" t="s">
        <v>255</v>
      </c>
      <c r="T578" s="37"/>
      <c r="U578" s="40" t="s">
        <v>692</v>
      </c>
      <c r="V578" s="40" t="s">
        <v>68</v>
      </c>
    </row>
    <row r="579" customFormat="false" ht="15" hidden="false" customHeight="true" outlineLevel="0" collapsed="false">
      <c r="A579" s="36" t="s">
        <v>1664</v>
      </c>
      <c r="B579" s="37" t="s">
        <v>266</v>
      </c>
      <c r="C579" s="37" t="s">
        <v>367</v>
      </c>
      <c r="D579" s="37" t="s">
        <v>1370</v>
      </c>
      <c r="E579" s="36" t="s">
        <v>79</v>
      </c>
      <c r="F579" s="39" t="s">
        <v>7</v>
      </c>
      <c r="G579" s="36" t="s">
        <v>68</v>
      </c>
      <c r="H579" s="36" t="s">
        <v>68</v>
      </c>
      <c r="I579" s="37" t="n">
        <v>66</v>
      </c>
      <c r="J579" s="37"/>
      <c r="K579" s="37" t="n">
        <v>1</v>
      </c>
      <c r="L579" s="37" t="n">
        <v>0</v>
      </c>
      <c r="M579" s="37" t="s">
        <v>1640</v>
      </c>
      <c r="N579" s="37" t="n">
        <v>33</v>
      </c>
      <c r="O579" s="37"/>
      <c r="P579" s="37" t="s">
        <v>1665</v>
      </c>
      <c r="Q579" s="37" t="s">
        <v>637</v>
      </c>
      <c r="R579" s="36" t="str">
        <f aca="false">IF(H579="Ya",IF(M579&lt;&gt;"","SUDAH PLOTTING","BELUM PLOTTING"),"-")</f>
        <v>SUDAH PLOTTING</v>
      </c>
      <c r="S579" s="37" t="s">
        <v>255</v>
      </c>
      <c r="T579" s="37"/>
      <c r="U579" s="40" t="s">
        <v>692</v>
      </c>
      <c r="V579" s="40" t="s">
        <v>68</v>
      </c>
    </row>
    <row r="580" customFormat="false" ht="15" hidden="false" customHeight="true" outlineLevel="0" collapsed="false">
      <c r="A580" s="36" t="s">
        <v>1666</v>
      </c>
      <c r="B580" s="37" t="s">
        <v>266</v>
      </c>
      <c r="C580" s="37" t="s">
        <v>367</v>
      </c>
      <c r="D580" s="37" t="s">
        <v>1370</v>
      </c>
      <c r="E580" s="36" t="s">
        <v>88</v>
      </c>
      <c r="F580" s="39" t="s">
        <v>7</v>
      </c>
      <c r="G580" s="36" t="s">
        <v>68</v>
      </c>
      <c r="H580" s="36" t="s">
        <v>68</v>
      </c>
      <c r="I580" s="37" t="n">
        <v>168</v>
      </c>
      <c r="J580" s="37"/>
      <c r="K580" s="37" t="n">
        <v>1</v>
      </c>
      <c r="L580" s="37" t="n">
        <v>0</v>
      </c>
      <c r="M580" s="37" t="s">
        <v>1667</v>
      </c>
      <c r="N580" s="37" t="n">
        <v>33</v>
      </c>
      <c r="O580" s="37"/>
      <c r="P580" s="37" t="s">
        <v>1665</v>
      </c>
      <c r="Q580" s="37" t="s">
        <v>637</v>
      </c>
      <c r="R580" s="36" t="str">
        <f aca="false">IF(H580="Ya",IF(M580&lt;&gt;"","SUDAH PLOTTING","BELUM PLOTTING"),"-")</f>
        <v>SUDAH PLOTTING</v>
      </c>
      <c r="S580" s="37" t="s">
        <v>255</v>
      </c>
      <c r="T580" s="37"/>
      <c r="U580" s="40" t="s">
        <v>692</v>
      </c>
      <c r="V580" s="40" t="s">
        <v>68</v>
      </c>
    </row>
    <row r="581" customFormat="false" ht="15" hidden="false" customHeight="true" outlineLevel="0" collapsed="false">
      <c r="A581" s="36" t="s">
        <v>1668</v>
      </c>
      <c r="B581" s="37" t="s">
        <v>266</v>
      </c>
      <c r="C581" s="37" t="s">
        <v>367</v>
      </c>
      <c r="D581" s="37" t="s">
        <v>1370</v>
      </c>
      <c r="E581" s="36" t="s">
        <v>92</v>
      </c>
      <c r="F581" s="39" t="s">
        <v>7</v>
      </c>
      <c r="G581" s="36" t="s">
        <v>68</v>
      </c>
      <c r="H581" s="36" t="s">
        <v>68</v>
      </c>
      <c r="I581" s="37" t="n">
        <v>135</v>
      </c>
      <c r="J581" s="37"/>
      <c r="K581" s="37" t="n">
        <v>1</v>
      </c>
      <c r="L581" s="37" t="n">
        <v>0</v>
      </c>
      <c r="M581" s="37" t="s">
        <v>1616</v>
      </c>
      <c r="N581" s="37" t="n">
        <v>33</v>
      </c>
      <c r="O581" s="37"/>
      <c r="P581" s="37" t="s">
        <v>1665</v>
      </c>
      <c r="Q581" s="37" t="s">
        <v>637</v>
      </c>
      <c r="R581" s="36" t="str">
        <f aca="false">IF(H581="Ya",IF(M581&lt;&gt;"","SUDAH PLOTTING","BELUM PLOTTING"),"-")</f>
        <v>SUDAH PLOTTING</v>
      </c>
      <c r="S581" s="37" t="s">
        <v>229</v>
      </c>
      <c r="T581" s="37"/>
      <c r="U581" s="40" t="s">
        <v>692</v>
      </c>
      <c r="V581" s="41" t="s">
        <v>658</v>
      </c>
    </row>
    <row r="582" customFormat="false" ht="15" hidden="false" customHeight="true" outlineLevel="0" collapsed="false">
      <c r="A582" s="36" t="s">
        <v>1669</v>
      </c>
      <c r="B582" s="37" t="s">
        <v>266</v>
      </c>
      <c r="C582" s="37" t="s">
        <v>367</v>
      </c>
      <c r="D582" s="37" t="s">
        <v>806</v>
      </c>
      <c r="E582" s="36" t="s">
        <v>79</v>
      </c>
      <c r="F582" s="39" t="s">
        <v>7</v>
      </c>
      <c r="G582" s="36" t="s">
        <v>68</v>
      </c>
      <c r="H582" s="36" t="s">
        <v>68</v>
      </c>
      <c r="I582" s="37" t="n">
        <v>90</v>
      </c>
      <c r="J582" s="37"/>
      <c r="K582" s="37" t="n">
        <v>1</v>
      </c>
      <c r="L582" s="37" t="n">
        <v>0</v>
      </c>
      <c r="M582" s="37" t="s">
        <v>401</v>
      </c>
      <c r="N582" s="37" t="n">
        <v>48</v>
      </c>
      <c r="O582" s="37"/>
      <c r="P582" s="37" t="s">
        <v>1670</v>
      </c>
      <c r="Q582" s="37" t="s">
        <v>637</v>
      </c>
      <c r="R582" s="36" t="str">
        <f aca="false">IF(H582="Ya",IF(M582&lt;&gt;"","SUDAH PLOTTING","BELUM PLOTTING"),"-")</f>
        <v>SUDAH PLOTTING</v>
      </c>
      <c r="S582" s="37" t="s">
        <v>255</v>
      </c>
      <c r="T582" s="37"/>
      <c r="U582" s="40" t="s">
        <v>692</v>
      </c>
      <c r="V582" s="40" t="s">
        <v>68</v>
      </c>
    </row>
    <row r="583" customFormat="false" ht="15" hidden="false" customHeight="true" outlineLevel="0" collapsed="false">
      <c r="A583" s="36" t="s">
        <v>1671</v>
      </c>
      <c r="B583" s="37" t="s">
        <v>266</v>
      </c>
      <c r="C583" s="37" t="s">
        <v>367</v>
      </c>
      <c r="D583" s="37" t="s">
        <v>806</v>
      </c>
      <c r="E583" s="36" t="s">
        <v>88</v>
      </c>
      <c r="F583" s="39" t="s">
        <v>7</v>
      </c>
      <c r="G583" s="36" t="s">
        <v>68</v>
      </c>
      <c r="H583" s="36" t="s">
        <v>68</v>
      </c>
      <c r="I583" s="37" t="n">
        <v>199</v>
      </c>
      <c r="J583" s="37"/>
      <c r="K583" s="37" t="n">
        <v>1</v>
      </c>
      <c r="L583" s="37" t="n">
        <v>0</v>
      </c>
      <c r="M583" s="37" t="s">
        <v>1667</v>
      </c>
      <c r="N583" s="37" t="n">
        <v>48</v>
      </c>
      <c r="O583" s="37"/>
      <c r="P583" s="37" t="s">
        <v>1670</v>
      </c>
      <c r="Q583" s="37" t="s">
        <v>637</v>
      </c>
      <c r="R583" s="36" t="str">
        <f aca="false">IF(H583="Ya",IF(M583&lt;&gt;"","SUDAH PLOTTING","BELUM PLOTTING"),"-")</f>
        <v>SUDAH PLOTTING</v>
      </c>
      <c r="S583" s="37" t="s">
        <v>255</v>
      </c>
      <c r="T583" s="37"/>
      <c r="U583" s="40" t="s">
        <v>692</v>
      </c>
      <c r="V583" s="40" t="s">
        <v>68</v>
      </c>
    </row>
    <row r="584" customFormat="false" ht="15" hidden="false" customHeight="true" outlineLevel="0" collapsed="false">
      <c r="A584" s="36" t="s">
        <v>1672</v>
      </c>
      <c r="B584" s="37" t="s">
        <v>266</v>
      </c>
      <c r="C584" s="37" t="s">
        <v>367</v>
      </c>
      <c r="D584" s="37" t="s">
        <v>806</v>
      </c>
      <c r="E584" s="36" t="s">
        <v>92</v>
      </c>
      <c r="F584" s="39" t="s">
        <v>7</v>
      </c>
      <c r="G584" s="36" t="s">
        <v>68</v>
      </c>
      <c r="H584" s="36" t="s">
        <v>68</v>
      </c>
      <c r="I584" s="37" t="n">
        <v>143</v>
      </c>
      <c r="J584" s="37"/>
      <c r="K584" s="37" t="n">
        <v>1</v>
      </c>
      <c r="L584" s="37" t="n">
        <v>0</v>
      </c>
      <c r="M584" s="37" t="s">
        <v>487</v>
      </c>
      <c r="N584" s="37" t="n">
        <v>48</v>
      </c>
      <c r="O584" s="37"/>
      <c r="P584" s="37" t="s">
        <v>1670</v>
      </c>
      <c r="Q584" s="37" t="s">
        <v>637</v>
      </c>
      <c r="R584" s="36" t="str">
        <f aca="false">IF(H584="Ya",IF(M584&lt;&gt;"","SUDAH PLOTTING","BELUM PLOTTING"),"-")</f>
        <v>SUDAH PLOTTING</v>
      </c>
      <c r="S584" s="37" t="s">
        <v>76</v>
      </c>
      <c r="T584" s="37"/>
      <c r="U584" s="40" t="s">
        <v>692</v>
      </c>
      <c r="V584" s="41" t="s">
        <v>658</v>
      </c>
    </row>
    <row r="585" customFormat="false" ht="15" hidden="false" customHeight="true" outlineLevel="0" collapsed="false">
      <c r="A585" s="36" t="s">
        <v>1673</v>
      </c>
      <c r="B585" s="37" t="s">
        <v>266</v>
      </c>
      <c r="C585" s="37" t="s">
        <v>367</v>
      </c>
      <c r="D585" s="37" t="s">
        <v>806</v>
      </c>
      <c r="E585" s="36" t="s">
        <v>97</v>
      </c>
      <c r="F585" s="39" t="s">
        <v>7</v>
      </c>
      <c r="G585" s="36" t="s">
        <v>68</v>
      </c>
      <c r="H585" s="36" t="s">
        <v>68</v>
      </c>
      <c r="I585" s="37" t="n">
        <v>178</v>
      </c>
      <c r="J585" s="37"/>
      <c r="K585" s="37" t="n">
        <v>1</v>
      </c>
      <c r="L585" s="37" t="n">
        <v>0</v>
      </c>
      <c r="M585" s="37" t="s">
        <v>1640</v>
      </c>
      <c r="N585" s="37" t="n">
        <v>48</v>
      </c>
      <c r="O585" s="37"/>
      <c r="P585" s="37" t="s">
        <v>1670</v>
      </c>
      <c r="Q585" s="37" t="s">
        <v>637</v>
      </c>
      <c r="R585" s="36" t="str">
        <f aca="false">IF(H585="Ya",IF(M585&lt;&gt;"","SUDAH PLOTTING","BELUM PLOTTING"),"-")</f>
        <v>SUDAH PLOTTING</v>
      </c>
      <c r="S585" s="37" t="s">
        <v>255</v>
      </c>
      <c r="T585" s="37"/>
      <c r="U585" s="40" t="s">
        <v>692</v>
      </c>
      <c r="V585" s="40" t="s">
        <v>68</v>
      </c>
    </row>
    <row r="586" customFormat="false" ht="15" hidden="false" customHeight="true" outlineLevel="0" collapsed="false">
      <c r="A586" s="36" t="s">
        <v>1674</v>
      </c>
      <c r="B586" s="37" t="s">
        <v>266</v>
      </c>
      <c r="C586" s="37" t="s">
        <v>367</v>
      </c>
      <c r="D586" s="37" t="s">
        <v>1675</v>
      </c>
      <c r="E586" s="36" t="s">
        <v>62</v>
      </c>
      <c r="F586" s="39" t="s">
        <v>7</v>
      </c>
      <c r="G586" s="36" t="s">
        <v>68</v>
      </c>
      <c r="H586" s="36" t="s">
        <v>68</v>
      </c>
      <c r="I586" s="37" t="n">
        <v>90</v>
      </c>
      <c r="J586" s="37"/>
      <c r="K586" s="37" t="n">
        <v>1</v>
      </c>
      <c r="L586" s="37" t="n">
        <v>0</v>
      </c>
      <c r="M586" s="37" t="s">
        <v>1676</v>
      </c>
      <c r="N586" s="37"/>
      <c r="O586" s="37"/>
      <c r="P586" s="37" t="s">
        <v>1677</v>
      </c>
      <c r="Q586" s="37" t="s">
        <v>637</v>
      </c>
      <c r="R586" s="36" t="str">
        <f aca="false">IF(H586="Ya",IF(M586&lt;&gt;"","SUDAH PLOTTING","BELUM PLOTTING"),"-")</f>
        <v>SUDAH PLOTTING</v>
      </c>
      <c r="S586" s="37" t="s">
        <v>255</v>
      </c>
      <c r="T586" s="37"/>
      <c r="U586" s="40" t="s">
        <v>692</v>
      </c>
      <c r="V586" s="40" t="s">
        <v>68</v>
      </c>
    </row>
    <row r="587" customFormat="false" ht="15" hidden="false" customHeight="true" outlineLevel="0" collapsed="false">
      <c r="A587" s="36" t="s">
        <v>1678</v>
      </c>
      <c r="B587" s="37" t="s">
        <v>266</v>
      </c>
      <c r="C587" s="37" t="s">
        <v>367</v>
      </c>
      <c r="D587" s="37" t="s">
        <v>1679</v>
      </c>
      <c r="E587" s="36" t="s">
        <v>79</v>
      </c>
      <c r="F587" s="39" t="s">
        <v>7</v>
      </c>
      <c r="G587" s="36" t="s">
        <v>68</v>
      </c>
      <c r="H587" s="36" t="s">
        <v>68</v>
      </c>
      <c r="I587" s="37" t="n">
        <v>154</v>
      </c>
      <c r="J587" s="37"/>
      <c r="K587" s="37" t="n">
        <v>1</v>
      </c>
      <c r="L587" s="37" t="n">
        <v>0</v>
      </c>
      <c r="M587" s="37" t="s">
        <v>1680</v>
      </c>
      <c r="N587" s="37" t="n">
        <v>56</v>
      </c>
      <c r="O587" s="37"/>
      <c r="P587" s="37" t="s">
        <v>1681</v>
      </c>
      <c r="Q587" s="37" t="s">
        <v>637</v>
      </c>
      <c r="R587" s="36" t="str">
        <f aca="false">IF(H587="Ya",IF(M587&lt;&gt;"","SUDAH PLOTTING","BELUM PLOTTING"),"-")</f>
        <v>SUDAH PLOTTING</v>
      </c>
      <c r="S587" s="37" t="s">
        <v>255</v>
      </c>
      <c r="T587" s="37"/>
      <c r="U587" s="40" t="s">
        <v>692</v>
      </c>
      <c r="V587" s="40" t="s">
        <v>68</v>
      </c>
    </row>
    <row r="588" customFormat="false" ht="15" hidden="false" customHeight="true" outlineLevel="0" collapsed="false">
      <c r="A588" s="36" t="s">
        <v>1682</v>
      </c>
      <c r="B588" s="37" t="s">
        <v>266</v>
      </c>
      <c r="C588" s="37" t="s">
        <v>367</v>
      </c>
      <c r="D588" s="37" t="s">
        <v>1679</v>
      </c>
      <c r="E588" s="36" t="s">
        <v>88</v>
      </c>
      <c r="F588" s="39" t="s">
        <v>7</v>
      </c>
      <c r="G588" s="36" t="s">
        <v>68</v>
      </c>
      <c r="H588" s="36" t="s">
        <v>68</v>
      </c>
      <c r="I588" s="37" t="n">
        <v>166</v>
      </c>
      <c r="J588" s="37"/>
      <c r="K588" s="37" t="n">
        <v>1</v>
      </c>
      <c r="L588" s="37" t="n">
        <v>0</v>
      </c>
      <c r="M588" s="37" t="s">
        <v>410</v>
      </c>
      <c r="N588" s="37" t="n">
        <v>56</v>
      </c>
      <c r="O588" s="37"/>
      <c r="P588" s="37" t="s">
        <v>1681</v>
      </c>
      <c r="Q588" s="37" t="s">
        <v>637</v>
      </c>
      <c r="R588" s="36" t="str">
        <f aca="false">IF(H588="Ya",IF(M588&lt;&gt;"","SUDAH PLOTTING","BELUM PLOTTING"),"-")</f>
        <v>SUDAH PLOTTING</v>
      </c>
      <c r="S588" s="37" t="s">
        <v>255</v>
      </c>
      <c r="T588" s="37"/>
      <c r="U588" s="40" t="s">
        <v>692</v>
      </c>
      <c r="V588" s="40" t="s">
        <v>68</v>
      </c>
    </row>
    <row r="589" customFormat="false" ht="15" hidden="false" customHeight="true" outlineLevel="0" collapsed="false">
      <c r="A589" s="36" t="s">
        <v>1683</v>
      </c>
      <c r="B589" s="37" t="s">
        <v>266</v>
      </c>
      <c r="C589" s="37" t="s">
        <v>367</v>
      </c>
      <c r="D589" s="37" t="s">
        <v>918</v>
      </c>
      <c r="E589" s="36" t="s">
        <v>79</v>
      </c>
      <c r="F589" s="39" t="s">
        <v>7</v>
      </c>
      <c r="G589" s="36" t="s">
        <v>68</v>
      </c>
      <c r="H589" s="36" t="s">
        <v>68</v>
      </c>
      <c r="I589" s="37" t="n">
        <v>121</v>
      </c>
      <c r="J589" s="37"/>
      <c r="K589" s="37" t="n">
        <v>1</v>
      </c>
      <c r="L589" s="37" t="n">
        <v>0</v>
      </c>
      <c r="M589" s="37" t="s">
        <v>1684</v>
      </c>
      <c r="N589" s="37" t="n">
        <v>20</v>
      </c>
      <c r="O589" s="37"/>
      <c r="P589" s="37" t="s">
        <v>1685</v>
      </c>
      <c r="Q589" s="37" t="s">
        <v>637</v>
      </c>
      <c r="R589" s="36" t="str">
        <f aca="false">IF(H589="Ya",IF(M589&lt;&gt;"","SUDAH PLOTTING","BELUM PLOTTING"),"-")</f>
        <v>SUDAH PLOTTING</v>
      </c>
      <c r="S589" s="37" t="s">
        <v>255</v>
      </c>
      <c r="T589" s="37"/>
      <c r="U589" s="40" t="s">
        <v>692</v>
      </c>
      <c r="V589" s="40" t="s">
        <v>68</v>
      </c>
    </row>
    <row r="590" customFormat="false" ht="15" hidden="false" customHeight="true" outlineLevel="0" collapsed="false">
      <c r="A590" s="36" t="s">
        <v>1686</v>
      </c>
      <c r="B590" s="37" t="s">
        <v>266</v>
      </c>
      <c r="C590" s="37" t="s">
        <v>367</v>
      </c>
      <c r="D590" s="37" t="s">
        <v>918</v>
      </c>
      <c r="E590" s="36" t="s">
        <v>88</v>
      </c>
      <c r="F590" s="39" t="s">
        <v>7</v>
      </c>
      <c r="G590" s="36" t="s">
        <v>68</v>
      </c>
      <c r="H590" s="36" t="s">
        <v>68</v>
      </c>
      <c r="I590" s="37" t="n">
        <v>119</v>
      </c>
      <c r="J590" s="37"/>
      <c r="K590" s="37" t="n">
        <v>1</v>
      </c>
      <c r="L590" s="37" t="n">
        <v>0</v>
      </c>
      <c r="M590" s="37" t="s">
        <v>401</v>
      </c>
      <c r="N590" s="37" t="n">
        <v>20</v>
      </c>
      <c r="O590" s="37"/>
      <c r="P590" s="37" t="s">
        <v>1685</v>
      </c>
      <c r="Q590" s="37" t="s">
        <v>637</v>
      </c>
      <c r="R590" s="36" t="str">
        <f aca="false">IF(H590="Ya",IF(M590&lt;&gt;"","SUDAH PLOTTING","BELUM PLOTTING"),"-")</f>
        <v>SUDAH PLOTTING</v>
      </c>
      <c r="S590" s="37" t="s">
        <v>255</v>
      </c>
      <c r="T590" s="37"/>
      <c r="U590" s="40" t="s">
        <v>692</v>
      </c>
      <c r="V590" s="40" t="s">
        <v>68</v>
      </c>
    </row>
    <row r="591" customFormat="false" ht="15" hidden="false" customHeight="true" outlineLevel="0" collapsed="false">
      <c r="A591" s="36" t="s">
        <v>1687</v>
      </c>
      <c r="B591" s="37" t="s">
        <v>266</v>
      </c>
      <c r="C591" s="37" t="s">
        <v>367</v>
      </c>
      <c r="D591" s="37" t="s">
        <v>1688</v>
      </c>
      <c r="E591" s="36" t="s">
        <v>79</v>
      </c>
      <c r="F591" s="39" t="s">
        <v>7</v>
      </c>
      <c r="G591" s="36" t="s">
        <v>68</v>
      </c>
      <c r="H591" s="36" t="s">
        <v>68</v>
      </c>
      <c r="I591" s="37" t="n">
        <v>130</v>
      </c>
      <c r="J591" s="37"/>
      <c r="K591" s="37" t="n">
        <v>1</v>
      </c>
      <c r="L591" s="37" t="n">
        <v>0</v>
      </c>
      <c r="M591" s="37" t="s">
        <v>1676</v>
      </c>
      <c r="N591" s="37" t="n">
        <v>35</v>
      </c>
      <c r="O591" s="37"/>
      <c r="P591" s="37" t="s">
        <v>1689</v>
      </c>
      <c r="Q591" s="37" t="s">
        <v>637</v>
      </c>
      <c r="R591" s="36" t="str">
        <f aca="false">IF(H591="Ya",IF(M591&lt;&gt;"","SUDAH PLOTTING","BELUM PLOTTING"),"-")</f>
        <v>SUDAH PLOTTING</v>
      </c>
      <c r="S591" s="37" t="s">
        <v>255</v>
      </c>
      <c r="T591" s="37"/>
      <c r="U591" s="40" t="s">
        <v>692</v>
      </c>
      <c r="V591" s="40" t="s">
        <v>68</v>
      </c>
    </row>
    <row r="592" customFormat="false" ht="15" hidden="false" customHeight="true" outlineLevel="0" collapsed="false">
      <c r="A592" s="36" t="s">
        <v>1690</v>
      </c>
      <c r="B592" s="37" t="s">
        <v>266</v>
      </c>
      <c r="C592" s="37" t="s">
        <v>367</v>
      </c>
      <c r="D592" s="37" t="s">
        <v>1688</v>
      </c>
      <c r="E592" s="36" t="s">
        <v>88</v>
      </c>
      <c r="F592" s="39" t="s">
        <v>7</v>
      </c>
      <c r="G592" s="36" t="s">
        <v>68</v>
      </c>
      <c r="H592" s="36" t="s">
        <v>68</v>
      </c>
      <c r="I592" s="37" t="n">
        <v>140</v>
      </c>
      <c r="J592" s="37"/>
      <c r="K592" s="37" t="n">
        <v>1</v>
      </c>
      <c r="L592" s="37" t="n">
        <v>0</v>
      </c>
      <c r="M592" s="37" t="s">
        <v>1667</v>
      </c>
      <c r="N592" s="37" t="n">
        <v>35</v>
      </c>
      <c r="O592" s="37"/>
      <c r="P592" s="37" t="s">
        <v>1689</v>
      </c>
      <c r="Q592" s="37" t="s">
        <v>637</v>
      </c>
      <c r="R592" s="36" t="str">
        <f aca="false">IF(H592="Ya",IF(M592&lt;&gt;"","SUDAH PLOTTING","BELUM PLOTTING"),"-")</f>
        <v>SUDAH PLOTTING</v>
      </c>
      <c r="S592" s="37" t="s">
        <v>255</v>
      </c>
      <c r="T592" s="37"/>
      <c r="U592" s="40" t="s">
        <v>692</v>
      </c>
      <c r="V592" s="40" t="s">
        <v>68</v>
      </c>
    </row>
    <row r="593" customFormat="false" ht="15" hidden="false" customHeight="true" outlineLevel="0" collapsed="false">
      <c r="A593" s="36" t="s">
        <v>1691</v>
      </c>
      <c r="B593" s="37" t="s">
        <v>266</v>
      </c>
      <c r="C593" s="37" t="s">
        <v>267</v>
      </c>
      <c r="D593" s="37" t="s">
        <v>1692</v>
      </c>
      <c r="E593" s="36" t="s">
        <v>79</v>
      </c>
      <c r="F593" s="38" t="s">
        <v>11</v>
      </c>
      <c r="G593" s="36" t="s">
        <v>68</v>
      </c>
      <c r="H593" s="36" t="s">
        <v>658</v>
      </c>
      <c r="I593" s="37" t="n">
        <v>135</v>
      </c>
      <c r="J593" s="37"/>
      <c r="K593" s="37" t="n">
        <v>0</v>
      </c>
      <c r="L593" s="37" t="n">
        <v>0</v>
      </c>
      <c r="M593" s="37"/>
      <c r="N593" s="37" t="n">
        <v>9</v>
      </c>
      <c r="O593" s="37" t="s">
        <v>1693</v>
      </c>
      <c r="P593" s="37" t="s">
        <v>1694</v>
      </c>
      <c r="Q593" s="37" t="s">
        <v>639</v>
      </c>
      <c r="R593" s="36" t="str">
        <f aca="false">IF(H593="Ya",IF(M593&lt;&gt;"","SUDAH PLOTTING","BELUM PLOTTING"),"-")</f>
        <v>-</v>
      </c>
      <c r="S593" s="37"/>
      <c r="T593" s="37"/>
    </row>
    <row r="594" customFormat="false" ht="15" hidden="false" customHeight="true" outlineLevel="0" collapsed="false">
      <c r="A594" s="36" t="s">
        <v>1695</v>
      </c>
      <c r="B594" s="37" t="s">
        <v>266</v>
      </c>
      <c r="C594" s="37" t="s">
        <v>267</v>
      </c>
      <c r="D594" s="37" t="s">
        <v>1692</v>
      </c>
      <c r="E594" s="36" t="s">
        <v>88</v>
      </c>
      <c r="F594" s="38" t="s">
        <v>11</v>
      </c>
      <c r="G594" s="36" t="s">
        <v>68</v>
      </c>
      <c r="H594" s="36" t="s">
        <v>658</v>
      </c>
      <c r="I594" s="37" t="n">
        <v>137</v>
      </c>
      <c r="J594" s="37"/>
      <c r="K594" s="37" t="n">
        <v>0</v>
      </c>
      <c r="L594" s="37" t="n">
        <v>0</v>
      </c>
      <c r="M594" s="37"/>
      <c r="N594" s="37" t="n">
        <v>9</v>
      </c>
      <c r="O594" s="37" t="s">
        <v>1693</v>
      </c>
      <c r="P594" s="37" t="s">
        <v>1694</v>
      </c>
      <c r="Q594" s="37" t="s">
        <v>639</v>
      </c>
      <c r="R594" s="36" t="str">
        <f aca="false">IF(H594="Ya",IF(M594&lt;&gt;"","SUDAH PLOTTING","BELUM PLOTTING"),"-")</f>
        <v>-</v>
      </c>
      <c r="S594" s="37"/>
      <c r="T594" s="37"/>
    </row>
    <row r="595" customFormat="false" ht="15" hidden="false" customHeight="true" outlineLevel="0" collapsed="false">
      <c r="A595" s="36" t="s">
        <v>1696</v>
      </c>
      <c r="B595" s="37" t="s">
        <v>266</v>
      </c>
      <c r="C595" s="37" t="s">
        <v>267</v>
      </c>
      <c r="D595" s="37" t="s">
        <v>1692</v>
      </c>
      <c r="E595" s="36" t="s">
        <v>92</v>
      </c>
      <c r="F595" s="38" t="s">
        <v>11</v>
      </c>
      <c r="G595" s="36" t="s">
        <v>68</v>
      </c>
      <c r="H595" s="36" t="s">
        <v>658</v>
      </c>
      <c r="I595" s="37" t="n">
        <v>123</v>
      </c>
      <c r="J595" s="37"/>
      <c r="K595" s="37" t="n">
        <v>0</v>
      </c>
      <c r="L595" s="37" t="n">
        <v>0</v>
      </c>
      <c r="M595" s="37"/>
      <c r="N595" s="37" t="n">
        <v>9</v>
      </c>
      <c r="O595" s="37" t="s">
        <v>1693</v>
      </c>
      <c r="P595" s="37" t="s">
        <v>1694</v>
      </c>
      <c r="Q595" s="37" t="s">
        <v>639</v>
      </c>
      <c r="R595" s="36" t="str">
        <f aca="false">IF(H595="Ya",IF(M595&lt;&gt;"","SUDAH PLOTTING","BELUM PLOTTING"),"-")</f>
        <v>-</v>
      </c>
      <c r="S595" s="37"/>
      <c r="T595" s="37"/>
    </row>
    <row r="596" customFormat="false" ht="15" hidden="false" customHeight="true" outlineLevel="0" collapsed="false">
      <c r="A596" s="36" t="s">
        <v>1697</v>
      </c>
      <c r="B596" s="37" t="s">
        <v>266</v>
      </c>
      <c r="C596" s="37" t="s">
        <v>267</v>
      </c>
      <c r="D596" s="37" t="s">
        <v>1692</v>
      </c>
      <c r="E596" s="36" t="s">
        <v>97</v>
      </c>
      <c r="F596" s="39" t="s">
        <v>7</v>
      </c>
      <c r="G596" s="36" t="s">
        <v>68</v>
      </c>
      <c r="H596" s="36" t="s">
        <v>68</v>
      </c>
      <c r="I596" s="37" t="n">
        <v>123</v>
      </c>
      <c r="J596" s="37" t="n">
        <v>30</v>
      </c>
      <c r="K596" s="37" t="n">
        <v>1</v>
      </c>
      <c r="L596" s="37" t="n">
        <v>0</v>
      </c>
      <c r="M596" s="37" t="s">
        <v>1698</v>
      </c>
      <c r="N596" s="37" t="n">
        <v>9</v>
      </c>
      <c r="O596" s="37"/>
      <c r="P596" s="37" t="s">
        <v>1694</v>
      </c>
      <c r="Q596" s="37" t="s">
        <v>639</v>
      </c>
      <c r="R596" s="36" t="str">
        <f aca="false">IF(H596="Ya",IF(M596&lt;&gt;"","SUDAH PLOTTING","BELUM PLOTTING"),"-")</f>
        <v>SUDAH PLOTTING</v>
      </c>
      <c r="S596" s="37" t="s">
        <v>206</v>
      </c>
      <c r="T596" s="37"/>
      <c r="U596" s="40" t="s">
        <v>692</v>
      </c>
      <c r="V596" s="41" t="s">
        <v>658</v>
      </c>
    </row>
    <row r="597" customFormat="false" ht="15" hidden="false" customHeight="true" outlineLevel="0" collapsed="false">
      <c r="A597" s="36" t="s">
        <v>269</v>
      </c>
      <c r="B597" s="37" t="s">
        <v>266</v>
      </c>
      <c r="C597" s="37" t="s">
        <v>267</v>
      </c>
      <c r="D597" s="37" t="s">
        <v>268</v>
      </c>
      <c r="E597" s="36" t="s">
        <v>79</v>
      </c>
      <c r="F597" s="39" t="s">
        <v>7</v>
      </c>
      <c r="G597" s="36" t="s">
        <v>68</v>
      </c>
      <c r="H597" s="36" t="s">
        <v>68</v>
      </c>
      <c r="I597" s="37" t="n">
        <v>202</v>
      </c>
      <c r="J597" s="37" t="n">
        <v>135.5</v>
      </c>
      <c r="K597" s="37" t="n">
        <v>0</v>
      </c>
      <c r="L597" s="37" t="n">
        <v>1</v>
      </c>
      <c r="M597" s="37"/>
      <c r="N597" s="37" t="n">
        <v>31</v>
      </c>
      <c r="O597" s="37" t="s">
        <v>749</v>
      </c>
      <c r="P597" s="37" t="s">
        <v>1699</v>
      </c>
      <c r="Q597" s="37" t="s">
        <v>639</v>
      </c>
      <c r="R597" s="36" t="str">
        <f aca="false">IF(H597="Ya",IF(M597&lt;&gt;"","SUDAH PLOTTING","BELUM PLOTTING"),"-")</f>
        <v>BELUM PLOTTING</v>
      </c>
      <c r="S597" s="37" t="s">
        <v>255</v>
      </c>
      <c r="T597" s="37" t="s">
        <v>1700</v>
      </c>
      <c r="U597" s="40" t="s">
        <v>1167</v>
      </c>
      <c r="V597" s="40" t="s">
        <v>68</v>
      </c>
    </row>
    <row r="598" customFormat="false" ht="15" hidden="false" customHeight="true" outlineLevel="0" collapsed="false">
      <c r="A598" s="36" t="s">
        <v>276</v>
      </c>
      <c r="B598" s="37" t="s">
        <v>266</v>
      </c>
      <c r="C598" s="37" t="s">
        <v>267</v>
      </c>
      <c r="D598" s="37" t="s">
        <v>268</v>
      </c>
      <c r="E598" s="36" t="s">
        <v>88</v>
      </c>
      <c r="F598" s="39" t="s">
        <v>7</v>
      </c>
      <c r="G598" s="36" t="s">
        <v>68</v>
      </c>
      <c r="H598" s="36" t="s">
        <v>68</v>
      </c>
      <c r="I598" s="37" t="n">
        <v>177</v>
      </c>
      <c r="J598" s="37" t="n">
        <v>135.5</v>
      </c>
      <c r="K598" s="37" t="n">
        <v>0</v>
      </c>
      <c r="L598" s="37" t="n">
        <v>1</v>
      </c>
      <c r="M598" s="37"/>
      <c r="N598" s="37" t="n">
        <v>31</v>
      </c>
      <c r="O598" s="37" t="s">
        <v>749</v>
      </c>
      <c r="P598" s="37" t="s">
        <v>1699</v>
      </c>
      <c r="Q598" s="37" t="s">
        <v>639</v>
      </c>
      <c r="R598" s="36" t="str">
        <f aca="false">IF(H598="Ya",IF(M598&lt;&gt;"","SUDAH PLOTTING","BELUM PLOTTING"),"-")</f>
        <v>BELUM PLOTTING</v>
      </c>
      <c r="S598" s="37" t="s">
        <v>255</v>
      </c>
      <c r="T598" s="37" t="s">
        <v>1701</v>
      </c>
      <c r="U598" s="40" t="s">
        <v>1167</v>
      </c>
      <c r="V598" s="40" t="s">
        <v>68</v>
      </c>
    </row>
    <row r="599" customFormat="false" ht="15" hidden="false" customHeight="true" outlineLevel="0" collapsed="false">
      <c r="A599" s="36" t="s">
        <v>1702</v>
      </c>
      <c r="B599" s="37" t="s">
        <v>266</v>
      </c>
      <c r="C599" s="37" t="s">
        <v>267</v>
      </c>
      <c r="D599" s="37" t="s">
        <v>1703</v>
      </c>
      <c r="E599" s="36" t="s">
        <v>79</v>
      </c>
      <c r="F599" s="39" t="s">
        <v>7</v>
      </c>
      <c r="G599" s="36" t="s">
        <v>68</v>
      </c>
      <c r="H599" s="36" t="s">
        <v>68</v>
      </c>
      <c r="I599" s="37" t="n">
        <v>167</v>
      </c>
      <c r="J599" s="37"/>
      <c r="K599" s="37" t="n">
        <v>1</v>
      </c>
      <c r="L599" s="37" t="n">
        <v>0</v>
      </c>
      <c r="M599" s="37" t="s">
        <v>1704</v>
      </c>
      <c r="N599" s="37" t="n">
        <v>112</v>
      </c>
      <c r="O599" s="37"/>
      <c r="P599" s="37" t="s">
        <v>1705</v>
      </c>
      <c r="Q599" s="37" t="s">
        <v>639</v>
      </c>
      <c r="R599" s="36" t="str">
        <f aca="false">IF(H599="Ya",IF(M599&lt;&gt;"","SUDAH PLOTTING","BELUM PLOTTING"),"-")</f>
        <v>SUDAH PLOTTING</v>
      </c>
      <c r="S599" s="37" t="s">
        <v>319</v>
      </c>
      <c r="T599" s="37"/>
      <c r="U599" s="40" t="s">
        <v>692</v>
      </c>
      <c r="V599" s="40" t="s">
        <v>68</v>
      </c>
    </row>
    <row r="600" customFormat="false" ht="15" hidden="false" customHeight="true" outlineLevel="0" collapsed="false">
      <c r="A600" s="36" t="s">
        <v>1706</v>
      </c>
      <c r="B600" s="37" t="s">
        <v>266</v>
      </c>
      <c r="C600" s="37" t="s">
        <v>267</v>
      </c>
      <c r="D600" s="37" t="s">
        <v>1703</v>
      </c>
      <c r="E600" s="36" t="s">
        <v>88</v>
      </c>
      <c r="F600" s="39" t="s">
        <v>7</v>
      </c>
      <c r="G600" s="36" t="s">
        <v>68</v>
      </c>
      <c r="H600" s="36" t="s">
        <v>68</v>
      </c>
      <c r="I600" s="37" t="n">
        <v>120</v>
      </c>
      <c r="J600" s="37"/>
      <c r="K600" s="37" t="n">
        <v>1</v>
      </c>
      <c r="L600" s="37" t="n">
        <v>0</v>
      </c>
      <c r="M600" s="37" t="s">
        <v>1707</v>
      </c>
      <c r="N600" s="37" t="n">
        <v>112</v>
      </c>
      <c r="O600" s="37"/>
      <c r="P600" s="37" t="s">
        <v>1705</v>
      </c>
      <c r="Q600" s="37" t="s">
        <v>639</v>
      </c>
      <c r="R600" s="36" t="str">
        <f aca="false">IF(H600="Ya",IF(M600&lt;&gt;"","SUDAH PLOTTING","BELUM PLOTTING"),"-")</f>
        <v>SUDAH PLOTTING</v>
      </c>
      <c r="S600" s="37" t="s">
        <v>255</v>
      </c>
      <c r="T600" s="37"/>
      <c r="U600" s="40" t="s">
        <v>692</v>
      </c>
      <c r="V600" s="40" t="s">
        <v>68</v>
      </c>
    </row>
    <row r="601" customFormat="false" ht="15" hidden="false" customHeight="true" outlineLevel="0" collapsed="false">
      <c r="A601" s="36" t="s">
        <v>1708</v>
      </c>
      <c r="B601" s="37" t="s">
        <v>266</v>
      </c>
      <c r="C601" s="37" t="s">
        <v>267</v>
      </c>
      <c r="D601" s="37" t="s">
        <v>1703</v>
      </c>
      <c r="E601" s="36" t="s">
        <v>92</v>
      </c>
      <c r="F601" s="39" t="s">
        <v>7</v>
      </c>
      <c r="G601" s="36" t="s">
        <v>68</v>
      </c>
      <c r="H601" s="36" t="s">
        <v>68</v>
      </c>
      <c r="I601" s="37" t="n">
        <v>168</v>
      </c>
      <c r="J601" s="37"/>
      <c r="K601" s="37" t="n">
        <v>1</v>
      </c>
      <c r="L601" s="37" t="n">
        <v>0</v>
      </c>
      <c r="M601" s="37" t="s">
        <v>1709</v>
      </c>
      <c r="N601" s="37" t="n">
        <v>112</v>
      </c>
      <c r="O601" s="37"/>
      <c r="P601" s="37" t="s">
        <v>1705</v>
      </c>
      <c r="Q601" s="37" t="s">
        <v>639</v>
      </c>
      <c r="R601" s="36" t="str">
        <f aca="false">IF(H601="Ya",IF(M601&lt;&gt;"","SUDAH PLOTTING","BELUM PLOTTING"),"-")</f>
        <v>SUDAH PLOTTING</v>
      </c>
      <c r="S601" s="37" t="s">
        <v>319</v>
      </c>
      <c r="T601" s="37"/>
      <c r="U601" s="40" t="s">
        <v>692</v>
      </c>
      <c r="V601" s="40" t="s">
        <v>68</v>
      </c>
    </row>
    <row r="602" customFormat="false" ht="15" hidden="false" customHeight="true" outlineLevel="0" collapsed="false">
      <c r="A602" s="36" t="s">
        <v>1710</v>
      </c>
      <c r="B602" s="37" t="s">
        <v>266</v>
      </c>
      <c r="C602" s="37" t="s">
        <v>267</v>
      </c>
      <c r="D602" s="37" t="s">
        <v>1711</v>
      </c>
      <c r="E602" s="36" t="s">
        <v>79</v>
      </c>
      <c r="F602" s="39" t="s">
        <v>7</v>
      </c>
      <c r="G602" s="36" t="s">
        <v>68</v>
      </c>
      <c r="H602" s="36" t="s">
        <v>68</v>
      </c>
      <c r="I602" s="37" t="n">
        <v>159</v>
      </c>
      <c r="J602" s="37"/>
      <c r="K602" s="37" t="n">
        <v>1</v>
      </c>
      <c r="L602" s="37" t="n">
        <v>0</v>
      </c>
      <c r="M602" s="37" t="s">
        <v>1712</v>
      </c>
      <c r="N602" s="37" t="n">
        <v>85</v>
      </c>
      <c r="O602" s="37"/>
      <c r="P602" s="37" t="s">
        <v>1713</v>
      </c>
      <c r="Q602" s="37" t="s">
        <v>639</v>
      </c>
      <c r="R602" s="36" t="str">
        <f aca="false">IF(H602="Ya",IF(M602&lt;&gt;"","SUDAH PLOTTING","BELUM PLOTTING"),"-")</f>
        <v>SUDAH PLOTTING</v>
      </c>
      <c r="S602" s="37" t="s">
        <v>319</v>
      </c>
      <c r="T602" s="37"/>
      <c r="U602" s="40" t="s">
        <v>692</v>
      </c>
      <c r="V602" s="40" t="s">
        <v>68</v>
      </c>
    </row>
    <row r="603" customFormat="false" ht="15" hidden="false" customHeight="true" outlineLevel="0" collapsed="false">
      <c r="A603" s="36" t="s">
        <v>1714</v>
      </c>
      <c r="B603" s="37" t="s">
        <v>266</v>
      </c>
      <c r="C603" s="37" t="s">
        <v>267</v>
      </c>
      <c r="D603" s="37" t="s">
        <v>1711</v>
      </c>
      <c r="E603" s="36" t="s">
        <v>88</v>
      </c>
      <c r="F603" s="39" t="s">
        <v>7</v>
      </c>
      <c r="G603" s="36" t="s">
        <v>68</v>
      </c>
      <c r="H603" s="36" t="s">
        <v>68</v>
      </c>
      <c r="I603" s="37" t="n">
        <v>152</v>
      </c>
      <c r="J603" s="37"/>
      <c r="K603" s="37" t="n">
        <v>1</v>
      </c>
      <c r="L603" s="37" t="n">
        <v>0</v>
      </c>
      <c r="M603" s="37" t="s">
        <v>1715</v>
      </c>
      <c r="N603" s="37" t="n">
        <v>85</v>
      </c>
      <c r="O603" s="37"/>
      <c r="P603" s="37" t="s">
        <v>1713</v>
      </c>
      <c r="Q603" s="37" t="s">
        <v>639</v>
      </c>
      <c r="R603" s="36" t="str">
        <f aca="false">IF(H603="Ya",IF(M603&lt;&gt;"","SUDAH PLOTTING","BELUM PLOTTING"),"-")</f>
        <v>SUDAH PLOTTING</v>
      </c>
      <c r="S603" s="37" t="s">
        <v>319</v>
      </c>
      <c r="T603" s="37"/>
      <c r="U603" s="40" t="s">
        <v>692</v>
      </c>
      <c r="V603" s="40" t="s">
        <v>68</v>
      </c>
    </row>
    <row r="604" customFormat="false" ht="15" hidden="false" customHeight="true" outlineLevel="0" collapsed="false">
      <c r="A604" s="36" t="s">
        <v>1716</v>
      </c>
      <c r="B604" s="37" t="s">
        <v>266</v>
      </c>
      <c r="C604" s="37" t="s">
        <v>267</v>
      </c>
      <c r="D604" s="37" t="s">
        <v>1717</v>
      </c>
      <c r="E604" s="36" t="s">
        <v>79</v>
      </c>
      <c r="F604" s="39" t="s">
        <v>7</v>
      </c>
      <c r="G604" s="36" t="s">
        <v>68</v>
      </c>
      <c r="H604" s="36" t="s">
        <v>68</v>
      </c>
      <c r="I604" s="37" t="n">
        <v>131</v>
      </c>
      <c r="J604" s="37"/>
      <c r="K604" s="37" t="n">
        <v>1</v>
      </c>
      <c r="L604" s="37" t="n">
        <v>0</v>
      </c>
      <c r="M604" s="37" t="s">
        <v>1718</v>
      </c>
      <c r="N604" s="37" t="n">
        <v>89</v>
      </c>
      <c r="O604" s="37"/>
      <c r="P604" s="37" t="s">
        <v>1719</v>
      </c>
      <c r="Q604" s="37" t="s">
        <v>639</v>
      </c>
      <c r="R604" s="36" t="str">
        <f aca="false">IF(H604="Ya",IF(M604&lt;&gt;"","SUDAH PLOTTING","BELUM PLOTTING"),"-")</f>
        <v>SUDAH PLOTTING</v>
      </c>
      <c r="S604" s="37" t="s">
        <v>319</v>
      </c>
      <c r="T604" s="37"/>
      <c r="U604" s="40" t="s">
        <v>692</v>
      </c>
      <c r="V604" s="40" t="s">
        <v>68</v>
      </c>
    </row>
    <row r="605" customFormat="false" ht="15" hidden="false" customHeight="true" outlineLevel="0" collapsed="false">
      <c r="A605" s="36" t="s">
        <v>1720</v>
      </c>
      <c r="B605" s="37" t="s">
        <v>266</v>
      </c>
      <c r="C605" s="37" t="s">
        <v>267</v>
      </c>
      <c r="D605" s="37" t="s">
        <v>1717</v>
      </c>
      <c r="E605" s="36" t="s">
        <v>88</v>
      </c>
      <c r="F605" s="39" t="s">
        <v>7</v>
      </c>
      <c r="G605" s="36" t="s">
        <v>68</v>
      </c>
      <c r="H605" s="36" t="s">
        <v>68</v>
      </c>
      <c r="I605" s="37" t="n">
        <v>134</v>
      </c>
      <c r="J605" s="37"/>
      <c r="K605" s="37" t="n">
        <v>1</v>
      </c>
      <c r="L605" s="37" t="n">
        <v>0</v>
      </c>
      <c r="M605" s="37" t="s">
        <v>392</v>
      </c>
      <c r="N605" s="37" t="n">
        <v>89</v>
      </c>
      <c r="O605" s="37"/>
      <c r="P605" s="37" t="s">
        <v>1719</v>
      </c>
      <c r="Q605" s="37" t="s">
        <v>639</v>
      </c>
      <c r="R605" s="36" t="str">
        <f aca="false">IF(H605="Ya",IF(M605&lt;&gt;"","SUDAH PLOTTING","BELUM PLOTTING"),"-")</f>
        <v>SUDAH PLOTTING</v>
      </c>
      <c r="S605" s="37" t="s">
        <v>319</v>
      </c>
      <c r="T605" s="37"/>
      <c r="U605" s="40" t="s">
        <v>692</v>
      </c>
      <c r="V605" s="40" t="s">
        <v>68</v>
      </c>
    </row>
    <row r="606" customFormat="false" ht="15" hidden="false" customHeight="true" outlineLevel="0" collapsed="false">
      <c r="A606" s="36" t="s">
        <v>1721</v>
      </c>
      <c r="B606" s="37" t="s">
        <v>266</v>
      </c>
      <c r="C606" s="37" t="s">
        <v>267</v>
      </c>
      <c r="D606" s="37" t="s">
        <v>1717</v>
      </c>
      <c r="E606" s="36" t="s">
        <v>92</v>
      </c>
      <c r="F606" s="39" t="s">
        <v>7</v>
      </c>
      <c r="G606" s="36" t="s">
        <v>68</v>
      </c>
      <c r="H606" s="36" t="s">
        <v>68</v>
      </c>
      <c r="I606" s="37" t="n">
        <v>146</v>
      </c>
      <c r="J606" s="37"/>
      <c r="K606" s="37" t="n">
        <v>1</v>
      </c>
      <c r="L606" s="37" t="n">
        <v>0</v>
      </c>
      <c r="M606" s="37" t="s">
        <v>492</v>
      </c>
      <c r="N606" s="37" t="n">
        <v>89</v>
      </c>
      <c r="O606" s="37"/>
      <c r="P606" s="37" t="s">
        <v>1719</v>
      </c>
      <c r="Q606" s="37" t="s">
        <v>639</v>
      </c>
      <c r="R606" s="36" t="str">
        <f aca="false">IF(H606="Ya",IF(M606&lt;&gt;"","SUDAH PLOTTING","BELUM PLOTTING"),"-")</f>
        <v>SUDAH PLOTTING</v>
      </c>
      <c r="S606" s="37" t="s">
        <v>319</v>
      </c>
      <c r="T606" s="37"/>
      <c r="U606" s="40" t="s">
        <v>692</v>
      </c>
      <c r="V606" s="40" t="s">
        <v>68</v>
      </c>
    </row>
    <row r="607" customFormat="false" ht="15" hidden="false" customHeight="true" outlineLevel="0" collapsed="false">
      <c r="A607" s="36" t="s">
        <v>1722</v>
      </c>
      <c r="B607" s="37" t="s">
        <v>266</v>
      </c>
      <c r="C607" s="37" t="s">
        <v>267</v>
      </c>
      <c r="D607" s="37" t="s">
        <v>962</v>
      </c>
      <c r="E607" s="36" t="s">
        <v>62</v>
      </c>
      <c r="F607" s="39" t="s">
        <v>7</v>
      </c>
      <c r="G607" s="36" t="s">
        <v>68</v>
      </c>
      <c r="H607" s="36" t="s">
        <v>68</v>
      </c>
      <c r="I607" s="37" t="n">
        <v>136</v>
      </c>
      <c r="J607" s="37"/>
      <c r="K607" s="37" t="n">
        <v>1</v>
      </c>
      <c r="L607" s="37" t="n">
        <v>0</v>
      </c>
      <c r="M607" s="37" t="s">
        <v>489</v>
      </c>
      <c r="N607" s="37"/>
      <c r="O607" s="37"/>
      <c r="P607" s="37" t="s">
        <v>1723</v>
      </c>
      <c r="Q607" s="37" t="s">
        <v>639</v>
      </c>
      <c r="R607" s="36" t="str">
        <f aca="false">IF(H607="Ya",IF(M607&lt;&gt;"","SUDAH PLOTTING","BELUM PLOTTING"),"-")</f>
        <v>SUDAH PLOTTING</v>
      </c>
      <c r="S607" s="37" t="s">
        <v>206</v>
      </c>
      <c r="T607" s="37"/>
      <c r="U607" s="40" t="s">
        <v>692</v>
      </c>
      <c r="V607" s="41" t="s">
        <v>658</v>
      </c>
    </row>
    <row r="608" customFormat="false" ht="15" hidden="false" customHeight="true" outlineLevel="0" collapsed="false">
      <c r="A608" s="36" t="s">
        <v>1724</v>
      </c>
      <c r="B608" s="37" t="s">
        <v>266</v>
      </c>
      <c r="C608" s="37" t="s">
        <v>364</v>
      </c>
      <c r="D608" s="37" t="s">
        <v>1725</v>
      </c>
      <c r="E608" s="36" t="s">
        <v>79</v>
      </c>
      <c r="F608" s="38" t="s">
        <v>11</v>
      </c>
      <c r="G608" s="36" t="s">
        <v>68</v>
      </c>
      <c r="H608" s="36" t="s">
        <v>658</v>
      </c>
      <c r="I608" s="37" t="n">
        <v>171</v>
      </c>
      <c r="J608" s="37"/>
      <c r="K608" s="37" t="n">
        <v>0</v>
      </c>
      <c r="L608" s="37" t="n">
        <v>1</v>
      </c>
      <c r="M608" s="37"/>
      <c r="N608" s="37"/>
      <c r="O608" s="37" t="s">
        <v>916</v>
      </c>
      <c r="P608" s="37" t="s">
        <v>1726</v>
      </c>
      <c r="Q608" s="37" t="s">
        <v>629</v>
      </c>
      <c r="R608" s="36" t="str">
        <f aca="false">IF(H608="Ya",IF(M608&lt;&gt;"","SUDAH PLOTTING","BELUM PLOTTING"),"-")</f>
        <v>-</v>
      </c>
      <c r="S608" s="37"/>
      <c r="T608" s="37"/>
    </row>
    <row r="609" customFormat="false" ht="15" hidden="false" customHeight="true" outlineLevel="0" collapsed="false">
      <c r="A609" s="36" t="s">
        <v>1727</v>
      </c>
      <c r="B609" s="37" t="s">
        <v>266</v>
      </c>
      <c r="C609" s="37" t="s">
        <v>364</v>
      </c>
      <c r="D609" s="37" t="s">
        <v>1725</v>
      </c>
      <c r="E609" s="36" t="s">
        <v>88</v>
      </c>
      <c r="F609" s="38" t="s">
        <v>11</v>
      </c>
      <c r="G609" s="36" t="s">
        <v>68</v>
      </c>
      <c r="H609" s="36" t="s">
        <v>658</v>
      </c>
      <c r="I609" s="37" t="n">
        <v>159</v>
      </c>
      <c r="J609" s="37"/>
      <c r="K609" s="37" t="n">
        <v>0</v>
      </c>
      <c r="L609" s="37" t="n">
        <v>2</v>
      </c>
      <c r="M609" s="37"/>
      <c r="N609" s="37"/>
      <c r="O609" s="37" t="s">
        <v>1728</v>
      </c>
      <c r="P609" s="37" t="s">
        <v>1726</v>
      </c>
      <c r="Q609" s="37" t="s">
        <v>629</v>
      </c>
      <c r="R609" s="36" t="str">
        <f aca="false">IF(H609="Ya",IF(M609&lt;&gt;"","SUDAH PLOTTING","BELUM PLOTTING"),"-")</f>
        <v>-</v>
      </c>
      <c r="S609" s="37"/>
      <c r="T609" s="37"/>
    </row>
    <row r="610" customFormat="false" ht="15" hidden="false" customHeight="true" outlineLevel="0" collapsed="false">
      <c r="A610" s="36" t="s">
        <v>1729</v>
      </c>
      <c r="B610" s="37" t="s">
        <v>266</v>
      </c>
      <c r="C610" s="37" t="s">
        <v>364</v>
      </c>
      <c r="D610" s="37" t="s">
        <v>1725</v>
      </c>
      <c r="E610" s="36" t="s">
        <v>92</v>
      </c>
      <c r="F610" s="38" t="s">
        <v>11</v>
      </c>
      <c r="G610" s="36" t="s">
        <v>68</v>
      </c>
      <c r="H610" s="36" t="s">
        <v>658</v>
      </c>
      <c r="I610" s="37" t="n">
        <v>171</v>
      </c>
      <c r="J610" s="37"/>
      <c r="K610" s="37" t="n">
        <v>0</v>
      </c>
      <c r="L610" s="37" t="n">
        <v>1</v>
      </c>
      <c r="M610" s="37"/>
      <c r="N610" s="37"/>
      <c r="O610" s="37" t="s">
        <v>916</v>
      </c>
      <c r="P610" s="37" t="s">
        <v>1726</v>
      </c>
      <c r="Q610" s="37" t="s">
        <v>629</v>
      </c>
      <c r="R610" s="36" t="str">
        <f aca="false">IF(H610="Ya",IF(M610&lt;&gt;"","SUDAH PLOTTING","BELUM PLOTTING"),"-")</f>
        <v>-</v>
      </c>
      <c r="S610" s="37"/>
      <c r="T610" s="37"/>
    </row>
    <row r="611" customFormat="false" ht="15" hidden="false" customHeight="true" outlineLevel="0" collapsed="false">
      <c r="A611" s="36" t="s">
        <v>1730</v>
      </c>
      <c r="B611" s="37" t="s">
        <v>266</v>
      </c>
      <c r="C611" s="37" t="s">
        <v>364</v>
      </c>
      <c r="D611" s="37" t="s">
        <v>1731</v>
      </c>
      <c r="E611" s="36" t="s">
        <v>79</v>
      </c>
      <c r="F611" s="38" t="s">
        <v>11</v>
      </c>
      <c r="G611" s="36" t="s">
        <v>68</v>
      </c>
      <c r="H611" s="36" t="s">
        <v>658</v>
      </c>
      <c r="I611" s="37" t="n">
        <v>143</v>
      </c>
      <c r="J611" s="37"/>
      <c r="K611" s="37" t="n">
        <v>0</v>
      </c>
      <c r="L611" s="37" t="n">
        <v>1</v>
      </c>
      <c r="M611" s="37"/>
      <c r="N611" s="37" t="n">
        <v>64</v>
      </c>
      <c r="O611" s="37" t="s">
        <v>1732</v>
      </c>
      <c r="P611" s="37" t="s">
        <v>1733</v>
      </c>
      <c r="Q611" s="37" t="s">
        <v>629</v>
      </c>
      <c r="R611" s="36" t="str">
        <f aca="false">IF(H611="Ya",IF(M611&lt;&gt;"","SUDAH PLOTTING","BELUM PLOTTING"),"-")</f>
        <v>-</v>
      </c>
      <c r="S611" s="37"/>
      <c r="T611" s="37"/>
    </row>
    <row r="612" customFormat="false" ht="15" hidden="false" customHeight="true" outlineLevel="0" collapsed="false">
      <c r="A612" s="36" t="s">
        <v>1734</v>
      </c>
      <c r="B612" s="37" t="s">
        <v>266</v>
      </c>
      <c r="C612" s="37" t="s">
        <v>364</v>
      </c>
      <c r="D612" s="37" t="s">
        <v>1731</v>
      </c>
      <c r="E612" s="36" t="s">
        <v>88</v>
      </c>
      <c r="F612" s="38" t="s">
        <v>11</v>
      </c>
      <c r="G612" s="36" t="s">
        <v>68</v>
      </c>
      <c r="H612" s="36" t="s">
        <v>658</v>
      </c>
      <c r="I612" s="37" t="n">
        <v>124</v>
      </c>
      <c r="J612" s="37"/>
      <c r="K612" s="37" t="n">
        <v>0</v>
      </c>
      <c r="L612" s="37" t="n">
        <v>1</v>
      </c>
      <c r="M612" s="37"/>
      <c r="N612" s="37" t="n">
        <v>64</v>
      </c>
      <c r="O612" s="37" t="s">
        <v>1732</v>
      </c>
      <c r="P612" s="37" t="s">
        <v>1733</v>
      </c>
      <c r="Q612" s="37" t="s">
        <v>629</v>
      </c>
      <c r="R612" s="36" t="str">
        <f aca="false">IF(H612="Ya",IF(M612&lt;&gt;"","SUDAH PLOTTING","BELUM PLOTTING"),"-")</f>
        <v>-</v>
      </c>
      <c r="S612" s="37"/>
      <c r="T612" s="37"/>
    </row>
    <row r="613" customFormat="false" ht="15" hidden="false" customHeight="true" outlineLevel="0" collapsed="false">
      <c r="A613" s="36" t="s">
        <v>1735</v>
      </c>
      <c r="B613" s="37" t="s">
        <v>266</v>
      </c>
      <c r="C613" s="37" t="s">
        <v>364</v>
      </c>
      <c r="D613" s="37" t="s">
        <v>1731</v>
      </c>
      <c r="E613" s="36" t="s">
        <v>92</v>
      </c>
      <c r="F613" s="38" t="s">
        <v>11</v>
      </c>
      <c r="G613" s="36" t="s">
        <v>68</v>
      </c>
      <c r="H613" s="36" t="s">
        <v>658</v>
      </c>
      <c r="I613" s="37" t="n">
        <v>124</v>
      </c>
      <c r="J613" s="37"/>
      <c r="K613" s="37" t="n">
        <v>0</v>
      </c>
      <c r="L613" s="37" t="n">
        <v>1</v>
      </c>
      <c r="M613" s="37"/>
      <c r="N613" s="37" t="n">
        <v>64</v>
      </c>
      <c r="O613" s="37" t="s">
        <v>1732</v>
      </c>
      <c r="P613" s="37" t="s">
        <v>1733</v>
      </c>
      <c r="Q613" s="37" t="s">
        <v>629</v>
      </c>
      <c r="R613" s="36" t="str">
        <f aca="false">IF(H613="Ya",IF(M613&lt;&gt;"","SUDAH PLOTTING","BELUM PLOTTING"),"-")</f>
        <v>-</v>
      </c>
      <c r="S613" s="37"/>
      <c r="T613" s="37"/>
    </row>
    <row r="614" customFormat="false" ht="15" hidden="false" customHeight="true" outlineLevel="0" collapsed="false">
      <c r="A614" s="36" t="s">
        <v>1736</v>
      </c>
      <c r="B614" s="37" t="s">
        <v>266</v>
      </c>
      <c r="C614" s="37" t="s">
        <v>364</v>
      </c>
      <c r="D614" s="37" t="s">
        <v>1731</v>
      </c>
      <c r="E614" s="36" t="s">
        <v>97</v>
      </c>
      <c r="F614" s="39" t="s">
        <v>7</v>
      </c>
      <c r="G614" s="36" t="s">
        <v>68</v>
      </c>
      <c r="H614" s="36" t="s">
        <v>68</v>
      </c>
      <c r="I614" s="37" t="n">
        <v>150</v>
      </c>
      <c r="J614" s="37"/>
      <c r="K614" s="37" t="n">
        <v>1</v>
      </c>
      <c r="L614" s="37" t="n">
        <v>1</v>
      </c>
      <c r="M614" s="37" t="s">
        <v>487</v>
      </c>
      <c r="N614" s="37" t="n">
        <v>64</v>
      </c>
      <c r="O614" s="37"/>
      <c r="P614" s="37" t="s">
        <v>1733</v>
      </c>
      <c r="Q614" s="37" t="s">
        <v>629</v>
      </c>
      <c r="R614" s="36" t="str">
        <f aca="false">IF(H614="Ya",IF(M614&lt;&gt;"","SUDAH PLOTTING","BELUM PLOTTING"),"-")</f>
        <v>SUDAH PLOTTING</v>
      </c>
      <c r="S614" s="37" t="s">
        <v>76</v>
      </c>
      <c r="T614" s="37"/>
      <c r="U614" s="40" t="s">
        <v>692</v>
      </c>
      <c r="V614" s="40" t="s">
        <v>68</v>
      </c>
    </row>
    <row r="615" customFormat="false" ht="15" hidden="false" customHeight="true" outlineLevel="0" collapsed="false">
      <c r="A615" s="36" t="s">
        <v>1737</v>
      </c>
      <c r="B615" s="37" t="s">
        <v>266</v>
      </c>
      <c r="C615" s="37" t="s">
        <v>364</v>
      </c>
      <c r="D615" s="37" t="s">
        <v>1731</v>
      </c>
      <c r="E615" s="36" t="s">
        <v>103</v>
      </c>
      <c r="F615" s="38" t="s">
        <v>11</v>
      </c>
      <c r="G615" s="36" t="s">
        <v>68</v>
      </c>
      <c r="H615" s="36" t="s">
        <v>658</v>
      </c>
      <c r="I615" s="37" t="n">
        <v>170</v>
      </c>
      <c r="J615" s="37"/>
      <c r="K615" s="37" t="n">
        <v>0</v>
      </c>
      <c r="L615" s="37" t="n">
        <v>1</v>
      </c>
      <c r="M615" s="37"/>
      <c r="N615" s="37" t="n">
        <v>64</v>
      </c>
      <c r="O615" s="37" t="s">
        <v>1732</v>
      </c>
      <c r="P615" s="37" t="s">
        <v>1733</v>
      </c>
      <c r="Q615" s="37" t="s">
        <v>629</v>
      </c>
      <c r="R615" s="36" t="str">
        <f aca="false">IF(H615="Ya",IF(M615&lt;&gt;"","SUDAH PLOTTING","BELUM PLOTTING"),"-")</f>
        <v>-</v>
      </c>
      <c r="S615" s="37"/>
      <c r="T615" s="37"/>
    </row>
    <row r="616" customFormat="false" ht="15" hidden="false" customHeight="true" outlineLevel="0" collapsed="false">
      <c r="A616" s="36" t="s">
        <v>1738</v>
      </c>
      <c r="B616" s="37" t="s">
        <v>266</v>
      </c>
      <c r="C616" s="37" t="s">
        <v>364</v>
      </c>
      <c r="D616" s="37" t="s">
        <v>1731</v>
      </c>
      <c r="E616" s="36" t="s">
        <v>111</v>
      </c>
      <c r="F616" s="38" t="s">
        <v>11</v>
      </c>
      <c r="G616" s="36" t="s">
        <v>68</v>
      </c>
      <c r="H616" s="36" t="s">
        <v>658</v>
      </c>
      <c r="I616" s="37" t="n">
        <v>149</v>
      </c>
      <c r="J616" s="37"/>
      <c r="K616" s="37" t="n">
        <v>0</v>
      </c>
      <c r="L616" s="37" t="n">
        <v>1</v>
      </c>
      <c r="M616" s="37"/>
      <c r="N616" s="37" t="n">
        <v>64</v>
      </c>
      <c r="O616" s="37" t="s">
        <v>1732</v>
      </c>
      <c r="P616" s="37" t="s">
        <v>1733</v>
      </c>
      <c r="Q616" s="37" t="s">
        <v>629</v>
      </c>
      <c r="R616" s="36" t="str">
        <f aca="false">IF(H616="Ya",IF(M616&lt;&gt;"","SUDAH PLOTTING","BELUM PLOTTING"),"-")</f>
        <v>-</v>
      </c>
      <c r="S616" s="37"/>
      <c r="T616" s="37"/>
    </row>
    <row r="617" customFormat="false" ht="15" hidden="false" customHeight="true" outlineLevel="0" collapsed="false">
      <c r="A617" s="36" t="s">
        <v>1739</v>
      </c>
      <c r="B617" s="37" t="s">
        <v>266</v>
      </c>
      <c r="C617" s="37" t="s">
        <v>364</v>
      </c>
      <c r="D617" s="37" t="s">
        <v>1731</v>
      </c>
      <c r="E617" s="36" t="s">
        <v>166</v>
      </c>
      <c r="F617" s="39" t="s">
        <v>7</v>
      </c>
      <c r="G617" s="36" t="s">
        <v>68</v>
      </c>
      <c r="H617" s="36" t="s">
        <v>68</v>
      </c>
      <c r="I617" s="37" t="n">
        <v>143</v>
      </c>
      <c r="J617" s="37"/>
      <c r="K617" s="37" t="n">
        <v>1</v>
      </c>
      <c r="L617" s="37" t="n">
        <v>1</v>
      </c>
      <c r="M617" s="37" t="s">
        <v>1740</v>
      </c>
      <c r="N617" s="37" t="n">
        <v>64</v>
      </c>
      <c r="O617" s="37"/>
      <c r="P617" s="37" t="s">
        <v>1733</v>
      </c>
      <c r="Q617" s="37" t="s">
        <v>629</v>
      </c>
      <c r="R617" s="36" t="str">
        <f aca="false">IF(H617="Ya",IF(M617&lt;&gt;"","SUDAH PLOTTING","BELUM PLOTTING"),"-")</f>
        <v>SUDAH PLOTTING</v>
      </c>
      <c r="S617" s="37" t="s">
        <v>255</v>
      </c>
      <c r="T617" s="37"/>
      <c r="U617" s="40" t="s">
        <v>692</v>
      </c>
      <c r="V617" s="41" t="s">
        <v>658</v>
      </c>
    </row>
    <row r="618" customFormat="false" ht="15" hidden="false" customHeight="true" outlineLevel="0" collapsed="false">
      <c r="A618" s="36" t="s">
        <v>1741</v>
      </c>
      <c r="B618" s="37" t="s">
        <v>266</v>
      </c>
      <c r="C618" s="37" t="s">
        <v>364</v>
      </c>
      <c r="D618" s="37" t="s">
        <v>1742</v>
      </c>
      <c r="E618" s="36" t="s">
        <v>79</v>
      </c>
      <c r="F618" s="39" t="s">
        <v>7</v>
      </c>
      <c r="G618" s="36" t="s">
        <v>68</v>
      </c>
      <c r="H618" s="36" t="s">
        <v>68</v>
      </c>
      <c r="I618" s="37" t="n">
        <v>120</v>
      </c>
      <c r="J618" s="37"/>
      <c r="K618" s="37" t="n">
        <v>1</v>
      </c>
      <c r="L618" s="37" t="n">
        <v>0</v>
      </c>
      <c r="M618" s="37" t="s">
        <v>487</v>
      </c>
      <c r="N618" s="37"/>
      <c r="O618" s="37"/>
      <c r="P618" s="37" t="s">
        <v>1743</v>
      </c>
      <c r="Q618" s="37" t="s">
        <v>629</v>
      </c>
      <c r="R618" s="36" t="str">
        <f aca="false">IF(H618="Ya",IF(M618&lt;&gt;"","SUDAH PLOTTING","BELUM PLOTTING"),"-")</f>
        <v>SUDAH PLOTTING</v>
      </c>
      <c r="S618" s="37" t="s">
        <v>76</v>
      </c>
      <c r="T618" s="37"/>
      <c r="U618" s="40" t="s">
        <v>692</v>
      </c>
      <c r="V618" s="40" t="s">
        <v>68</v>
      </c>
    </row>
    <row r="619" customFormat="false" ht="15" hidden="false" customHeight="true" outlineLevel="0" collapsed="false">
      <c r="A619" s="36" t="s">
        <v>1744</v>
      </c>
      <c r="B619" s="37" t="s">
        <v>266</v>
      </c>
      <c r="C619" s="37" t="s">
        <v>364</v>
      </c>
      <c r="D619" s="37" t="s">
        <v>1742</v>
      </c>
      <c r="E619" s="36" t="s">
        <v>88</v>
      </c>
      <c r="F619" s="39" t="s">
        <v>7</v>
      </c>
      <c r="G619" s="36" t="s">
        <v>68</v>
      </c>
      <c r="H619" s="36" t="s">
        <v>68</v>
      </c>
      <c r="I619" s="37" t="n">
        <v>138</v>
      </c>
      <c r="J619" s="37"/>
      <c r="K619" s="37" t="n">
        <v>1</v>
      </c>
      <c r="L619" s="37" t="n">
        <v>0</v>
      </c>
      <c r="M619" s="37" t="s">
        <v>1740</v>
      </c>
      <c r="N619" s="37"/>
      <c r="O619" s="37"/>
      <c r="P619" s="37" t="s">
        <v>1743</v>
      </c>
      <c r="Q619" s="37" t="s">
        <v>629</v>
      </c>
      <c r="R619" s="36" t="str">
        <f aca="false">IF(H619="Ya",IF(M619&lt;&gt;"","SUDAH PLOTTING","BELUM PLOTTING"),"-")</f>
        <v>SUDAH PLOTTING</v>
      </c>
      <c r="S619" s="37" t="s">
        <v>255</v>
      </c>
      <c r="T619" s="37"/>
      <c r="U619" s="40" t="s">
        <v>692</v>
      </c>
      <c r="V619" s="41" t="s">
        <v>658</v>
      </c>
    </row>
    <row r="620" customFormat="false" ht="15" hidden="false" customHeight="true" outlineLevel="0" collapsed="false">
      <c r="A620" s="36" t="s">
        <v>1745</v>
      </c>
      <c r="B620" s="37" t="s">
        <v>266</v>
      </c>
      <c r="C620" s="37" t="s">
        <v>364</v>
      </c>
      <c r="D620" s="37" t="s">
        <v>1742</v>
      </c>
      <c r="E620" s="36" t="s">
        <v>92</v>
      </c>
      <c r="F620" s="39" t="s">
        <v>7</v>
      </c>
      <c r="G620" s="36" t="s">
        <v>68</v>
      </c>
      <c r="H620" s="36" t="s">
        <v>68</v>
      </c>
      <c r="I620" s="37" t="n">
        <v>152</v>
      </c>
      <c r="J620" s="37"/>
      <c r="K620" s="37" t="n">
        <v>1</v>
      </c>
      <c r="L620" s="37" t="n">
        <v>0</v>
      </c>
      <c r="M620" s="37" t="s">
        <v>1740</v>
      </c>
      <c r="N620" s="37"/>
      <c r="O620" s="37"/>
      <c r="P620" s="37" t="s">
        <v>1743</v>
      </c>
      <c r="Q620" s="37" t="s">
        <v>629</v>
      </c>
      <c r="R620" s="36" t="str">
        <f aca="false">IF(H620="Ya",IF(M620&lt;&gt;"","SUDAH PLOTTING","BELUM PLOTTING"),"-")</f>
        <v>SUDAH PLOTTING</v>
      </c>
      <c r="S620" s="37" t="s">
        <v>255</v>
      </c>
      <c r="T620" s="37"/>
      <c r="U620" s="40" t="s">
        <v>692</v>
      </c>
      <c r="V620" s="41" t="s">
        <v>658</v>
      </c>
    </row>
    <row r="621" customFormat="false" ht="15" hidden="false" customHeight="true" outlineLevel="0" collapsed="false">
      <c r="A621" s="36" t="s">
        <v>1746</v>
      </c>
      <c r="B621" s="37" t="s">
        <v>266</v>
      </c>
      <c r="C621" s="37" t="s">
        <v>364</v>
      </c>
      <c r="D621" s="37" t="s">
        <v>1747</v>
      </c>
      <c r="E621" s="36" t="s">
        <v>79</v>
      </c>
      <c r="F621" s="39" t="s">
        <v>7</v>
      </c>
      <c r="G621" s="36" t="s">
        <v>68</v>
      </c>
      <c r="H621" s="36" t="s">
        <v>68</v>
      </c>
      <c r="I621" s="37" t="n">
        <v>136</v>
      </c>
      <c r="J621" s="37"/>
      <c r="K621" s="37" t="n">
        <v>1</v>
      </c>
      <c r="L621" s="37" t="n">
        <v>0</v>
      </c>
      <c r="M621" s="37" t="s">
        <v>1748</v>
      </c>
      <c r="N621" s="37"/>
      <c r="O621" s="37"/>
      <c r="P621" s="37" t="s">
        <v>1749</v>
      </c>
      <c r="Q621" s="37" t="s">
        <v>629</v>
      </c>
      <c r="R621" s="36" t="str">
        <f aca="false">IF(H621="Ya",IF(M621&lt;&gt;"","SUDAH PLOTTING","BELUM PLOTTING"),"-")</f>
        <v>SUDAH PLOTTING</v>
      </c>
      <c r="S621" s="37" t="s">
        <v>319</v>
      </c>
      <c r="T621" s="37"/>
      <c r="U621" s="40" t="s">
        <v>692</v>
      </c>
      <c r="V621" s="40" t="s">
        <v>68</v>
      </c>
    </row>
    <row r="622" customFormat="false" ht="15" hidden="false" customHeight="true" outlineLevel="0" collapsed="false">
      <c r="A622" s="36" t="s">
        <v>1750</v>
      </c>
      <c r="B622" s="37" t="s">
        <v>266</v>
      </c>
      <c r="C622" s="37" t="s">
        <v>364</v>
      </c>
      <c r="D622" s="37" t="s">
        <v>1747</v>
      </c>
      <c r="E622" s="36" t="s">
        <v>88</v>
      </c>
      <c r="F622" s="39" t="s">
        <v>7</v>
      </c>
      <c r="G622" s="36" t="s">
        <v>68</v>
      </c>
      <c r="H622" s="36" t="s">
        <v>68</v>
      </c>
      <c r="I622" s="37" t="n">
        <v>137</v>
      </c>
      <c r="J622" s="37"/>
      <c r="K622" s="37" t="n">
        <v>2</v>
      </c>
      <c r="L622" s="37" t="n">
        <v>0</v>
      </c>
      <c r="M622" s="37" t="s">
        <v>487</v>
      </c>
      <c r="N622" s="37"/>
      <c r="O622" s="37"/>
      <c r="P622" s="37" t="s">
        <v>1749</v>
      </c>
      <c r="Q622" s="37" t="s">
        <v>629</v>
      </c>
      <c r="R622" s="36" t="str">
        <f aca="false">IF(H622="Ya",IF(M622&lt;&gt;"","SUDAH PLOTTING","BELUM PLOTTING"),"-")</f>
        <v>SUDAH PLOTTING</v>
      </c>
      <c r="S622" s="37" t="s">
        <v>76</v>
      </c>
      <c r="T622" s="37"/>
      <c r="U622" s="40" t="s">
        <v>692</v>
      </c>
      <c r="V622" s="40" t="s">
        <v>68</v>
      </c>
    </row>
    <row r="623" customFormat="false" ht="15" hidden="false" customHeight="true" outlineLevel="0" collapsed="false">
      <c r="A623" s="36" t="s">
        <v>1751</v>
      </c>
      <c r="B623" s="37" t="s">
        <v>266</v>
      </c>
      <c r="C623" s="37" t="s">
        <v>364</v>
      </c>
      <c r="D623" s="37" t="s">
        <v>1747</v>
      </c>
      <c r="E623" s="36" t="s">
        <v>92</v>
      </c>
      <c r="F623" s="39" t="s">
        <v>7</v>
      </c>
      <c r="G623" s="36" t="s">
        <v>68</v>
      </c>
      <c r="H623" s="36" t="s">
        <v>68</v>
      </c>
      <c r="I623" s="37" t="n">
        <v>260</v>
      </c>
      <c r="J623" s="37"/>
      <c r="K623" s="37" t="n">
        <v>2</v>
      </c>
      <c r="L623" s="37" t="n">
        <v>0</v>
      </c>
      <c r="M623" s="37" t="s">
        <v>1740</v>
      </c>
      <c r="N623" s="37"/>
      <c r="O623" s="37"/>
      <c r="P623" s="37" t="s">
        <v>1749</v>
      </c>
      <c r="Q623" s="37" t="s">
        <v>629</v>
      </c>
      <c r="R623" s="36" t="str">
        <f aca="false">IF(H623="Ya",IF(M623&lt;&gt;"","SUDAH PLOTTING","BELUM PLOTTING"),"-")</f>
        <v>SUDAH PLOTTING</v>
      </c>
      <c r="S623" s="37" t="s">
        <v>255</v>
      </c>
      <c r="T623" s="37"/>
      <c r="U623" s="40" t="s">
        <v>692</v>
      </c>
      <c r="V623" s="41" t="s">
        <v>658</v>
      </c>
    </row>
    <row r="624" customFormat="false" ht="15" hidden="false" customHeight="true" outlineLevel="0" collapsed="false">
      <c r="A624" s="36" t="s">
        <v>1752</v>
      </c>
      <c r="B624" s="37" t="s">
        <v>266</v>
      </c>
      <c r="C624" s="37" t="s">
        <v>364</v>
      </c>
      <c r="D624" s="37" t="s">
        <v>1747</v>
      </c>
      <c r="E624" s="36" t="s">
        <v>97</v>
      </c>
      <c r="F624" s="39" t="s">
        <v>7</v>
      </c>
      <c r="G624" s="36" t="s">
        <v>68</v>
      </c>
      <c r="H624" s="36" t="s">
        <v>68</v>
      </c>
      <c r="I624" s="37" t="n">
        <v>179</v>
      </c>
      <c r="J624" s="37"/>
      <c r="K624" s="37" t="n">
        <v>1</v>
      </c>
      <c r="L624" s="37" t="n">
        <v>0</v>
      </c>
      <c r="M624" s="37" t="s">
        <v>1740</v>
      </c>
      <c r="N624" s="37"/>
      <c r="O624" s="37"/>
      <c r="P624" s="37" t="s">
        <v>1749</v>
      </c>
      <c r="Q624" s="37" t="s">
        <v>629</v>
      </c>
      <c r="R624" s="36" t="str">
        <f aca="false">IF(H624="Ya",IF(M624&lt;&gt;"","SUDAH PLOTTING","BELUM PLOTTING"),"-")</f>
        <v>SUDAH PLOTTING</v>
      </c>
      <c r="S624" s="37" t="s">
        <v>255</v>
      </c>
      <c r="T624" s="37"/>
      <c r="U624" s="40" t="s">
        <v>692</v>
      </c>
      <c r="V624" s="41" t="s">
        <v>658</v>
      </c>
    </row>
    <row r="625" customFormat="false" ht="15" hidden="false" customHeight="true" outlineLevel="0" collapsed="false">
      <c r="A625" s="36" t="s">
        <v>1753</v>
      </c>
      <c r="B625" s="37" t="s">
        <v>634</v>
      </c>
      <c r="C625" s="37" t="s">
        <v>400</v>
      </c>
      <c r="D625" s="37" t="s">
        <v>806</v>
      </c>
      <c r="E625" s="36" t="s">
        <v>62</v>
      </c>
      <c r="F625" s="39" t="s">
        <v>7</v>
      </c>
      <c r="G625" s="36" t="s">
        <v>68</v>
      </c>
      <c r="H625" s="36" t="s">
        <v>68</v>
      </c>
      <c r="I625" s="37" t="n">
        <v>218</v>
      </c>
      <c r="J625" s="37"/>
      <c r="K625" s="37" t="n">
        <v>5</v>
      </c>
      <c r="L625" s="37" t="n">
        <v>0</v>
      </c>
      <c r="M625" s="37" t="s">
        <v>1754</v>
      </c>
      <c r="N625" s="37"/>
      <c r="O625" s="37"/>
      <c r="P625" s="37" t="s">
        <v>1755</v>
      </c>
      <c r="Q625" s="37" t="s">
        <v>636</v>
      </c>
      <c r="R625" s="36" t="str">
        <f aca="false">IF(H625="Ya",IF(M625&lt;&gt;"","SUDAH PLOTTING","BELUM PLOTTING"),"-")</f>
        <v>SUDAH PLOTTING</v>
      </c>
      <c r="S625" s="37" t="s">
        <v>206</v>
      </c>
      <c r="T625" s="37"/>
      <c r="U625" s="40" t="s">
        <v>692</v>
      </c>
      <c r="V625" s="40" t="s">
        <v>68</v>
      </c>
    </row>
    <row r="626" customFormat="false" ht="15" hidden="false" customHeight="true" outlineLevel="0" collapsed="false">
      <c r="A626" s="36" t="s">
        <v>1756</v>
      </c>
      <c r="B626" s="37" t="s">
        <v>634</v>
      </c>
      <c r="C626" s="37" t="s">
        <v>400</v>
      </c>
      <c r="D626" s="37" t="s">
        <v>1757</v>
      </c>
      <c r="E626" s="36" t="s">
        <v>79</v>
      </c>
      <c r="F626" s="39" t="s">
        <v>7</v>
      </c>
      <c r="G626" s="36" t="s">
        <v>68</v>
      </c>
      <c r="H626" s="36" t="s">
        <v>68</v>
      </c>
      <c r="I626" s="37" t="n">
        <v>121</v>
      </c>
      <c r="J626" s="37"/>
      <c r="K626" s="37" t="n">
        <v>4</v>
      </c>
      <c r="L626" s="37" t="n">
        <v>0</v>
      </c>
      <c r="M626" s="37" t="s">
        <v>1628</v>
      </c>
      <c r="N626" s="37" t="n">
        <v>59</v>
      </c>
      <c r="O626" s="37"/>
      <c r="P626" s="37" t="s">
        <v>1758</v>
      </c>
      <c r="Q626" s="37" t="s">
        <v>636</v>
      </c>
      <c r="R626" s="36" t="str">
        <f aca="false">IF(H626="Ya",IF(M626&lt;&gt;"","SUDAH PLOTTING","BELUM PLOTTING"),"-")</f>
        <v>SUDAH PLOTTING</v>
      </c>
      <c r="S626" s="37" t="s">
        <v>229</v>
      </c>
      <c r="T626" s="37"/>
      <c r="U626" s="40" t="s">
        <v>692</v>
      </c>
      <c r="V626" s="40" t="s">
        <v>68</v>
      </c>
    </row>
    <row r="627" customFormat="false" ht="15" hidden="false" customHeight="true" outlineLevel="0" collapsed="false">
      <c r="A627" s="36" t="s">
        <v>1759</v>
      </c>
      <c r="B627" s="37" t="s">
        <v>634</v>
      </c>
      <c r="C627" s="37" t="s">
        <v>400</v>
      </c>
      <c r="D627" s="37" t="s">
        <v>1757</v>
      </c>
      <c r="E627" s="36" t="s">
        <v>88</v>
      </c>
      <c r="F627" s="39" t="s">
        <v>7</v>
      </c>
      <c r="G627" s="36" t="s">
        <v>68</v>
      </c>
      <c r="H627" s="36" t="s">
        <v>68</v>
      </c>
      <c r="I627" s="37" t="n">
        <v>124</v>
      </c>
      <c r="J627" s="37"/>
      <c r="K627" s="37" t="n">
        <v>4</v>
      </c>
      <c r="L627" s="37" t="n">
        <v>0</v>
      </c>
      <c r="M627" s="37" t="s">
        <v>1760</v>
      </c>
      <c r="N627" s="37" t="n">
        <v>59</v>
      </c>
      <c r="O627" s="37"/>
      <c r="P627" s="37" t="s">
        <v>1758</v>
      </c>
      <c r="Q627" s="37" t="s">
        <v>636</v>
      </c>
      <c r="R627" s="36" t="str">
        <f aca="false">IF(H627="Ya",IF(M627&lt;&gt;"","SUDAH PLOTTING","BELUM PLOTTING"),"-")</f>
        <v>SUDAH PLOTTING</v>
      </c>
      <c r="S627" s="37" t="s">
        <v>206</v>
      </c>
      <c r="T627" s="37"/>
      <c r="U627" s="40" t="s">
        <v>692</v>
      </c>
      <c r="V627" s="40" t="s">
        <v>68</v>
      </c>
    </row>
    <row r="628" customFormat="false" ht="15" hidden="false" customHeight="true" outlineLevel="0" collapsed="false">
      <c r="A628" s="36" t="s">
        <v>1761</v>
      </c>
      <c r="B628" s="37" t="s">
        <v>634</v>
      </c>
      <c r="C628" s="37" t="s">
        <v>400</v>
      </c>
      <c r="D628" s="37" t="s">
        <v>1762</v>
      </c>
      <c r="E628" s="36" t="s">
        <v>62</v>
      </c>
      <c r="F628" s="39" t="s">
        <v>7</v>
      </c>
      <c r="G628" s="36" t="s">
        <v>68</v>
      </c>
      <c r="H628" s="36" t="s">
        <v>68</v>
      </c>
      <c r="I628" s="37" t="n">
        <v>177</v>
      </c>
      <c r="J628" s="37"/>
      <c r="K628" s="37" t="n">
        <v>3</v>
      </c>
      <c r="L628" s="37" t="n">
        <v>0</v>
      </c>
      <c r="M628" s="37" t="s">
        <v>1763</v>
      </c>
      <c r="N628" s="37" t="n">
        <v>5</v>
      </c>
      <c r="O628" s="37"/>
      <c r="P628" s="37" t="s">
        <v>1764</v>
      </c>
      <c r="Q628" s="37" t="s">
        <v>636</v>
      </c>
      <c r="R628" s="36" t="str">
        <f aca="false">IF(H628="Ya",IF(M628&lt;&gt;"","SUDAH PLOTTING","BELUM PLOTTING"),"-")</f>
        <v>SUDAH PLOTTING</v>
      </c>
      <c r="S628" s="37" t="s">
        <v>206</v>
      </c>
      <c r="T628" s="37"/>
      <c r="U628" s="40" t="s">
        <v>692</v>
      </c>
      <c r="V628" s="40" t="s">
        <v>68</v>
      </c>
    </row>
    <row r="629" customFormat="false" ht="15" hidden="false" customHeight="true" outlineLevel="0" collapsed="false">
      <c r="A629" s="36" t="s">
        <v>1765</v>
      </c>
      <c r="B629" s="37" t="s">
        <v>634</v>
      </c>
      <c r="C629" s="37" t="s">
        <v>400</v>
      </c>
      <c r="D629" s="37" t="s">
        <v>1157</v>
      </c>
      <c r="E629" s="36" t="s">
        <v>62</v>
      </c>
      <c r="F629" s="39" t="s">
        <v>7</v>
      </c>
      <c r="G629" s="36" t="s">
        <v>68</v>
      </c>
      <c r="H629" s="36" t="s">
        <v>68</v>
      </c>
      <c r="I629" s="37" t="n">
        <v>94</v>
      </c>
      <c r="J629" s="37"/>
      <c r="K629" s="37" t="n">
        <v>4</v>
      </c>
      <c r="L629" s="37" t="n">
        <v>0</v>
      </c>
      <c r="M629" s="37" t="s">
        <v>1766</v>
      </c>
      <c r="N629" s="37" t="n">
        <v>25</v>
      </c>
      <c r="O629" s="37"/>
      <c r="P629" s="37" t="s">
        <v>1767</v>
      </c>
      <c r="Q629" s="37" t="s">
        <v>636</v>
      </c>
      <c r="R629" s="36" t="str">
        <f aca="false">IF(H629="Ya",IF(M629&lt;&gt;"","SUDAH PLOTTING","BELUM PLOTTING"),"-")</f>
        <v>SUDAH PLOTTING</v>
      </c>
      <c r="S629" s="37" t="s">
        <v>206</v>
      </c>
      <c r="T629" s="37"/>
      <c r="U629" s="40" t="s">
        <v>692</v>
      </c>
      <c r="V629" s="40" t="s">
        <v>68</v>
      </c>
    </row>
    <row r="630" customFormat="false" ht="15" hidden="false" customHeight="true" outlineLevel="0" collapsed="false">
      <c r="A630" s="36" t="s">
        <v>1768</v>
      </c>
      <c r="B630" s="37" t="s">
        <v>634</v>
      </c>
      <c r="C630" s="37" t="s">
        <v>400</v>
      </c>
      <c r="D630" s="37" t="s">
        <v>1769</v>
      </c>
      <c r="E630" s="36" t="s">
        <v>62</v>
      </c>
      <c r="F630" s="39" t="s">
        <v>7</v>
      </c>
      <c r="G630" s="36" t="s">
        <v>68</v>
      </c>
      <c r="H630" s="36" t="s">
        <v>68</v>
      </c>
      <c r="I630" s="37" t="n">
        <v>137</v>
      </c>
      <c r="J630" s="37"/>
      <c r="K630" s="37" t="n">
        <v>4</v>
      </c>
      <c r="L630" s="37" t="n">
        <v>0</v>
      </c>
      <c r="M630" s="37" t="s">
        <v>1748</v>
      </c>
      <c r="N630" s="37" t="n">
        <v>56</v>
      </c>
      <c r="O630" s="37"/>
      <c r="P630" s="37" t="s">
        <v>1770</v>
      </c>
      <c r="Q630" s="37" t="s">
        <v>636</v>
      </c>
      <c r="R630" s="36" t="str">
        <f aca="false">IF(H630="Ya",IF(M630&lt;&gt;"","SUDAH PLOTTING","BELUM PLOTTING"),"-")</f>
        <v>SUDAH PLOTTING</v>
      </c>
      <c r="S630" s="37" t="s">
        <v>319</v>
      </c>
      <c r="T630" s="37"/>
      <c r="U630" s="40" t="s">
        <v>692</v>
      </c>
      <c r="V630" s="41" t="s">
        <v>658</v>
      </c>
    </row>
    <row r="631" customFormat="false" ht="15" hidden="false" customHeight="true" outlineLevel="0" collapsed="false">
      <c r="A631" s="36" t="s">
        <v>1771</v>
      </c>
      <c r="B631" s="37" t="s">
        <v>634</v>
      </c>
      <c r="C631" s="37" t="s">
        <v>358</v>
      </c>
      <c r="D631" s="37" t="s">
        <v>1381</v>
      </c>
      <c r="E631" s="36" t="s">
        <v>79</v>
      </c>
      <c r="F631" s="39" t="s">
        <v>7</v>
      </c>
      <c r="G631" s="36" t="s">
        <v>68</v>
      </c>
      <c r="H631" s="36" t="s">
        <v>68</v>
      </c>
      <c r="I631" s="37" t="n">
        <v>120</v>
      </c>
      <c r="J631" s="37"/>
      <c r="K631" s="37" t="n">
        <v>9</v>
      </c>
      <c r="L631" s="37" t="n">
        <v>0</v>
      </c>
      <c r="M631" s="37" t="s">
        <v>1772</v>
      </c>
      <c r="N631" s="37" t="n">
        <v>21</v>
      </c>
      <c r="O631" s="37"/>
      <c r="P631" s="37" t="s">
        <v>1773</v>
      </c>
      <c r="Q631" s="37" t="s">
        <v>633</v>
      </c>
      <c r="R631" s="36" t="str">
        <f aca="false">IF(H631="Ya",IF(M631&lt;&gt;"","SUDAH PLOTTING","BELUM PLOTTING"),"-")</f>
        <v>SUDAH PLOTTING</v>
      </c>
      <c r="S631" s="37" t="s">
        <v>58</v>
      </c>
      <c r="T631" s="37"/>
      <c r="U631" s="40" t="s">
        <v>692</v>
      </c>
      <c r="V631" s="40" t="s">
        <v>68</v>
      </c>
    </row>
    <row r="632" customFormat="false" ht="15" hidden="false" customHeight="true" outlineLevel="0" collapsed="false">
      <c r="A632" s="36" t="s">
        <v>1774</v>
      </c>
      <c r="B632" s="37" t="s">
        <v>634</v>
      </c>
      <c r="C632" s="37" t="s">
        <v>358</v>
      </c>
      <c r="D632" s="37" t="s">
        <v>1381</v>
      </c>
      <c r="E632" s="36" t="s">
        <v>88</v>
      </c>
      <c r="F632" s="39" t="s">
        <v>7</v>
      </c>
      <c r="G632" s="36" t="s">
        <v>68</v>
      </c>
      <c r="H632" s="36" t="s">
        <v>68</v>
      </c>
      <c r="I632" s="37" t="n">
        <v>129</v>
      </c>
      <c r="J632" s="37"/>
      <c r="K632" s="37" t="n">
        <v>2</v>
      </c>
      <c r="L632" s="37" t="n">
        <v>0</v>
      </c>
      <c r="M632" s="37" t="s">
        <v>1698</v>
      </c>
      <c r="N632" s="37" t="n">
        <v>21</v>
      </c>
      <c r="O632" s="37"/>
      <c r="P632" s="37" t="s">
        <v>1773</v>
      </c>
      <c r="Q632" s="37" t="s">
        <v>633</v>
      </c>
      <c r="R632" s="36" t="str">
        <f aca="false">IF(H632="Ya",IF(M632&lt;&gt;"","SUDAH PLOTTING","BELUM PLOTTING"),"-")</f>
        <v>SUDAH PLOTTING</v>
      </c>
      <c r="S632" s="37" t="s">
        <v>206</v>
      </c>
      <c r="T632" s="37"/>
      <c r="U632" s="40" t="s">
        <v>692</v>
      </c>
      <c r="V632" s="40" t="s">
        <v>68</v>
      </c>
    </row>
    <row r="633" customFormat="false" ht="15" hidden="false" customHeight="true" outlineLevel="0" collapsed="false">
      <c r="A633" s="36" t="s">
        <v>1775</v>
      </c>
      <c r="B633" s="37" t="s">
        <v>634</v>
      </c>
      <c r="C633" s="37" t="s">
        <v>358</v>
      </c>
      <c r="D633" s="37" t="s">
        <v>1381</v>
      </c>
      <c r="E633" s="36" t="s">
        <v>92</v>
      </c>
      <c r="F633" s="39" t="s">
        <v>7</v>
      </c>
      <c r="G633" s="36" t="s">
        <v>68</v>
      </c>
      <c r="H633" s="36" t="s">
        <v>68</v>
      </c>
      <c r="I633" s="37" t="n">
        <v>123</v>
      </c>
      <c r="J633" s="37"/>
      <c r="K633" s="37" t="n">
        <v>2</v>
      </c>
      <c r="L633" s="37" t="n">
        <v>0</v>
      </c>
      <c r="M633" s="37" t="s">
        <v>1776</v>
      </c>
      <c r="N633" s="37" t="n">
        <v>21</v>
      </c>
      <c r="O633" s="37"/>
      <c r="P633" s="37" t="s">
        <v>1773</v>
      </c>
      <c r="Q633" s="37" t="s">
        <v>633</v>
      </c>
      <c r="R633" s="36" t="str">
        <f aca="false">IF(H633="Ya",IF(M633&lt;&gt;"","SUDAH PLOTTING","BELUM PLOTTING"),"-")</f>
        <v>SUDAH PLOTTING</v>
      </c>
      <c r="S633" s="37" t="s">
        <v>206</v>
      </c>
      <c r="T633" s="37"/>
      <c r="U633" s="40" t="s">
        <v>692</v>
      </c>
      <c r="V633" s="40" t="s">
        <v>68</v>
      </c>
    </row>
    <row r="634" customFormat="false" ht="15" hidden="false" customHeight="true" outlineLevel="0" collapsed="false">
      <c r="A634" s="36" t="s">
        <v>1777</v>
      </c>
      <c r="B634" s="37" t="s">
        <v>634</v>
      </c>
      <c r="C634" s="37" t="s">
        <v>358</v>
      </c>
      <c r="D634" s="37" t="s">
        <v>1381</v>
      </c>
      <c r="E634" s="36" t="s">
        <v>97</v>
      </c>
      <c r="F634" s="39" t="s">
        <v>7</v>
      </c>
      <c r="G634" s="36" t="s">
        <v>68</v>
      </c>
      <c r="H634" s="36" t="s">
        <v>68</v>
      </c>
      <c r="I634" s="37" t="n">
        <v>121</v>
      </c>
      <c r="J634" s="37"/>
      <c r="K634" s="37" t="n">
        <v>2</v>
      </c>
      <c r="L634" s="37" t="n">
        <v>0</v>
      </c>
      <c r="M634" s="37" t="s">
        <v>1778</v>
      </c>
      <c r="N634" s="37" t="n">
        <v>21</v>
      </c>
      <c r="O634" s="37"/>
      <c r="P634" s="37" t="s">
        <v>1773</v>
      </c>
      <c r="Q634" s="37" t="s">
        <v>633</v>
      </c>
      <c r="R634" s="36" t="str">
        <f aca="false">IF(H634="Ya",IF(M634&lt;&gt;"","SUDAH PLOTTING","BELUM PLOTTING"),"-")</f>
        <v>SUDAH PLOTTING</v>
      </c>
      <c r="S634" s="37" t="s">
        <v>206</v>
      </c>
      <c r="T634" s="37"/>
      <c r="U634" s="40" t="s">
        <v>692</v>
      </c>
      <c r="V634" s="40" t="s">
        <v>68</v>
      </c>
    </row>
    <row r="635" customFormat="false" ht="15" hidden="false" customHeight="true" outlineLevel="0" collapsed="false">
      <c r="A635" s="36" t="s">
        <v>1779</v>
      </c>
      <c r="B635" s="37" t="s">
        <v>634</v>
      </c>
      <c r="C635" s="37" t="s">
        <v>358</v>
      </c>
      <c r="D635" s="37" t="s">
        <v>1381</v>
      </c>
      <c r="E635" s="36" t="s">
        <v>103</v>
      </c>
      <c r="F635" s="39" t="s">
        <v>7</v>
      </c>
      <c r="G635" s="36" t="s">
        <v>68</v>
      </c>
      <c r="H635" s="36" t="s">
        <v>68</v>
      </c>
      <c r="I635" s="37" t="n">
        <v>122</v>
      </c>
      <c r="J635" s="37"/>
      <c r="K635" s="37" t="n">
        <v>2</v>
      </c>
      <c r="L635" s="37" t="n">
        <v>0</v>
      </c>
      <c r="M635" s="37" t="s">
        <v>1780</v>
      </c>
      <c r="N635" s="37" t="n">
        <v>21</v>
      </c>
      <c r="O635" s="37"/>
      <c r="P635" s="37" t="s">
        <v>1773</v>
      </c>
      <c r="Q635" s="37" t="s">
        <v>633</v>
      </c>
      <c r="R635" s="36" t="str">
        <f aca="false">IF(H635="Ya",IF(M635&lt;&gt;"","SUDAH PLOTTING","BELUM PLOTTING"),"-")</f>
        <v>SUDAH PLOTTING</v>
      </c>
      <c r="S635" s="37" t="s">
        <v>58</v>
      </c>
      <c r="T635" s="37"/>
      <c r="U635" s="40" t="s">
        <v>692</v>
      </c>
      <c r="V635" s="40" t="s">
        <v>68</v>
      </c>
    </row>
    <row r="636" customFormat="false" ht="15" hidden="false" customHeight="true" outlineLevel="0" collapsed="false">
      <c r="A636" s="36" t="s">
        <v>1781</v>
      </c>
      <c r="B636" s="37" t="s">
        <v>634</v>
      </c>
      <c r="C636" s="37" t="s">
        <v>358</v>
      </c>
      <c r="D636" s="37" t="s">
        <v>1381</v>
      </c>
      <c r="E636" s="36" t="s">
        <v>111</v>
      </c>
      <c r="F636" s="39" t="s">
        <v>7</v>
      </c>
      <c r="G636" s="36" t="s">
        <v>68</v>
      </c>
      <c r="H636" s="36" t="s">
        <v>68</v>
      </c>
      <c r="I636" s="37" t="n">
        <v>122</v>
      </c>
      <c r="J636" s="37"/>
      <c r="K636" s="37" t="n">
        <v>2</v>
      </c>
      <c r="L636" s="37" t="n">
        <v>0</v>
      </c>
      <c r="M636" s="37" t="s">
        <v>322</v>
      </c>
      <c r="N636" s="37" t="n">
        <v>21</v>
      </c>
      <c r="O636" s="37"/>
      <c r="P636" s="37" t="s">
        <v>1773</v>
      </c>
      <c r="Q636" s="37" t="s">
        <v>633</v>
      </c>
      <c r="R636" s="36" t="str">
        <f aca="false">IF(H636="Ya",IF(M636&lt;&gt;"","SUDAH PLOTTING","BELUM PLOTTING"),"-")</f>
        <v>SUDAH PLOTTING</v>
      </c>
      <c r="S636" s="37" t="s">
        <v>206</v>
      </c>
      <c r="T636" s="37"/>
      <c r="U636" s="40" t="s">
        <v>692</v>
      </c>
      <c r="V636" s="40" t="s">
        <v>68</v>
      </c>
    </row>
    <row r="637" customFormat="false" ht="15" hidden="false" customHeight="true" outlineLevel="0" collapsed="false">
      <c r="A637" s="36" t="s">
        <v>1782</v>
      </c>
      <c r="B637" s="37" t="s">
        <v>634</v>
      </c>
      <c r="C637" s="37" t="s">
        <v>358</v>
      </c>
      <c r="D637" s="37" t="s">
        <v>1381</v>
      </c>
      <c r="E637" s="36" t="s">
        <v>166</v>
      </c>
      <c r="F637" s="39" t="s">
        <v>7</v>
      </c>
      <c r="G637" s="36" t="s">
        <v>68</v>
      </c>
      <c r="H637" s="36" t="s">
        <v>68</v>
      </c>
      <c r="I637" s="37" t="n">
        <v>121</v>
      </c>
      <c r="J637" s="37"/>
      <c r="K637" s="37" t="n">
        <v>5</v>
      </c>
      <c r="L637" s="37" t="n">
        <v>0</v>
      </c>
      <c r="M637" s="37" t="s">
        <v>1783</v>
      </c>
      <c r="N637" s="37" t="n">
        <v>21</v>
      </c>
      <c r="O637" s="37"/>
      <c r="P637" s="37" t="s">
        <v>1773</v>
      </c>
      <c r="Q637" s="37" t="s">
        <v>633</v>
      </c>
      <c r="R637" s="36" t="str">
        <f aca="false">IF(H637="Ya",IF(M637&lt;&gt;"","SUDAH PLOTTING","BELUM PLOTTING"),"-")</f>
        <v>SUDAH PLOTTING</v>
      </c>
      <c r="S637" s="37" t="s">
        <v>206</v>
      </c>
      <c r="T637" s="37"/>
      <c r="U637" s="40" t="s">
        <v>692</v>
      </c>
      <c r="V637" s="40" t="s">
        <v>68</v>
      </c>
    </row>
    <row r="638" customFormat="false" ht="15" hidden="false" customHeight="true" outlineLevel="0" collapsed="false">
      <c r="A638" s="36" t="s">
        <v>1784</v>
      </c>
      <c r="B638" s="37" t="s">
        <v>634</v>
      </c>
      <c r="C638" s="37" t="s">
        <v>358</v>
      </c>
      <c r="D638" s="37" t="s">
        <v>1785</v>
      </c>
      <c r="E638" s="36" t="s">
        <v>79</v>
      </c>
      <c r="F638" s="39" t="s">
        <v>7</v>
      </c>
      <c r="G638" s="36" t="s">
        <v>68</v>
      </c>
      <c r="H638" s="36" t="s">
        <v>68</v>
      </c>
      <c r="I638" s="37" t="n">
        <v>123</v>
      </c>
      <c r="J638" s="37"/>
      <c r="K638" s="37" t="n">
        <v>1</v>
      </c>
      <c r="L638" s="37" t="n">
        <v>0</v>
      </c>
      <c r="M638" s="37" t="s">
        <v>1786</v>
      </c>
      <c r="N638" s="37"/>
      <c r="O638" s="37"/>
      <c r="P638" s="37" t="s">
        <v>1787</v>
      </c>
      <c r="Q638" s="37" t="s">
        <v>633</v>
      </c>
      <c r="R638" s="36" t="str">
        <f aca="false">IF(H638="Ya",IF(M638&lt;&gt;"","SUDAH PLOTTING","BELUM PLOTTING"),"-")</f>
        <v>SUDAH PLOTTING</v>
      </c>
      <c r="S638" s="37" t="s">
        <v>58</v>
      </c>
      <c r="T638" s="37"/>
      <c r="U638" s="40" t="s">
        <v>692</v>
      </c>
      <c r="V638" s="40" t="s">
        <v>68</v>
      </c>
    </row>
    <row r="639" customFormat="false" ht="15" hidden="false" customHeight="true" outlineLevel="0" collapsed="false">
      <c r="A639" s="36" t="s">
        <v>1788</v>
      </c>
      <c r="B639" s="37" t="s">
        <v>634</v>
      </c>
      <c r="C639" s="37" t="s">
        <v>358</v>
      </c>
      <c r="D639" s="37" t="s">
        <v>1785</v>
      </c>
      <c r="E639" s="36" t="s">
        <v>88</v>
      </c>
      <c r="F639" s="39" t="s">
        <v>7</v>
      </c>
      <c r="G639" s="36" t="s">
        <v>68</v>
      </c>
      <c r="H639" s="36" t="s">
        <v>68</v>
      </c>
      <c r="I639" s="37" t="n">
        <v>122</v>
      </c>
      <c r="J639" s="37"/>
      <c r="K639" s="37" t="n">
        <v>1</v>
      </c>
      <c r="L639" s="37" t="n">
        <v>0</v>
      </c>
      <c r="M639" s="37" t="s">
        <v>1786</v>
      </c>
      <c r="N639" s="37"/>
      <c r="O639" s="37"/>
      <c r="P639" s="37" t="s">
        <v>1787</v>
      </c>
      <c r="Q639" s="37" t="s">
        <v>633</v>
      </c>
      <c r="R639" s="36" t="str">
        <f aca="false">IF(H639="Ya",IF(M639&lt;&gt;"","SUDAH PLOTTING","BELUM PLOTTING"),"-")</f>
        <v>SUDAH PLOTTING</v>
      </c>
      <c r="S639" s="37" t="s">
        <v>58</v>
      </c>
      <c r="T639" s="37"/>
      <c r="U639" s="40" t="s">
        <v>692</v>
      </c>
      <c r="V639" s="40" t="s">
        <v>68</v>
      </c>
    </row>
    <row r="640" customFormat="false" ht="15" hidden="false" customHeight="true" outlineLevel="0" collapsed="false">
      <c r="A640" s="36" t="s">
        <v>1789</v>
      </c>
      <c r="B640" s="37" t="s">
        <v>634</v>
      </c>
      <c r="C640" s="37" t="s">
        <v>358</v>
      </c>
      <c r="D640" s="37" t="s">
        <v>1785</v>
      </c>
      <c r="E640" s="36" t="s">
        <v>92</v>
      </c>
      <c r="F640" s="39" t="s">
        <v>7</v>
      </c>
      <c r="G640" s="36" t="s">
        <v>68</v>
      </c>
      <c r="H640" s="36" t="s">
        <v>68</v>
      </c>
      <c r="I640" s="37" t="n">
        <v>120</v>
      </c>
      <c r="J640" s="37"/>
      <c r="K640" s="37" t="n">
        <v>1</v>
      </c>
      <c r="L640" s="37" t="n">
        <v>0</v>
      </c>
      <c r="M640" s="37" t="s">
        <v>1786</v>
      </c>
      <c r="N640" s="37"/>
      <c r="O640" s="37"/>
      <c r="P640" s="37" t="s">
        <v>1787</v>
      </c>
      <c r="Q640" s="37" t="s">
        <v>633</v>
      </c>
      <c r="R640" s="36" t="str">
        <f aca="false">IF(H640="Ya",IF(M640&lt;&gt;"","SUDAH PLOTTING","BELUM PLOTTING"),"-")</f>
        <v>SUDAH PLOTTING</v>
      </c>
      <c r="S640" s="37" t="s">
        <v>58</v>
      </c>
      <c r="T640" s="37"/>
      <c r="U640" s="40" t="s">
        <v>692</v>
      </c>
      <c r="V640" s="40" t="s">
        <v>68</v>
      </c>
    </row>
    <row r="641" customFormat="false" ht="15" hidden="false" customHeight="true" outlineLevel="0" collapsed="false">
      <c r="A641" s="36" t="s">
        <v>1790</v>
      </c>
      <c r="B641" s="37" t="s">
        <v>634</v>
      </c>
      <c r="C641" s="37" t="s">
        <v>358</v>
      </c>
      <c r="D641" s="37" t="s">
        <v>215</v>
      </c>
      <c r="E641" s="36" t="s">
        <v>79</v>
      </c>
      <c r="F641" s="39" t="s">
        <v>7</v>
      </c>
      <c r="G641" s="36" t="s">
        <v>68</v>
      </c>
      <c r="H641" s="36" t="s">
        <v>68</v>
      </c>
      <c r="I641" s="37" t="n">
        <v>167</v>
      </c>
      <c r="J641" s="37"/>
      <c r="K641" s="37" t="n">
        <v>2</v>
      </c>
      <c r="L641" s="37" t="n">
        <v>0</v>
      </c>
      <c r="M641" s="37" t="s">
        <v>1786</v>
      </c>
      <c r="N641" s="37"/>
      <c r="O641" s="37"/>
      <c r="P641" s="37" t="s">
        <v>1791</v>
      </c>
      <c r="Q641" s="37" t="s">
        <v>633</v>
      </c>
      <c r="R641" s="36" t="str">
        <f aca="false">IF(H641="Ya",IF(M641&lt;&gt;"","SUDAH PLOTTING","BELUM PLOTTING"),"-")</f>
        <v>SUDAH PLOTTING</v>
      </c>
      <c r="S641" s="37" t="s">
        <v>58</v>
      </c>
      <c r="T641" s="37"/>
      <c r="U641" s="40" t="s">
        <v>692</v>
      </c>
      <c r="V641" s="40" t="s">
        <v>68</v>
      </c>
    </row>
    <row r="642" customFormat="false" ht="15" hidden="false" customHeight="true" outlineLevel="0" collapsed="false">
      <c r="A642" s="36" t="s">
        <v>1792</v>
      </c>
      <c r="B642" s="37" t="s">
        <v>634</v>
      </c>
      <c r="C642" s="37" t="s">
        <v>358</v>
      </c>
      <c r="D642" s="37" t="s">
        <v>215</v>
      </c>
      <c r="E642" s="36" t="s">
        <v>88</v>
      </c>
      <c r="F642" s="39" t="s">
        <v>7</v>
      </c>
      <c r="G642" s="36" t="s">
        <v>68</v>
      </c>
      <c r="H642" s="36" t="s">
        <v>68</v>
      </c>
      <c r="I642" s="37" t="n">
        <v>121</v>
      </c>
      <c r="J642" s="37"/>
      <c r="K642" s="37" t="n">
        <v>2</v>
      </c>
      <c r="L642" s="37" t="n">
        <v>0</v>
      </c>
      <c r="M642" s="37" t="s">
        <v>1698</v>
      </c>
      <c r="N642" s="37"/>
      <c r="O642" s="37"/>
      <c r="P642" s="37" t="s">
        <v>1791</v>
      </c>
      <c r="Q642" s="37" t="s">
        <v>633</v>
      </c>
      <c r="R642" s="36" t="str">
        <f aca="false">IF(H642="Ya",IF(M642&lt;&gt;"","SUDAH PLOTTING","BELUM PLOTTING"),"-")</f>
        <v>SUDAH PLOTTING</v>
      </c>
      <c r="S642" s="37" t="s">
        <v>206</v>
      </c>
      <c r="T642" s="37"/>
      <c r="U642" s="40" t="s">
        <v>692</v>
      </c>
      <c r="V642" s="40" t="s">
        <v>68</v>
      </c>
    </row>
    <row r="643" customFormat="false" ht="15" hidden="false" customHeight="true" outlineLevel="0" collapsed="false">
      <c r="A643" s="36" t="s">
        <v>1793</v>
      </c>
      <c r="B643" s="37" t="s">
        <v>634</v>
      </c>
      <c r="C643" s="37" t="s">
        <v>358</v>
      </c>
      <c r="D643" s="37" t="s">
        <v>215</v>
      </c>
      <c r="E643" s="36" t="s">
        <v>92</v>
      </c>
      <c r="F643" s="39" t="s">
        <v>7</v>
      </c>
      <c r="G643" s="36" t="s">
        <v>68</v>
      </c>
      <c r="H643" s="36" t="s">
        <v>68</v>
      </c>
      <c r="I643" s="37" t="n">
        <v>121</v>
      </c>
      <c r="J643" s="37"/>
      <c r="K643" s="37" t="n">
        <v>2</v>
      </c>
      <c r="L643" s="37" t="n">
        <v>0</v>
      </c>
      <c r="M643" s="37" t="s">
        <v>1698</v>
      </c>
      <c r="N643" s="37"/>
      <c r="O643" s="37"/>
      <c r="P643" s="37" t="s">
        <v>1791</v>
      </c>
      <c r="Q643" s="37" t="s">
        <v>633</v>
      </c>
      <c r="R643" s="36" t="str">
        <f aca="false">IF(H643="Ya",IF(M643&lt;&gt;"","SUDAH PLOTTING","BELUM PLOTTING"),"-")</f>
        <v>SUDAH PLOTTING</v>
      </c>
      <c r="S643" s="37" t="s">
        <v>206</v>
      </c>
      <c r="T643" s="37"/>
      <c r="U643" s="40" t="s">
        <v>692</v>
      </c>
      <c r="V643" s="40" t="s">
        <v>68</v>
      </c>
    </row>
    <row r="644" customFormat="false" ht="15" hidden="false" customHeight="true" outlineLevel="0" collapsed="false">
      <c r="A644" s="36" t="s">
        <v>1794</v>
      </c>
      <c r="B644" s="37" t="s">
        <v>634</v>
      </c>
      <c r="C644" s="37" t="s">
        <v>358</v>
      </c>
      <c r="D644" s="37" t="s">
        <v>215</v>
      </c>
      <c r="E644" s="36" t="s">
        <v>97</v>
      </c>
      <c r="F644" s="39" t="s">
        <v>7</v>
      </c>
      <c r="G644" s="36" t="s">
        <v>68</v>
      </c>
      <c r="H644" s="36" t="s">
        <v>68</v>
      </c>
      <c r="I644" s="37" t="n">
        <v>176</v>
      </c>
      <c r="J644" s="37"/>
      <c r="K644" s="37" t="n">
        <v>2</v>
      </c>
      <c r="L644" s="37" t="n">
        <v>0</v>
      </c>
      <c r="M644" s="37" t="s">
        <v>1786</v>
      </c>
      <c r="N644" s="37"/>
      <c r="O644" s="37"/>
      <c r="P644" s="37" t="s">
        <v>1791</v>
      </c>
      <c r="Q644" s="37" t="s">
        <v>633</v>
      </c>
      <c r="R644" s="36" t="str">
        <f aca="false">IF(H644="Ya",IF(M644&lt;&gt;"","SUDAH PLOTTING","BELUM PLOTTING"),"-")</f>
        <v>SUDAH PLOTTING</v>
      </c>
      <c r="S644" s="37" t="s">
        <v>58</v>
      </c>
      <c r="T644" s="37"/>
      <c r="U644" s="40" t="s">
        <v>692</v>
      </c>
      <c r="V644" s="40" t="s">
        <v>68</v>
      </c>
    </row>
    <row r="645" customFormat="false" ht="15" hidden="false" customHeight="true" outlineLevel="0" collapsed="false">
      <c r="A645" s="36" t="s">
        <v>1795</v>
      </c>
      <c r="B645" s="37" t="s">
        <v>634</v>
      </c>
      <c r="C645" s="37" t="s">
        <v>358</v>
      </c>
      <c r="D645" s="37" t="s">
        <v>215</v>
      </c>
      <c r="E645" s="36" t="s">
        <v>103</v>
      </c>
      <c r="F645" s="39" t="s">
        <v>7</v>
      </c>
      <c r="G645" s="36" t="s">
        <v>68</v>
      </c>
      <c r="H645" s="36" t="s">
        <v>68</v>
      </c>
      <c r="I645" s="37" t="n">
        <v>188</v>
      </c>
      <c r="J645" s="37"/>
      <c r="K645" s="37" t="n">
        <v>2</v>
      </c>
      <c r="L645" s="37" t="n">
        <v>0</v>
      </c>
      <c r="M645" s="37" t="s">
        <v>1786</v>
      </c>
      <c r="N645" s="37"/>
      <c r="O645" s="37"/>
      <c r="P645" s="37" t="s">
        <v>1791</v>
      </c>
      <c r="Q645" s="37" t="s">
        <v>633</v>
      </c>
      <c r="R645" s="36" t="str">
        <f aca="false">IF(H645="Ya",IF(M645&lt;&gt;"","SUDAH PLOTTING","BELUM PLOTTING"),"-")</f>
        <v>SUDAH PLOTTING</v>
      </c>
      <c r="S645" s="37" t="s">
        <v>58</v>
      </c>
      <c r="T645" s="37"/>
      <c r="U645" s="40" t="s">
        <v>692</v>
      </c>
      <c r="V645" s="40" t="s">
        <v>68</v>
      </c>
    </row>
    <row r="646" customFormat="false" ht="15" hidden="false" customHeight="true" outlineLevel="0" collapsed="false">
      <c r="A646" s="36" t="s">
        <v>1796</v>
      </c>
      <c r="B646" s="37" t="s">
        <v>634</v>
      </c>
      <c r="C646" s="37" t="s">
        <v>358</v>
      </c>
      <c r="D646" s="37" t="s">
        <v>215</v>
      </c>
      <c r="E646" s="36" t="s">
        <v>111</v>
      </c>
      <c r="F646" s="39" t="s">
        <v>7</v>
      </c>
      <c r="G646" s="36" t="s">
        <v>68</v>
      </c>
      <c r="H646" s="36" t="s">
        <v>68</v>
      </c>
      <c r="I646" s="37" t="n">
        <v>150</v>
      </c>
      <c r="J646" s="37"/>
      <c r="K646" s="37" t="n">
        <v>2</v>
      </c>
      <c r="L646" s="37" t="n">
        <v>0</v>
      </c>
      <c r="M646" s="37" t="s">
        <v>1786</v>
      </c>
      <c r="N646" s="37"/>
      <c r="O646" s="37"/>
      <c r="P646" s="37" t="s">
        <v>1791</v>
      </c>
      <c r="Q646" s="37" t="s">
        <v>633</v>
      </c>
      <c r="R646" s="36" t="str">
        <f aca="false">IF(H646="Ya",IF(M646&lt;&gt;"","SUDAH PLOTTING","BELUM PLOTTING"),"-")</f>
        <v>SUDAH PLOTTING</v>
      </c>
      <c r="S646" s="37" t="s">
        <v>58</v>
      </c>
      <c r="T646" s="37"/>
      <c r="U646" s="40" t="s">
        <v>692</v>
      </c>
      <c r="V646" s="40" t="s">
        <v>68</v>
      </c>
    </row>
    <row r="647" customFormat="false" ht="15" hidden="false" customHeight="true" outlineLevel="0" collapsed="false">
      <c r="A647" s="36" t="s">
        <v>1797</v>
      </c>
      <c r="B647" s="37" t="s">
        <v>634</v>
      </c>
      <c r="C647" s="37" t="s">
        <v>358</v>
      </c>
      <c r="D647" s="37" t="s">
        <v>1798</v>
      </c>
      <c r="E647" s="36" t="s">
        <v>79</v>
      </c>
      <c r="F647" s="39" t="s">
        <v>7</v>
      </c>
      <c r="G647" s="36" t="s">
        <v>68</v>
      </c>
      <c r="H647" s="36" t="s">
        <v>68</v>
      </c>
      <c r="I647" s="37" t="n">
        <v>120</v>
      </c>
      <c r="J647" s="37"/>
      <c r="K647" s="37" t="n">
        <v>1</v>
      </c>
      <c r="L647" s="37" t="n">
        <v>0</v>
      </c>
      <c r="M647" s="37" t="s">
        <v>1786</v>
      </c>
      <c r="N647" s="37"/>
      <c r="O647" s="37"/>
      <c r="P647" s="37" t="s">
        <v>1799</v>
      </c>
      <c r="Q647" s="37" t="s">
        <v>633</v>
      </c>
      <c r="R647" s="36" t="str">
        <f aca="false">IF(H647="Ya",IF(M647&lt;&gt;"","SUDAH PLOTTING","BELUM PLOTTING"),"-")</f>
        <v>SUDAH PLOTTING</v>
      </c>
      <c r="S647" s="37" t="s">
        <v>58</v>
      </c>
      <c r="T647" s="37"/>
      <c r="U647" s="40" t="s">
        <v>692</v>
      </c>
      <c r="V647" s="40" t="s">
        <v>68</v>
      </c>
    </row>
    <row r="648" customFormat="false" ht="15" hidden="false" customHeight="true" outlineLevel="0" collapsed="false">
      <c r="A648" s="36" t="s">
        <v>1800</v>
      </c>
      <c r="B648" s="37" t="s">
        <v>634</v>
      </c>
      <c r="C648" s="37" t="s">
        <v>358</v>
      </c>
      <c r="D648" s="37" t="s">
        <v>1798</v>
      </c>
      <c r="E648" s="36" t="s">
        <v>88</v>
      </c>
      <c r="F648" s="39" t="s">
        <v>7</v>
      </c>
      <c r="G648" s="36" t="s">
        <v>68</v>
      </c>
      <c r="H648" s="36" t="s">
        <v>68</v>
      </c>
      <c r="I648" s="37" t="n">
        <v>122</v>
      </c>
      <c r="J648" s="37"/>
      <c r="K648" s="37" t="n">
        <v>1</v>
      </c>
      <c r="L648" s="37" t="n">
        <v>0</v>
      </c>
      <c r="M648" s="37" t="s">
        <v>1786</v>
      </c>
      <c r="N648" s="37"/>
      <c r="O648" s="37"/>
      <c r="P648" s="37" t="s">
        <v>1799</v>
      </c>
      <c r="Q648" s="37" t="s">
        <v>633</v>
      </c>
      <c r="R648" s="36" t="str">
        <f aca="false">IF(H648="Ya",IF(M648&lt;&gt;"","SUDAH PLOTTING","BELUM PLOTTING"),"-")</f>
        <v>SUDAH PLOTTING</v>
      </c>
      <c r="S648" s="37" t="s">
        <v>58</v>
      </c>
      <c r="T648" s="37"/>
      <c r="U648" s="40" t="s">
        <v>692</v>
      </c>
      <c r="V648" s="40" t="s">
        <v>68</v>
      </c>
    </row>
    <row r="649" customFormat="false" ht="15" hidden="false" customHeight="true" outlineLevel="0" collapsed="false">
      <c r="A649" s="36" t="s">
        <v>1801</v>
      </c>
      <c r="B649" s="37" t="s">
        <v>634</v>
      </c>
      <c r="C649" s="37" t="s">
        <v>358</v>
      </c>
      <c r="D649" s="37" t="s">
        <v>1798</v>
      </c>
      <c r="E649" s="36" t="s">
        <v>92</v>
      </c>
      <c r="F649" s="39" t="s">
        <v>7</v>
      </c>
      <c r="G649" s="36" t="s">
        <v>68</v>
      </c>
      <c r="H649" s="36" t="s">
        <v>68</v>
      </c>
      <c r="I649" s="37" t="n">
        <v>122</v>
      </c>
      <c r="J649" s="37"/>
      <c r="K649" s="37" t="n">
        <v>1</v>
      </c>
      <c r="L649" s="37" t="n">
        <v>0</v>
      </c>
      <c r="M649" s="37" t="s">
        <v>1786</v>
      </c>
      <c r="N649" s="37"/>
      <c r="O649" s="37"/>
      <c r="P649" s="37" t="s">
        <v>1799</v>
      </c>
      <c r="Q649" s="37" t="s">
        <v>633</v>
      </c>
      <c r="R649" s="36" t="str">
        <f aca="false">IF(H649="Ya",IF(M649&lt;&gt;"","SUDAH PLOTTING","BELUM PLOTTING"),"-")</f>
        <v>SUDAH PLOTTING</v>
      </c>
      <c r="S649" s="37" t="s">
        <v>58</v>
      </c>
      <c r="T649" s="37"/>
      <c r="U649" s="40" t="s">
        <v>692</v>
      </c>
      <c r="V649" s="40" t="s">
        <v>68</v>
      </c>
    </row>
    <row r="650" customFormat="false" ht="15" hidden="false" customHeight="true" outlineLevel="0" collapsed="false">
      <c r="A650" s="36" t="s">
        <v>1802</v>
      </c>
      <c r="B650" s="37" t="s">
        <v>634</v>
      </c>
      <c r="C650" s="37" t="s">
        <v>358</v>
      </c>
      <c r="D650" s="37" t="s">
        <v>1798</v>
      </c>
      <c r="E650" s="36" t="s">
        <v>97</v>
      </c>
      <c r="F650" s="39" t="s">
        <v>7</v>
      </c>
      <c r="G650" s="36" t="s">
        <v>68</v>
      </c>
      <c r="H650" s="36" t="s">
        <v>68</v>
      </c>
      <c r="I650" s="37" t="n">
        <v>120</v>
      </c>
      <c r="J650" s="37"/>
      <c r="K650" s="37" t="n">
        <v>1</v>
      </c>
      <c r="L650" s="37" t="n">
        <v>0</v>
      </c>
      <c r="M650" s="37" t="s">
        <v>1786</v>
      </c>
      <c r="N650" s="37"/>
      <c r="O650" s="37"/>
      <c r="P650" s="37" t="s">
        <v>1799</v>
      </c>
      <c r="Q650" s="37" t="s">
        <v>633</v>
      </c>
      <c r="R650" s="36" t="str">
        <f aca="false">IF(H650="Ya",IF(M650&lt;&gt;"","SUDAH PLOTTING","BELUM PLOTTING"),"-")</f>
        <v>SUDAH PLOTTING</v>
      </c>
      <c r="S650" s="37" t="s">
        <v>58</v>
      </c>
      <c r="T650" s="37"/>
      <c r="U650" s="40" t="s">
        <v>692</v>
      </c>
      <c r="V650" s="40" t="s">
        <v>68</v>
      </c>
    </row>
    <row r="651" customFormat="false" ht="15" hidden="false" customHeight="true" outlineLevel="0" collapsed="false">
      <c r="A651" s="36" t="s">
        <v>1803</v>
      </c>
      <c r="B651" s="37" t="s">
        <v>634</v>
      </c>
      <c r="C651" s="37" t="s">
        <v>358</v>
      </c>
      <c r="D651" s="37" t="s">
        <v>1804</v>
      </c>
      <c r="E651" s="36" t="s">
        <v>79</v>
      </c>
      <c r="F651" s="39" t="s">
        <v>7</v>
      </c>
      <c r="G651" s="36" t="s">
        <v>68</v>
      </c>
      <c r="H651" s="36" t="s">
        <v>68</v>
      </c>
      <c r="I651" s="37" t="n">
        <v>121</v>
      </c>
      <c r="J651" s="37" t="n">
        <v>40</v>
      </c>
      <c r="K651" s="37" t="n">
        <v>6</v>
      </c>
      <c r="L651" s="37" t="n">
        <v>0</v>
      </c>
      <c r="M651" s="37" t="s">
        <v>1622</v>
      </c>
      <c r="N651" s="37" t="n">
        <v>14</v>
      </c>
      <c r="O651" s="37"/>
      <c r="P651" s="37" t="s">
        <v>1805</v>
      </c>
      <c r="Q651" s="37" t="s">
        <v>633</v>
      </c>
      <c r="R651" s="36" t="str">
        <f aca="false">IF(H651="Ya",IF(M651&lt;&gt;"","SUDAH PLOTTING","BELUM PLOTTING"),"-")</f>
        <v>SUDAH PLOTTING</v>
      </c>
      <c r="S651" s="37" t="s">
        <v>206</v>
      </c>
      <c r="T651" s="37"/>
      <c r="U651" s="40" t="s">
        <v>692</v>
      </c>
      <c r="V651" s="40" t="s">
        <v>68</v>
      </c>
    </row>
    <row r="652" customFormat="false" ht="15" hidden="false" customHeight="true" outlineLevel="0" collapsed="false">
      <c r="A652" s="36" t="s">
        <v>1806</v>
      </c>
      <c r="B652" s="37" t="s">
        <v>634</v>
      </c>
      <c r="C652" s="37" t="s">
        <v>358</v>
      </c>
      <c r="D652" s="37" t="s">
        <v>1804</v>
      </c>
      <c r="E652" s="36" t="s">
        <v>88</v>
      </c>
      <c r="F652" s="39" t="s">
        <v>7</v>
      </c>
      <c r="G652" s="36" t="s">
        <v>68</v>
      </c>
      <c r="H652" s="36" t="s">
        <v>68</v>
      </c>
      <c r="I652" s="37" t="n">
        <v>120</v>
      </c>
      <c r="J652" s="37" t="n">
        <v>40</v>
      </c>
      <c r="K652" s="37" t="n">
        <v>1</v>
      </c>
      <c r="L652" s="37" t="n">
        <v>0</v>
      </c>
      <c r="M652" s="37" t="s">
        <v>1780</v>
      </c>
      <c r="N652" s="37" t="n">
        <v>14</v>
      </c>
      <c r="O652" s="37"/>
      <c r="P652" s="37" t="s">
        <v>1805</v>
      </c>
      <c r="Q652" s="37" t="s">
        <v>633</v>
      </c>
      <c r="R652" s="36" t="str">
        <f aca="false">IF(H652="Ya",IF(M652&lt;&gt;"","SUDAH PLOTTING","BELUM PLOTTING"),"-")</f>
        <v>SUDAH PLOTTING</v>
      </c>
      <c r="S652" s="37" t="s">
        <v>58</v>
      </c>
      <c r="T652" s="37"/>
      <c r="U652" s="40" t="s">
        <v>692</v>
      </c>
      <c r="V652" s="40" t="s">
        <v>68</v>
      </c>
    </row>
    <row r="653" customFormat="false" ht="15" hidden="false" customHeight="true" outlineLevel="0" collapsed="false">
      <c r="A653" s="36" t="s">
        <v>1807</v>
      </c>
      <c r="B653" s="37" t="s">
        <v>634</v>
      </c>
      <c r="C653" s="37" t="s">
        <v>358</v>
      </c>
      <c r="D653" s="37" t="s">
        <v>1804</v>
      </c>
      <c r="E653" s="36" t="s">
        <v>92</v>
      </c>
      <c r="F653" s="39" t="s">
        <v>7</v>
      </c>
      <c r="G653" s="36" t="s">
        <v>68</v>
      </c>
      <c r="H653" s="36" t="s">
        <v>68</v>
      </c>
      <c r="I653" s="37" t="n">
        <v>126</v>
      </c>
      <c r="J653" s="37" t="n">
        <v>40</v>
      </c>
      <c r="K653" s="37" t="n">
        <v>1</v>
      </c>
      <c r="L653" s="37" t="n">
        <v>0</v>
      </c>
      <c r="M653" s="37" t="s">
        <v>1628</v>
      </c>
      <c r="N653" s="37" t="n">
        <v>14</v>
      </c>
      <c r="O653" s="37"/>
      <c r="P653" s="37" t="s">
        <v>1805</v>
      </c>
      <c r="Q653" s="37" t="s">
        <v>633</v>
      </c>
      <c r="R653" s="36" t="str">
        <f aca="false">IF(H653="Ya",IF(M653&lt;&gt;"","SUDAH PLOTTING","BELUM PLOTTING"),"-")</f>
        <v>SUDAH PLOTTING</v>
      </c>
      <c r="S653" s="37" t="s">
        <v>229</v>
      </c>
      <c r="T653" s="37"/>
      <c r="U653" s="40" t="s">
        <v>692</v>
      </c>
      <c r="V653" s="41" t="s">
        <v>658</v>
      </c>
    </row>
    <row r="654" customFormat="false" ht="15" hidden="false" customHeight="true" outlineLevel="0" collapsed="false">
      <c r="A654" s="36" t="s">
        <v>1808</v>
      </c>
      <c r="B654" s="37" t="s">
        <v>634</v>
      </c>
      <c r="C654" s="37" t="s">
        <v>358</v>
      </c>
      <c r="D654" s="37" t="s">
        <v>1804</v>
      </c>
      <c r="E654" s="36" t="s">
        <v>97</v>
      </c>
      <c r="F654" s="39" t="s">
        <v>7</v>
      </c>
      <c r="G654" s="36" t="s">
        <v>68</v>
      </c>
      <c r="H654" s="36" t="s">
        <v>68</v>
      </c>
      <c r="I654" s="37" t="n">
        <v>120</v>
      </c>
      <c r="J654" s="37" t="n">
        <v>40</v>
      </c>
      <c r="K654" s="37" t="n">
        <v>3</v>
      </c>
      <c r="L654" s="37" t="n">
        <v>0</v>
      </c>
      <c r="M654" s="37" t="s">
        <v>1622</v>
      </c>
      <c r="N654" s="37" t="n">
        <v>14</v>
      </c>
      <c r="O654" s="37"/>
      <c r="P654" s="37" t="s">
        <v>1805</v>
      </c>
      <c r="Q654" s="37" t="s">
        <v>633</v>
      </c>
      <c r="R654" s="36" t="str">
        <f aca="false">IF(H654="Ya",IF(M654&lt;&gt;"","SUDAH PLOTTING","BELUM PLOTTING"),"-")</f>
        <v>SUDAH PLOTTING</v>
      </c>
      <c r="S654" s="37" t="s">
        <v>206</v>
      </c>
      <c r="T654" s="37"/>
      <c r="U654" s="40" t="s">
        <v>692</v>
      </c>
      <c r="V654" s="40" t="s">
        <v>68</v>
      </c>
    </row>
    <row r="655" customFormat="false" ht="15" hidden="false" customHeight="true" outlineLevel="0" collapsed="false">
      <c r="A655" s="36" t="s">
        <v>1809</v>
      </c>
      <c r="B655" s="37" t="s">
        <v>634</v>
      </c>
      <c r="C655" s="37" t="s">
        <v>358</v>
      </c>
      <c r="D655" s="37" t="s">
        <v>1804</v>
      </c>
      <c r="E655" s="36" t="s">
        <v>103</v>
      </c>
      <c r="F655" s="39" t="s">
        <v>7</v>
      </c>
      <c r="G655" s="36" t="s">
        <v>68</v>
      </c>
      <c r="H655" s="36" t="s">
        <v>68</v>
      </c>
      <c r="I655" s="37" t="n">
        <v>126</v>
      </c>
      <c r="J655" s="37" t="n">
        <v>40</v>
      </c>
      <c r="K655" s="37" t="n">
        <v>2</v>
      </c>
      <c r="L655" s="37" t="n">
        <v>0</v>
      </c>
      <c r="M655" s="37" t="s">
        <v>1783</v>
      </c>
      <c r="N655" s="37" t="n">
        <v>14</v>
      </c>
      <c r="O655" s="37"/>
      <c r="P655" s="37" t="s">
        <v>1805</v>
      </c>
      <c r="Q655" s="37" t="s">
        <v>633</v>
      </c>
      <c r="R655" s="36" t="str">
        <f aca="false">IF(H655="Ya",IF(M655&lt;&gt;"","SUDAH PLOTTING","BELUM PLOTTING"),"-")</f>
        <v>SUDAH PLOTTING</v>
      </c>
      <c r="S655" s="37" t="s">
        <v>206</v>
      </c>
      <c r="T655" s="37"/>
      <c r="U655" s="40" t="s">
        <v>692</v>
      </c>
      <c r="V655" s="40" t="s">
        <v>68</v>
      </c>
    </row>
    <row r="656" customFormat="false" ht="15" hidden="false" customHeight="true" outlineLevel="0" collapsed="false">
      <c r="A656" s="36" t="s">
        <v>1810</v>
      </c>
      <c r="B656" s="37" t="s">
        <v>634</v>
      </c>
      <c r="C656" s="37" t="s">
        <v>358</v>
      </c>
      <c r="D656" s="37" t="s">
        <v>1522</v>
      </c>
      <c r="E656" s="36" t="s">
        <v>79</v>
      </c>
      <c r="F656" s="39" t="s">
        <v>7</v>
      </c>
      <c r="G656" s="36" t="s">
        <v>68</v>
      </c>
      <c r="H656" s="36" t="s">
        <v>68</v>
      </c>
      <c r="I656" s="37" t="n">
        <v>127</v>
      </c>
      <c r="J656" s="37" t="n">
        <v>100</v>
      </c>
      <c r="K656" s="37" t="n">
        <v>5</v>
      </c>
      <c r="L656" s="37" t="n">
        <v>1</v>
      </c>
      <c r="M656" s="37" t="s">
        <v>1811</v>
      </c>
      <c r="N656" s="37" t="n">
        <v>98</v>
      </c>
      <c r="O656" s="37"/>
      <c r="P656" s="37" t="s">
        <v>1812</v>
      </c>
      <c r="Q656" s="37" t="s">
        <v>633</v>
      </c>
      <c r="R656" s="36" t="str">
        <f aca="false">IF(H656="Ya",IF(M656&lt;&gt;"","SUDAH PLOTTING","BELUM PLOTTING"),"-")</f>
        <v>SUDAH PLOTTING</v>
      </c>
      <c r="S656" s="37" t="s">
        <v>58</v>
      </c>
      <c r="T656" s="37"/>
      <c r="U656" s="40" t="s">
        <v>692</v>
      </c>
      <c r="V656" s="40" t="s">
        <v>68</v>
      </c>
    </row>
    <row r="657" customFormat="false" ht="15" hidden="false" customHeight="true" outlineLevel="0" collapsed="false">
      <c r="A657" s="36" t="s">
        <v>1813</v>
      </c>
      <c r="B657" s="37" t="s">
        <v>634</v>
      </c>
      <c r="C657" s="37" t="s">
        <v>358</v>
      </c>
      <c r="D657" s="37" t="s">
        <v>1522</v>
      </c>
      <c r="E657" s="36" t="s">
        <v>88</v>
      </c>
      <c r="F657" s="39" t="s">
        <v>7</v>
      </c>
      <c r="G657" s="36" t="s">
        <v>68</v>
      </c>
      <c r="H657" s="36" t="s">
        <v>68</v>
      </c>
      <c r="I657" s="37" t="n">
        <v>123</v>
      </c>
      <c r="J657" s="37" t="n">
        <v>50</v>
      </c>
      <c r="K657" s="37" t="n">
        <v>2</v>
      </c>
      <c r="L657" s="37" t="n">
        <v>0</v>
      </c>
      <c r="M657" s="37" t="s">
        <v>1616</v>
      </c>
      <c r="N657" s="37" t="n">
        <v>98</v>
      </c>
      <c r="O657" s="37"/>
      <c r="P657" s="37" t="s">
        <v>1812</v>
      </c>
      <c r="Q657" s="37" t="s">
        <v>633</v>
      </c>
      <c r="R657" s="36" t="str">
        <f aca="false">IF(H657="Ya",IF(M657&lt;&gt;"","SUDAH PLOTTING","BELUM PLOTTING"),"-")</f>
        <v>SUDAH PLOTTING</v>
      </c>
      <c r="S657" s="37" t="s">
        <v>229</v>
      </c>
      <c r="T657" s="37"/>
      <c r="U657" s="40" t="s">
        <v>692</v>
      </c>
      <c r="V657" s="41" t="s">
        <v>658</v>
      </c>
    </row>
    <row r="658" customFormat="false" ht="15" hidden="false" customHeight="true" outlineLevel="0" collapsed="false">
      <c r="A658" s="36" t="s">
        <v>1814</v>
      </c>
      <c r="B658" s="37" t="s">
        <v>634</v>
      </c>
      <c r="C658" s="37" t="s">
        <v>358</v>
      </c>
      <c r="D658" s="37" t="s">
        <v>1522</v>
      </c>
      <c r="E658" s="36" t="s">
        <v>92</v>
      </c>
      <c r="F658" s="39" t="s">
        <v>7</v>
      </c>
      <c r="G658" s="36" t="s">
        <v>68</v>
      </c>
      <c r="H658" s="36" t="s">
        <v>68</v>
      </c>
      <c r="I658" s="37" t="n">
        <v>126</v>
      </c>
      <c r="J658" s="37" t="n">
        <v>50</v>
      </c>
      <c r="K658" s="37" t="n">
        <v>1</v>
      </c>
      <c r="L658" s="37" t="n">
        <v>0</v>
      </c>
      <c r="M658" s="37" t="s">
        <v>1760</v>
      </c>
      <c r="N658" s="37" t="n">
        <v>98</v>
      </c>
      <c r="O658" s="37"/>
      <c r="P658" s="37" t="s">
        <v>1812</v>
      </c>
      <c r="Q658" s="37" t="s">
        <v>633</v>
      </c>
      <c r="R658" s="36" t="str">
        <f aca="false">IF(H658="Ya",IF(M658&lt;&gt;"","SUDAH PLOTTING","BELUM PLOTTING"),"-")</f>
        <v>SUDAH PLOTTING</v>
      </c>
      <c r="S658" s="37" t="s">
        <v>206</v>
      </c>
      <c r="T658" s="37"/>
      <c r="U658" s="40" t="s">
        <v>692</v>
      </c>
      <c r="V658" s="40" t="s">
        <v>68</v>
      </c>
    </row>
    <row r="659" customFormat="false" ht="15" hidden="false" customHeight="true" outlineLevel="0" collapsed="false">
      <c r="A659" s="36" t="s">
        <v>1815</v>
      </c>
      <c r="B659" s="37" t="s">
        <v>634</v>
      </c>
      <c r="C659" s="37" t="s">
        <v>358</v>
      </c>
      <c r="D659" s="37" t="s">
        <v>1522</v>
      </c>
      <c r="E659" s="36" t="s">
        <v>97</v>
      </c>
      <c r="F659" s="39" t="s">
        <v>7</v>
      </c>
      <c r="G659" s="36" t="s">
        <v>68</v>
      </c>
      <c r="H659" s="36" t="s">
        <v>68</v>
      </c>
      <c r="I659" s="37" t="n">
        <v>123</v>
      </c>
      <c r="J659" s="37" t="n">
        <v>50</v>
      </c>
      <c r="K659" s="37" t="n">
        <v>1</v>
      </c>
      <c r="L659" s="37" t="n">
        <v>0</v>
      </c>
      <c r="M659" s="37" t="s">
        <v>1811</v>
      </c>
      <c r="N659" s="37" t="n">
        <v>98</v>
      </c>
      <c r="O659" s="37"/>
      <c r="P659" s="37" t="s">
        <v>1812</v>
      </c>
      <c r="Q659" s="37" t="s">
        <v>633</v>
      </c>
      <c r="R659" s="36" t="str">
        <f aca="false">IF(H659="Ya",IF(M659&lt;&gt;"","SUDAH PLOTTING","BELUM PLOTTING"),"-")</f>
        <v>SUDAH PLOTTING</v>
      </c>
      <c r="S659" s="37" t="s">
        <v>58</v>
      </c>
      <c r="T659" s="37"/>
      <c r="U659" s="40" t="s">
        <v>692</v>
      </c>
      <c r="V659" s="40" t="s">
        <v>68</v>
      </c>
    </row>
    <row r="660" customFormat="false" ht="15" hidden="false" customHeight="true" outlineLevel="0" collapsed="false">
      <c r="A660" s="36" t="s">
        <v>1816</v>
      </c>
      <c r="B660" s="37" t="s">
        <v>634</v>
      </c>
      <c r="C660" s="37" t="s">
        <v>358</v>
      </c>
      <c r="D660" s="37" t="s">
        <v>1522</v>
      </c>
      <c r="E660" s="36" t="s">
        <v>103</v>
      </c>
      <c r="F660" s="39" t="s">
        <v>7</v>
      </c>
      <c r="G660" s="36" t="s">
        <v>68</v>
      </c>
      <c r="H660" s="36" t="s">
        <v>68</v>
      </c>
      <c r="I660" s="37" t="n">
        <v>153</v>
      </c>
      <c r="J660" s="37" t="n">
        <v>50</v>
      </c>
      <c r="K660" s="37" t="n">
        <v>5</v>
      </c>
      <c r="L660" s="37" t="n">
        <v>1</v>
      </c>
      <c r="M660" s="37" t="s">
        <v>1772</v>
      </c>
      <c r="N660" s="37" t="n">
        <v>98</v>
      </c>
      <c r="O660" s="37"/>
      <c r="P660" s="37" t="s">
        <v>1812</v>
      </c>
      <c r="Q660" s="37" t="s">
        <v>633</v>
      </c>
      <c r="R660" s="36" t="str">
        <f aca="false">IF(H660="Ya",IF(M660&lt;&gt;"","SUDAH PLOTTING","BELUM PLOTTING"),"-")</f>
        <v>SUDAH PLOTTING</v>
      </c>
      <c r="S660" s="37" t="s">
        <v>58</v>
      </c>
      <c r="T660" s="37"/>
      <c r="U660" s="40" t="s">
        <v>692</v>
      </c>
      <c r="V660" s="40" t="s">
        <v>68</v>
      </c>
    </row>
  </sheetData>
  <autoFilter ref="A1:T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7" min="5" style="1" width="9"/>
    <col collapsed="false" customWidth="true" hidden="false" outlineLevel="0" max="8" min="8" style="1" width="11"/>
    <col collapsed="false" customWidth="true" hidden="false" outlineLevel="0" max="9" min="9" style="1" width="8"/>
    <col collapsed="false" customWidth="true" hidden="false" outlineLevel="0" max="11" min="10" style="1" width="12"/>
    <col collapsed="false" customWidth="true" hidden="false" outlineLevel="0" max="13" min="12" style="1" width="10"/>
    <col collapsed="false" customWidth="true" hidden="false" outlineLevel="0" max="14" min="14" style="1" width="30"/>
  </cols>
  <sheetData>
    <row r="1" customFormat="false" ht="31.5" hidden="false" customHeight="true" outlineLevel="0" collapsed="false">
      <c r="A1" s="35" t="s">
        <v>653</v>
      </c>
      <c r="B1" s="35" t="s">
        <v>36</v>
      </c>
      <c r="C1" s="35" t="s">
        <v>37</v>
      </c>
      <c r="D1" s="35" t="s">
        <v>38</v>
      </c>
      <c r="E1" s="35" t="s">
        <v>1817</v>
      </c>
      <c r="F1" s="35" t="s">
        <v>1818</v>
      </c>
      <c r="G1" s="35" t="s">
        <v>1819</v>
      </c>
      <c r="H1" s="35" t="s">
        <v>1820</v>
      </c>
      <c r="I1" s="35" t="s">
        <v>1821</v>
      </c>
      <c r="J1" s="35" t="s">
        <v>1822</v>
      </c>
      <c r="K1" s="35" t="s">
        <v>1823</v>
      </c>
      <c r="L1" s="35" t="s">
        <v>1824</v>
      </c>
      <c r="M1" s="35" t="s">
        <v>1825</v>
      </c>
      <c r="N1" s="35" t="s">
        <v>1826</v>
      </c>
    </row>
    <row r="2" customFormat="false" ht="15" hidden="false" customHeight="true" outlineLevel="0" collapsed="false">
      <c r="A2" s="37" t="s">
        <v>1436</v>
      </c>
      <c r="B2" s="37" t="s">
        <v>221</v>
      </c>
      <c r="C2" s="37" t="s">
        <v>340</v>
      </c>
      <c r="D2" s="37" t="s">
        <v>1434</v>
      </c>
      <c r="E2" s="37" t="n">
        <v>1</v>
      </c>
      <c r="F2" s="37" t="n">
        <v>0</v>
      </c>
      <c r="G2" s="37" t="n">
        <v>0</v>
      </c>
      <c r="H2" s="37" t="n">
        <v>1217</v>
      </c>
      <c r="I2" s="37" t="n">
        <v>0</v>
      </c>
      <c r="J2" s="37" t="n">
        <v>1218</v>
      </c>
      <c r="K2" s="37" t="n">
        <f aca="false">COUNTIFS('Detail Sub SLS'!$P:$P,A2,'Detail Sub SLS'!$F:$F,"MASUK WILAYAH KERJA")</f>
        <v>10</v>
      </c>
      <c r="L2" s="37" t="n">
        <f aca="false">COUNTIFS('Detail Sub SLS'!$P:$P,A2,'Detail Sub SLS'!$F:$F,"TAMBAHAN")</f>
        <v>0</v>
      </c>
      <c r="M2" s="37" t="n">
        <f aca="false">COUNTIFS('Detail Sub SLS'!$P:$P,A2,'Detail Sub SLS'!$F:$F,"TIDAK IKUT")</f>
        <v>0</v>
      </c>
      <c r="N2" s="37" t="str">
        <f aca="false">IF(K2+L2=0,"TIDAK IKUT SELURUHNYA",IF(M2&gt;0,"SEBAGIAN SUB SLS MASUK","SELURUHNYA MASUK"))</f>
        <v>SELURUHNYA MASUK</v>
      </c>
    </row>
    <row r="3" customFormat="false" ht="15" hidden="false" customHeight="true" outlineLevel="0" collapsed="false">
      <c r="A3" s="37" t="s">
        <v>1468</v>
      </c>
      <c r="B3" s="37" t="s">
        <v>221</v>
      </c>
      <c r="C3" s="37" t="s">
        <v>340</v>
      </c>
      <c r="D3" s="37" t="s">
        <v>1466</v>
      </c>
      <c r="E3" s="37" t="n">
        <v>10</v>
      </c>
      <c r="F3" s="37" t="n">
        <v>5</v>
      </c>
      <c r="G3" s="37" t="n">
        <v>8</v>
      </c>
      <c r="H3" s="37" t="n">
        <v>730</v>
      </c>
      <c r="I3" s="37" t="n">
        <v>4</v>
      </c>
      <c r="J3" s="37" t="n">
        <v>757</v>
      </c>
      <c r="K3" s="37" t="n">
        <f aca="false">COUNTIFS('Detail Sub SLS'!$P:$P,A3,'Detail Sub SLS'!$F:$F,"MASUK WILAYAH KERJA")</f>
        <v>8</v>
      </c>
      <c r="L3" s="37" t="n">
        <f aca="false">COUNTIFS('Detail Sub SLS'!$P:$P,A3,'Detail Sub SLS'!$F:$F,"TAMBAHAN")</f>
        <v>0</v>
      </c>
      <c r="M3" s="37" t="n">
        <f aca="false">COUNTIFS('Detail Sub SLS'!$P:$P,A3,'Detail Sub SLS'!$F:$F,"TIDAK IKUT")</f>
        <v>0</v>
      </c>
      <c r="N3" s="37" t="str">
        <f aca="false">IF(K3+L3=0,"TIDAK IKUT SELURUHNYA",IF(M3&gt;0,"SEBAGIAN SUB SLS MASUK","SELURUHNYA MASUK"))</f>
        <v>SELURUHNYA MASUK</v>
      </c>
    </row>
    <row r="4" customFormat="false" ht="15" hidden="false" customHeight="true" outlineLevel="0" collapsed="false">
      <c r="A4" s="37" t="s">
        <v>1705</v>
      </c>
      <c r="B4" s="37" t="s">
        <v>266</v>
      </c>
      <c r="C4" s="37" t="s">
        <v>267</v>
      </c>
      <c r="D4" s="37" t="s">
        <v>1703</v>
      </c>
      <c r="E4" s="37" t="n">
        <v>0</v>
      </c>
      <c r="F4" s="37" t="n">
        <v>0</v>
      </c>
      <c r="G4" s="37" t="n">
        <v>0</v>
      </c>
      <c r="H4" s="37" t="n">
        <v>102</v>
      </c>
      <c r="I4" s="37" t="n">
        <v>10</v>
      </c>
      <c r="J4" s="37" t="n">
        <v>112</v>
      </c>
      <c r="K4" s="37" t="n">
        <f aca="false">COUNTIFS('Detail Sub SLS'!$P:$P,A4,'Detail Sub SLS'!$F:$F,"MASUK WILAYAH KERJA")</f>
        <v>3</v>
      </c>
      <c r="L4" s="37" t="n">
        <f aca="false">COUNTIFS('Detail Sub SLS'!$P:$P,A4,'Detail Sub SLS'!$F:$F,"TAMBAHAN")</f>
        <v>0</v>
      </c>
      <c r="M4" s="37" t="n">
        <f aca="false">COUNTIFS('Detail Sub SLS'!$P:$P,A4,'Detail Sub SLS'!$F:$F,"TIDAK IKUT")</f>
        <v>0</v>
      </c>
      <c r="N4" s="37" t="str">
        <f aca="false">IF(K4+L4=0,"TIDAK IKUT SELURUHNYA",IF(M4&gt;0,"SEBAGIAN SUB SLS MASUK","SELURUHNYA MASUK"))</f>
        <v>SELURUHNYA MASUK</v>
      </c>
    </row>
    <row r="5" customFormat="false" ht="15" hidden="false" customHeight="true" outlineLevel="0" collapsed="false">
      <c r="A5" s="37" t="s">
        <v>1812</v>
      </c>
      <c r="B5" s="37" t="s">
        <v>634</v>
      </c>
      <c r="C5" s="37" t="s">
        <v>358</v>
      </c>
      <c r="D5" s="37" t="s">
        <v>1522</v>
      </c>
      <c r="E5" s="37" t="n">
        <v>13</v>
      </c>
      <c r="F5" s="37" t="n">
        <v>11</v>
      </c>
      <c r="G5" s="37" t="n">
        <v>1</v>
      </c>
      <c r="H5" s="37" t="n">
        <v>64</v>
      </c>
      <c r="I5" s="37" t="n">
        <v>9</v>
      </c>
      <c r="J5" s="37" t="n">
        <v>98</v>
      </c>
      <c r="K5" s="37" t="n">
        <f aca="false">COUNTIFS('Detail Sub SLS'!$P:$P,A5,'Detail Sub SLS'!$F:$F,"MASUK WILAYAH KERJA")</f>
        <v>5</v>
      </c>
      <c r="L5" s="37" t="n">
        <f aca="false">COUNTIFS('Detail Sub SLS'!$P:$P,A5,'Detail Sub SLS'!$F:$F,"TAMBAHAN")</f>
        <v>0</v>
      </c>
      <c r="M5" s="37" t="n">
        <f aca="false">COUNTIFS('Detail Sub SLS'!$P:$P,A5,'Detail Sub SLS'!$F:$F,"TIDAK IKUT")</f>
        <v>0</v>
      </c>
      <c r="N5" s="37" t="str">
        <f aca="false">IF(K5+L5=0,"TIDAK IKUT SELURUHNYA",IF(M5&gt;0,"SEBAGIAN SUB SLS MASUK","SELURUHNYA MASUK"))</f>
        <v>SELURUHNYA MASUK</v>
      </c>
    </row>
    <row r="6" customFormat="false" ht="15" hidden="false" customHeight="true" outlineLevel="0" collapsed="false">
      <c r="A6" s="37" t="s">
        <v>1719</v>
      </c>
      <c r="B6" s="37" t="s">
        <v>266</v>
      </c>
      <c r="C6" s="37" t="s">
        <v>267</v>
      </c>
      <c r="D6" s="37" t="s">
        <v>1717</v>
      </c>
      <c r="E6" s="37" t="n">
        <v>1</v>
      </c>
      <c r="F6" s="37" t="n">
        <v>1</v>
      </c>
      <c r="G6" s="37" t="n">
        <v>2</v>
      </c>
      <c r="H6" s="37" t="n">
        <v>79</v>
      </c>
      <c r="I6" s="37" t="n">
        <v>6</v>
      </c>
      <c r="J6" s="37" t="n">
        <v>89</v>
      </c>
      <c r="K6" s="37" t="n">
        <f aca="false">COUNTIFS('Detail Sub SLS'!$P:$P,A6,'Detail Sub SLS'!$F:$F,"MASUK WILAYAH KERJA")</f>
        <v>3</v>
      </c>
      <c r="L6" s="37" t="n">
        <f aca="false">COUNTIFS('Detail Sub SLS'!$P:$P,A6,'Detail Sub SLS'!$F:$F,"TAMBAHAN")</f>
        <v>0</v>
      </c>
      <c r="M6" s="37" t="n">
        <f aca="false">COUNTIFS('Detail Sub SLS'!$P:$P,A6,'Detail Sub SLS'!$F:$F,"TIDAK IKUT")</f>
        <v>0</v>
      </c>
      <c r="N6" s="37" t="str">
        <f aca="false">IF(K6+L6=0,"TIDAK IKUT SELURUHNYA",IF(M6&gt;0,"SEBAGIAN SUB SLS MASUK","SELURUHNYA MASUK"))</f>
        <v>SELURUHNYA MASUK</v>
      </c>
    </row>
    <row r="7" customFormat="false" ht="15" hidden="false" customHeight="true" outlineLevel="0" collapsed="false">
      <c r="A7" s="37" t="s">
        <v>1713</v>
      </c>
      <c r="B7" s="37" t="s">
        <v>266</v>
      </c>
      <c r="C7" s="37" t="s">
        <v>267</v>
      </c>
      <c r="D7" s="37" t="s">
        <v>1711</v>
      </c>
      <c r="E7" s="37" t="n">
        <v>2</v>
      </c>
      <c r="F7" s="37" t="n">
        <v>0</v>
      </c>
      <c r="G7" s="37" t="n">
        <v>0</v>
      </c>
      <c r="H7" s="37" t="n">
        <v>78</v>
      </c>
      <c r="I7" s="37" t="n">
        <v>5</v>
      </c>
      <c r="J7" s="37" t="n">
        <v>85</v>
      </c>
      <c r="K7" s="37" t="n">
        <f aca="false">COUNTIFS('Detail Sub SLS'!$P:$P,A7,'Detail Sub SLS'!$F:$F,"MASUK WILAYAH KERJA")</f>
        <v>2</v>
      </c>
      <c r="L7" s="37" t="n">
        <f aca="false">COUNTIFS('Detail Sub SLS'!$P:$P,A7,'Detail Sub SLS'!$F:$F,"TAMBAHAN")</f>
        <v>0</v>
      </c>
      <c r="M7" s="37" t="n">
        <f aca="false">COUNTIFS('Detail Sub SLS'!$P:$P,A7,'Detail Sub SLS'!$F:$F,"TIDAK IKUT")</f>
        <v>0</v>
      </c>
      <c r="N7" s="37" t="str">
        <f aca="false">IF(K7+L7=0,"TIDAK IKUT SELURUHNYA",IF(M7&gt;0,"SEBAGIAN SUB SLS MASUK","SELURUHNYA MASUK"))</f>
        <v>SELURUHNYA MASUK</v>
      </c>
    </row>
    <row r="8" customFormat="false" ht="15" hidden="false" customHeight="true" outlineLevel="0" collapsed="false">
      <c r="A8" s="37" t="s">
        <v>1486</v>
      </c>
      <c r="B8" s="37" t="s">
        <v>221</v>
      </c>
      <c r="C8" s="37" t="s">
        <v>340</v>
      </c>
      <c r="D8" s="37" t="s">
        <v>1484</v>
      </c>
      <c r="E8" s="37" t="n">
        <v>0</v>
      </c>
      <c r="F8" s="37" t="n">
        <v>3</v>
      </c>
      <c r="G8" s="37" t="n">
        <v>3</v>
      </c>
      <c r="H8" s="37" t="n">
        <v>68</v>
      </c>
      <c r="I8" s="37" t="n">
        <v>0</v>
      </c>
      <c r="J8" s="37" t="n">
        <v>74</v>
      </c>
      <c r="K8" s="37" t="n">
        <f aca="false">COUNTIFS('Detail Sub SLS'!$P:$P,A8,'Detail Sub SLS'!$F:$F,"MASUK WILAYAH KERJA")</f>
        <v>2</v>
      </c>
      <c r="L8" s="37" t="n">
        <f aca="false">COUNTIFS('Detail Sub SLS'!$P:$P,A8,'Detail Sub SLS'!$F:$F,"TAMBAHAN")</f>
        <v>0</v>
      </c>
      <c r="M8" s="37" t="n">
        <f aca="false">COUNTIFS('Detail Sub SLS'!$P:$P,A8,'Detail Sub SLS'!$F:$F,"TIDAK IKUT")</f>
        <v>7</v>
      </c>
      <c r="N8" s="37" t="str">
        <f aca="false">IF(K8+L8=0,"TIDAK IKUT SELURUHNYA",IF(M8&gt;0,"SEBAGIAN SUB SLS MASUK","SELURUHNYA MASUK"))</f>
        <v>SEBAGIAN SUB SLS MASUK</v>
      </c>
    </row>
    <row r="9" customFormat="false" ht="15" hidden="false" customHeight="true" outlineLevel="0" collapsed="false">
      <c r="A9" s="37" t="s">
        <v>1733</v>
      </c>
      <c r="B9" s="37" t="s">
        <v>266</v>
      </c>
      <c r="C9" s="37" t="s">
        <v>364</v>
      </c>
      <c r="D9" s="37" t="s">
        <v>1731</v>
      </c>
      <c r="E9" s="37" t="n">
        <v>17</v>
      </c>
      <c r="F9" s="37" t="n">
        <v>8</v>
      </c>
      <c r="G9" s="37" t="n">
        <v>23</v>
      </c>
      <c r="H9" s="37" t="n">
        <v>1</v>
      </c>
      <c r="I9" s="37" t="n">
        <v>15</v>
      </c>
      <c r="J9" s="37" t="n">
        <v>64</v>
      </c>
      <c r="K9" s="37" t="n">
        <f aca="false">COUNTIFS('Detail Sub SLS'!$P:$P,A9,'Detail Sub SLS'!$F:$F,"MASUK WILAYAH KERJA")</f>
        <v>2</v>
      </c>
      <c r="L9" s="37" t="n">
        <f aca="false">COUNTIFS('Detail Sub SLS'!$P:$P,A9,'Detail Sub SLS'!$F:$F,"TAMBAHAN")</f>
        <v>0</v>
      </c>
      <c r="M9" s="37" t="n">
        <f aca="false">COUNTIFS('Detail Sub SLS'!$P:$P,A9,'Detail Sub SLS'!$F:$F,"TIDAK IKUT")</f>
        <v>5</v>
      </c>
      <c r="N9" s="37" t="str">
        <f aca="false">IF(K9+L9=0,"TIDAK IKUT SELURUHNYA",IF(M9&gt;0,"SEBAGIAN SUB SLS MASUK","SELURUHNYA MASUK"))</f>
        <v>SEBAGIAN SUB SLS MASUK</v>
      </c>
    </row>
    <row r="10" customFormat="false" ht="15" hidden="false" customHeight="true" outlineLevel="0" collapsed="false">
      <c r="A10" s="37" t="s">
        <v>1758</v>
      </c>
      <c r="B10" s="37" t="s">
        <v>634</v>
      </c>
      <c r="C10" s="37" t="s">
        <v>400</v>
      </c>
      <c r="D10" s="37" t="s">
        <v>1757</v>
      </c>
      <c r="E10" s="37" t="n">
        <v>21</v>
      </c>
      <c r="F10" s="37" t="n">
        <v>14</v>
      </c>
      <c r="G10" s="37" t="n">
        <v>7</v>
      </c>
      <c r="H10" s="37" t="n">
        <v>11</v>
      </c>
      <c r="I10" s="37" t="n">
        <v>6</v>
      </c>
      <c r="J10" s="37" t="n">
        <v>59</v>
      </c>
      <c r="K10" s="37" t="n">
        <f aca="false">COUNTIFS('Detail Sub SLS'!$P:$P,A10,'Detail Sub SLS'!$F:$F,"MASUK WILAYAH KERJA")</f>
        <v>2</v>
      </c>
      <c r="L10" s="37" t="n">
        <f aca="false">COUNTIFS('Detail Sub SLS'!$P:$P,A10,'Detail Sub SLS'!$F:$F,"TAMBAHAN")</f>
        <v>0</v>
      </c>
      <c r="M10" s="37" t="n">
        <f aca="false">COUNTIFS('Detail Sub SLS'!$P:$P,A10,'Detail Sub SLS'!$F:$F,"TIDAK IKUT")</f>
        <v>0</v>
      </c>
      <c r="N10" s="37" t="str">
        <f aca="false">IF(K10+L10=0,"TIDAK IKUT SELURUHNYA",IF(M10&gt;0,"SEBAGIAN SUB SLS MASUK","SELURUHNYA MASUK"))</f>
        <v>SELURUHNYA MASUK</v>
      </c>
    </row>
    <row r="11" customFormat="false" ht="15" hidden="false" customHeight="true" outlineLevel="0" collapsed="false">
      <c r="A11" s="37" t="s">
        <v>1770</v>
      </c>
      <c r="B11" s="37" t="s">
        <v>634</v>
      </c>
      <c r="C11" s="37" t="s">
        <v>400</v>
      </c>
      <c r="D11" s="37" t="s">
        <v>1769</v>
      </c>
      <c r="E11" s="37" t="n">
        <v>7</v>
      </c>
      <c r="F11" s="37" t="n">
        <v>7</v>
      </c>
      <c r="G11" s="37" t="n">
        <v>13</v>
      </c>
      <c r="H11" s="37" t="n">
        <v>26</v>
      </c>
      <c r="I11" s="37" t="n">
        <v>3</v>
      </c>
      <c r="J11" s="37" t="n">
        <v>56</v>
      </c>
      <c r="K11" s="37" t="n">
        <f aca="false">COUNTIFS('Detail Sub SLS'!$P:$P,A11,'Detail Sub SLS'!$F:$F,"MASUK WILAYAH KERJA")</f>
        <v>1</v>
      </c>
      <c r="L11" s="37" t="n">
        <f aca="false">COUNTIFS('Detail Sub SLS'!$P:$P,A11,'Detail Sub SLS'!$F:$F,"TAMBAHAN")</f>
        <v>0</v>
      </c>
      <c r="M11" s="37" t="n">
        <f aca="false">COUNTIFS('Detail Sub SLS'!$P:$P,A11,'Detail Sub SLS'!$F:$F,"TIDAK IKUT")</f>
        <v>0</v>
      </c>
      <c r="N11" s="37" t="str">
        <f aca="false">IF(K11+L11=0,"TIDAK IKUT SELURUHNYA",IF(M11&gt;0,"SEBAGIAN SUB SLS MASUK","SELURUHNYA MASUK"))</f>
        <v>SELURUHNYA MASUK</v>
      </c>
    </row>
    <row r="12" customFormat="false" ht="15" hidden="false" customHeight="true" outlineLevel="0" collapsed="false">
      <c r="A12" s="37" t="s">
        <v>1681</v>
      </c>
      <c r="B12" s="37" t="s">
        <v>266</v>
      </c>
      <c r="C12" s="37" t="s">
        <v>367</v>
      </c>
      <c r="D12" s="37" t="s">
        <v>1679</v>
      </c>
      <c r="E12" s="37" t="n">
        <v>0</v>
      </c>
      <c r="F12" s="37" t="n">
        <v>0</v>
      </c>
      <c r="G12" s="37" t="n">
        <v>0</v>
      </c>
      <c r="H12" s="37" t="n">
        <v>56</v>
      </c>
      <c r="I12" s="37" t="n">
        <v>0</v>
      </c>
      <c r="J12" s="37" t="n">
        <v>56</v>
      </c>
      <c r="K12" s="37" t="n">
        <f aca="false">COUNTIFS('Detail Sub SLS'!$P:$P,A12,'Detail Sub SLS'!$F:$F,"MASUK WILAYAH KERJA")</f>
        <v>2</v>
      </c>
      <c r="L12" s="37" t="n">
        <f aca="false">COUNTIFS('Detail Sub SLS'!$P:$P,A12,'Detail Sub SLS'!$F:$F,"TAMBAHAN")</f>
        <v>0</v>
      </c>
      <c r="M12" s="37" t="n">
        <f aca="false">COUNTIFS('Detail Sub SLS'!$P:$P,A12,'Detail Sub SLS'!$F:$F,"TIDAK IKUT")</f>
        <v>0</v>
      </c>
      <c r="N12" s="37" t="str">
        <f aca="false">IF(K12+L12=0,"TIDAK IKUT SELURUHNYA",IF(M12&gt;0,"SEBAGIAN SUB SLS MASUK","SELURUHNYA MASUK"))</f>
        <v>SELURUHNYA MASUK</v>
      </c>
    </row>
    <row r="13" customFormat="false" ht="15" hidden="false" customHeight="true" outlineLevel="0" collapsed="false">
      <c r="A13" s="37" t="s">
        <v>1670</v>
      </c>
      <c r="B13" s="37" t="s">
        <v>266</v>
      </c>
      <c r="C13" s="37" t="s">
        <v>367</v>
      </c>
      <c r="D13" s="37" t="s">
        <v>806</v>
      </c>
      <c r="E13" s="37" t="n">
        <v>0</v>
      </c>
      <c r="F13" s="37" t="n">
        <v>0</v>
      </c>
      <c r="G13" s="37" t="n">
        <v>0</v>
      </c>
      <c r="H13" s="37" t="n">
        <v>48</v>
      </c>
      <c r="I13" s="37" t="n">
        <v>0</v>
      </c>
      <c r="J13" s="37" t="n">
        <v>48</v>
      </c>
      <c r="K13" s="37" t="n">
        <f aca="false">COUNTIFS('Detail Sub SLS'!$P:$P,A13,'Detail Sub SLS'!$F:$F,"MASUK WILAYAH KERJA")</f>
        <v>4</v>
      </c>
      <c r="L13" s="37" t="n">
        <f aca="false">COUNTIFS('Detail Sub SLS'!$P:$P,A13,'Detail Sub SLS'!$F:$F,"TAMBAHAN")</f>
        <v>0</v>
      </c>
      <c r="M13" s="37" t="n">
        <f aca="false">COUNTIFS('Detail Sub SLS'!$P:$P,A13,'Detail Sub SLS'!$F:$F,"TIDAK IKUT")</f>
        <v>0</v>
      </c>
      <c r="N13" s="37" t="str">
        <f aca="false">IF(K13+L13=0,"TIDAK IKUT SELURUHNYA",IF(M13&gt;0,"SEBAGIAN SUB SLS MASUK","SELURUHNYA MASUK"))</f>
        <v>SELURUHNYA MASUK</v>
      </c>
    </row>
    <row r="14" customFormat="false" ht="15" hidden="false" customHeight="true" outlineLevel="0" collapsed="false">
      <c r="A14" s="37" t="s">
        <v>1663</v>
      </c>
      <c r="B14" s="37" t="s">
        <v>266</v>
      </c>
      <c r="C14" s="37" t="s">
        <v>367</v>
      </c>
      <c r="D14" s="37" t="s">
        <v>1662</v>
      </c>
      <c r="E14" s="37" t="n">
        <v>0</v>
      </c>
      <c r="F14" s="37" t="n">
        <v>0</v>
      </c>
      <c r="G14" s="37" t="n">
        <v>0</v>
      </c>
      <c r="H14" s="37" t="n">
        <v>38</v>
      </c>
      <c r="I14" s="37" t="n">
        <v>0</v>
      </c>
      <c r="J14" s="37" t="n">
        <v>38</v>
      </c>
      <c r="K14" s="37" t="n">
        <f aca="false">COUNTIFS('Detail Sub SLS'!$P:$P,A14,'Detail Sub SLS'!$F:$F,"MASUK WILAYAH KERJA")</f>
        <v>1</v>
      </c>
      <c r="L14" s="37" t="n">
        <f aca="false">COUNTIFS('Detail Sub SLS'!$P:$P,A14,'Detail Sub SLS'!$F:$F,"TAMBAHAN")</f>
        <v>0</v>
      </c>
      <c r="M14" s="37" t="n">
        <f aca="false">COUNTIFS('Detail Sub SLS'!$P:$P,A14,'Detail Sub SLS'!$F:$F,"TIDAK IKUT")</f>
        <v>0</v>
      </c>
      <c r="N14" s="37" t="str">
        <f aca="false">IF(K14+L14=0,"TIDAK IKUT SELURUHNYA",IF(M14&gt;0,"SEBAGIAN SUB SLS MASUK","SELURUHNYA MASUK"))</f>
        <v>SELURUHNYA MASUK</v>
      </c>
    </row>
    <row r="15" customFormat="false" ht="15" hidden="false" customHeight="true" outlineLevel="0" collapsed="false">
      <c r="A15" s="37" t="s">
        <v>1658</v>
      </c>
      <c r="B15" s="37" t="s">
        <v>266</v>
      </c>
      <c r="C15" s="37" t="s">
        <v>367</v>
      </c>
      <c r="D15" s="37" t="s">
        <v>1656</v>
      </c>
      <c r="E15" s="37" t="n">
        <v>0</v>
      </c>
      <c r="F15" s="37" t="n">
        <v>0</v>
      </c>
      <c r="G15" s="37" t="n">
        <v>0</v>
      </c>
      <c r="H15" s="37" t="n">
        <v>36</v>
      </c>
      <c r="I15" s="37" t="n">
        <v>0</v>
      </c>
      <c r="J15" s="37" t="n">
        <v>36</v>
      </c>
      <c r="K15" s="37" t="n">
        <f aca="false">COUNTIFS('Detail Sub SLS'!$P:$P,A15,'Detail Sub SLS'!$F:$F,"MASUK WILAYAH KERJA")</f>
        <v>2</v>
      </c>
      <c r="L15" s="37" t="n">
        <f aca="false">COUNTIFS('Detail Sub SLS'!$P:$P,A15,'Detail Sub SLS'!$F:$F,"TAMBAHAN")</f>
        <v>0</v>
      </c>
      <c r="M15" s="37" t="n">
        <f aca="false">COUNTIFS('Detail Sub SLS'!$P:$P,A15,'Detail Sub SLS'!$F:$F,"TIDAK IKUT")</f>
        <v>0</v>
      </c>
      <c r="N15" s="37" t="str">
        <f aca="false">IF(K15+L15=0,"TIDAK IKUT SELURUHNYA",IF(M15&gt;0,"SEBAGIAN SUB SLS MASUK","SELURUHNYA MASUK"))</f>
        <v>SELURUHNYA MASUK</v>
      </c>
    </row>
    <row r="16" customFormat="false" ht="15" hidden="false" customHeight="true" outlineLevel="0" collapsed="false">
      <c r="A16" s="37" t="s">
        <v>1689</v>
      </c>
      <c r="B16" s="37" t="s">
        <v>266</v>
      </c>
      <c r="C16" s="37" t="s">
        <v>367</v>
      </c>
      <c r="D16" s="37" t="s">
        <v>1688</v>
      </c>
      <c r="E16" s="37" t="n">
        <v>0</v>
      </c>
      <c r="F16" s="37" t="n">
        <v>0</v>
      </c>
      <c r="G16" s="37" t="n">
        <v>0</v>
      </c>
      <c r="H16" s="37" t="n">
        <v>35</v>
      </c>
      <c r="I16" s="37" t="n">
        <v>0</v>
      </c>
      <c r="J16" s="37" t="n">
        <v>35</v>
      </c>
      <c r="K16" s="37" t="n">
        <f aca="false">COUNTIFS('Detail Sub SLS'!$P:$P,A16,'Detail Sub SLS'!$F:$F,"MASUK WILAYAH KERJA")</f>
        <v>2</v>
      </c>
      <c r="L16" s="37" t="n">
        <f aca="false">COUNTIFS('Detail Sub SLS'!$P:$P,A16,'Detail Sub SLS'!$F:$F,"TAMBAHAN")</f>
        <v>0</v>
      </c>
      <c r="M16" s="37" t="n">
        <f aca="false">COUNTIFS('Detail Sub SLS'!$P:$P,A16,'Detail Sub SLS'!$F:$F,"TIDAK IKUT")</f>
        <v>0</v>
      </c>
      <c r="N16" s="37" t="str">
        <f aca="false">IF(K16+L16=0,"TIDAK IKUT SELURUHNYA",IF(M16&gt;0,"SEBAGIAN SUB SLS MASUK","SELURUHNYA MASUK"))</f>
        <v>SELURUHNYA MASUK</v>
      </c>
    </row>
    <row r="17" customFormat="false" ht="15" hidden="false" customHeight="true" outlineLevel="0" collapsed="false">
      <c r="A17" s="37" t="s">
        <v>1665</v>
      </c>
      <c r="B17" s="37" t="s">
        <v>266</v>
      </c>
      <c r="C17" s="37" t="s">
        <v>367</v>
      </c>
      <c r="D17" s="37" t="s">
        <v>1370</v>
      </c>
      <c r="E17" s="37" t="n">
        <v>0</v>
      </c>
      <c r="F17" s="37" t="n">
        <v>0</v>
      </c>
      <c r="G17" s="37" t="n">
        <v>0</v>
      </c>
      <c r="H17" s="37" t="n">
        <v>33</v>
      </c>
      <c r="I17" s="37" t="n">
        <v>0</v>
      </c>
      <c r="J17" s="37" t="n">
        <v>33</v>
      </c>
      <c r="K17" s="37" t="n">
        <f aca="false">COUNTIFS('Detail Sub SLS'!$P:$P,A17,'Detail Sub SLS'!$F:$F,"MASUK WILAYAH KERJA")</f>
        <v>3</v>
      </c>
      <c r="L17" s="37" t="n">
        <f aca="false">COUNTIFS('Detail Sub SLS'!$P:$P,A17,'Detail Sub SLS'!$F:$F,"TAMBAHAN")</f>
        <v>0</v>
      </c>
      <c r="M17" s="37" t="n">
        <f aca="false">COUNTIFS('Detail Sub SLS'!$P:$P,A17,'Detail Sub SLS'!$F:$F,"TIDAK IKUT")</f>
        <v>0</v>
      </c>
      <c r="N17" s="37" t="str">
        <f aca="false">IF(K17+L17=0,"TIDAK IKUT SELURUHNYA",IF(M17&gt;0,"SEBAGIAN SUB SLS MASUK","SELURUHNYA MASUK"))</f>
        <v>SELURUHNYA MASUK</v>
      </c>
    </row>
    <row r="18" customFormat="false" ht="15" hidden="false" customHeight="true" outlineLevel="0" collapsed="false">
      <c r="A18" s="37" t="s">
        <v>1699</v>
      </c>
      <c r="B18" s="37" t="s">
        <v>266</v>
      </c>
      <c r="C18" s="37" t="s">
        <v>267</v>
      </c>
      <c r="D18" s="37" t="s">
        <v>268</v>
      </c>
      <c r="E18" s="37" t="n">
        <v>1</v>
      </c>
      <c r="F18" s="37" t="n">
        <v>0</v>
      </c>
      <c r="G18" s="37" t="n">
        <v>0</v>
      </c>
      <c r="H18" s="37" t="n">
        <v>30</v>
      </c>
      <c r="I18" s="37" t="n">
        <v>0</v>
      </c>
      <c r="J18" s="37" t="n">
        <v>31</v>
      </c>
      <c r="K18" s="37" t="n">
        <f aca="false">COUNTIFS('Detail Sub SLS'!$P:$P,A18,'Detail Sub SLS'!$F:$F,"MASUK WILAYAH KERJA")</f>
        <v>2</v>
      </c>
      <c r="L18" s="37" t="n">
        <f aca="false">COUNTIFS('Detail Sub SLS'!$P:$P,A18,'Detail Sub SLS'!$F:$F,"TAMBAHAN")</f>
        <v>0</v>
      </c>
      <c r="M18" s="37" t="n">
        <f aca="false">COUNTIFS('Detail Sub SLS'!$P:$P,A18,'Detail Sub SLS'!$F:$F,"TIDAK IKUT")</f>
        <v>0</v>
      </c>
      <c r="N18" s="37" t="str">
        <f aca="false">IF(K18+L18=0,"TIDAK IKUT SELURUHNYA",IF(M18&gt;0,"SEBAGIAN SUB SLS MASUK","SELURUHNYA MASUK"))</f>
        <v>SELURUHNYA MASUK</v>
      </c>
    </row>
    <row r="19" customFormat="false" ht="15" hidden="false" customHeight="true" outlineLevel="0" collapsed="false">
      <c r="A19" s="37" t="s">
        <v>1654</v>
      </c>
      <c r="B19" s="37" t="s">
        <v>266</v>
      </c>
      <c r="C19" s="37" t="s">
        <v>367</v>
      </c>
      <c r="D19" s="37" t="s">
        <v>1652</v>
      </c>
      <c r="E19" s="37" t="n">
        <v>0</v>
      </c>
      <c r="F19" s="37" t="n">
        <v>0</v>
      </c>
      <c r="G19" s="37" t="n">
        <v>0</v>
      </c>
      <c r="H19" s="37" t="n">
        <v>28</v>
      </c>
      <c r="I19" s="37" t="n">
        <v>0</v>
      </c>
      <c r="J19" s="37" t="n">
        <v>28</v>
      </c>
      <c r="K19" s="37" t="n">
        <f aca="false">COUNTIFS('Detail Sub SLS'!$P:$P,A19,'Detail Sub SLS'!$F:$F,"MASUK WILAYAH KERJA")</f>
        <v>1</v>
      </c>
      <c r="L19" s="37" t="n">
        <f aca="false">COUNTIFS('Detail Sub SLS'!$P:$P,A19,'Detail Sub SLS'!$F:$F,"TAMBAHAN")</f>
        <v>0</v>
      </c>
      <c r="M19" s="37" t="n">
        <f aca="false">COUNTIFS('Detail Sub SLS'!$P:$P,A19,'Detail Sub SLS'!$F:$F,"TIDAK IKUT")</f>
        <v>0</v>
      </c>
      <c r="N19" s="37" t="str">
        <f aca="false">IF(K19+L19=0,"TIDAK IKUT SELURUHNYA",IF(M19&gt;0,"SEBAGIAN SUB SLS MASUK","SELURUHNYA MASUK"))</f>
        <v>SELURUHNYA MASUK</v>
      </c>
    </row>
    <row r="20" customFormat="false" ht="15" hidden="false" customHeight="true" outlineLevel="0" collapsed="false">
      <c r="A20" s="37" t="s">
        <v>1767</v>
      </c>
      <c r="B20" s="37" t="s">
        <v>634</v>
      </c>
      <c r="C20" s="37" t="s">
        <v>400</v>
      </c>
      <c r="D20" s="37" t="s">
        <v>1157</v>
      </c>
      <c r="E20" s="37" t="n">
        <v>2</v>
      </c>
      <c r="F20" s="37" t="n">
        <v>2</v>
      </c>
      <c r="G20" s="37" t="n">
        <v>4</v>
      </c>
      <c r="H20" s="37" t="n">
        <v>15</v>
      </c>
      <c r="I20" s="37" t="n">
        <v>2</v>
      </c>
      <c r="J20" s="37" t="n">
        <v>25</v>
      </c>
      <c r="K20" s="37" t="n">
        <f aca="false">COUNTIFS('Detail Sub SLS'!$P:$P,A20,'Detail Sub SLS'!$F:$F,"MASUK WILAYAH KERJA")</f>
        <v>1</v>
      </c>
      <c r="L20" s="37" t="n">
        <f aca="false">COUNTIFS('Detail Sub SLS'!$P:$P,A20,'Detail Sub SLS'!$F:$F,"TAMBAHAN")</f>
        <v>0</v>
      </c>
      <c r="M20" s="37" t="n">
        <f aca="false">COUNTIFS('Detail Sub SLS'!$P:$P,A20,'Detail Sub SLS'!$F:$F,"TIDAK IKUT")</f>
        <v>0</v>
      </c>
      <c r="N20" s="37" t="str">
        <f aca="false">IF(K20+L20=0,"TIDAK IKUT SELURUHNYA",IF(M20&gt;0,"SEBAGIAN SUB SLS MASUK","SELURUHNYA MASUK"))</f>
        <v>SELURUHNYA MASUK</v>
      </c>
    </row>
    <row r="21" customFormat="false" ht="15" hidden="false" customHeight="true" outlineLevel="0" collapsed="false">
      <c r="A21" s="37" t="s">
        <v>882</v>
      </c>
      <c r="B21" s="37" t="s">
        <v>59</v>
      </c>
      <c r="C21" s="37" t="s">
        <v>438</v>
      </c>
      <c r="D21" s="37" t="s">
        <v>806</v>
      </c>
      <c r="E21" s="37" t="n">
        <v>3</v>
      </c>
      <c r="F21" s="37" t="n">
        <v>0</v>
      </c>
      <c r="G21" s="37" t="n">
        <v>13</v>
      </c>
      <c r="H21" s="37" t="n">
        <v>0</v>
      </c>
      <c r="I21" s="37" t="n">
        <v>8</v>
      </c>
      <c r="J21" s="37" t="n">
        <v>24</v>
      </c>
      <c r="K21" s="37" t="n">
        <f aca="false">COUNTIFS('Detail Sub SLS'!$P:$P,A21,'Detail Sub SLS'!$F:$F,"MASUK WILAYAH KERJA")</f>
        <v>5</v>
      </c>
      <c r="L21" s="37" t="n">
        <f aca="false">COUNTIFS('Detail Sub SLS'!$P:$P,A21,'Detail Sub SLS'!$F:$F,"TAMBAHAN")</f>
        <v>0</v>
      </c>
      <c r="M21" s="37" t="n">
        <f aca="false">COUNTIFS('Detail Sub SLS'!$P:$P,A21,'Detail Sub SLS'!$F:$F,"TIDAK IKUT")</f>
        <v>2</v>
      </c>
      <c r="N21" s="37" t="str">
        <f aca="false">IF(K21+L21=0,"TIDAK IKUT SELURUHNYA",IF(M21&gt;0,"SEBAGIAN SUB SLS MASUK","SELURUHNYA MASUK"))</f>
        <v>SEBAGIAN SUB SLS MASUK</v>
      </c>
    </row>
    <row r="22" customFormat="false" ht="15" hidden="false" customHeight="true" outlineLevel="0" collapsed="false">
      <c r="A22" s="37" t="s">
        <v>1773</v>
      </c>
      <c r="B22" s="37" t="s">
        <v>634</v>
      </c>
      <c r="C22" s="37" t="s">
        <v>358</v>
      </c>
      <c r="D22" s="37" t="s">
        <v>1381</v>
      </c>
      <c r="E22" s="37" t="n">
        <v>5</v>
      </c>
      <c r="F22" s="37" t="n">
        <v>0</v>
      </c>
      <c r="G22" s="37" t="n">
        <v>4</v>
      </c>
      <c r="H22" s="37" t="n">
        <v>11</v>
      </c>
      <c r="I22" s="37" t="n">
        <v>1</v>
      </c>
      <c r="J22" s="37" t="n">
        <v>21</v>
      </c>
      <c r="K22" s="37" t="n">
        <f aca="false">COUNTIFS('Detail Sub SLS'!$P:$P,A22,'Detail Sub SLS'!$F:$F,"MASUK WILAYAH KERJA")</f>
        <v>7</v>
      </c>
      <c r="L22" s="37" t="n">
        <f aca="false">COUNTIFS('Detail Sub SLS'!$P:$P,A22,'Detail Sub SLS'!$F:$F,"TAMBAHAN")</f>
        <v>0</v>
      </c>
      <c r="M22" s="37" t="n">
        <f aca="false">COUNTIFS('Detail Sub SLS'!$P:$P,A22,'Detail Sub SLS'!$F:$F,"TIDAK IKUT")</f>
        <v>0</v>
      </c>
      <c r="N22" s="37" t="str">
        <f aca="false">IF(K22+L22=0,"TIDAK IKUT SELURUHNYA",IF(M22&gt;0,"SEBAGIAN SUB SLS MASUK","SELURUHNYA MASUK"))</f>
        <v>SELURUHNYA MASUK</v>
      </c>
    </row>
    <row r="23" customFormat="false" ht="15" hidden="false" customHeight="true" outlineLevel="0" collapsed="false">
      <c r="A23" s="37" t="s">
        <v>1685</v>
      </c>
      <c r="B23" s="37" t="s">
        <v>266</v>
      </c>
      <c r="C23" s="37" t="s">
        <v>367</v>
      </c>
      <c r="D23" s="37" t="s">
        <v>918</v>
      </c>
      <c r="E23" s="37" t="n">
        <v>0</v>
      </c>
      <c r="F23" s="37" t="n">
        <v>0</v>
      </c>
      <c r="G23" s="37" t="n">
        <v>0</v>
      </c>
      <c r="H23" s="37" t="n">
        <v>20</v>
      </c>
      <c r="I23" s="37" t="n">
        <v>0</v>
      </c>
      <c r="J23" s="37" t="n">
        <v>20</v>
      </c>
      <c r="K23" s="37" t="n">
        <f aca="false">COUNTIFS('Detail Sub SLS'!$P:$P,A23,'Detail Sub SLS'!$F:$F,"MASUK WILAYAH KERJA")</f>
        <v>2</v>
      </c>
      <c r="L23" s="37" t="n">
        <f aca="false">COUNTIFS('Detail Sub SLS'!$P:$P,A23,'Detail Sub SLS'!$F:$F,"TAMBAHAN")</f>
        <v>0</v>
      </c>
      <c r="M23" s="37" t="n">
        <f aca="false">COUNTIFS('Detail Sub SLS'!$P:$P,A23,'Detail Sub SLS'!$F:$F,"TIDAK IKUT")</f>
        <v>0</v>
      </c>
      <c r="N23" s="37" t="str">
        <f aca="false">IF(K23+L23=0,"TIDAK IKUT SELURUHNYA",IF(M23&gt;0,"SEBAGIAN SUB SLS MASUK","SELURUHNYA MASUK"))</f>
        <v>SELURUHNYA MASUK</v>
      </c>
    </row>
    <row r="24" customFormat="false" ht="15" hidden="false" customHeight="true" outlineLevel="0" collapsed="false">
      <c r="A24" s="37" t="s">
        <v>1269</v>
      </c>
      <c r="B24" s="37" t="s">
        <v>193</v>
      </c>
      <c r="C24" s="37" t="s">
        <v>349</v>
      </c>
      <c r="D24" s="37" t="s">
        <v>1267</v>
      </c>
      <c r="E24" s="37" t="n">
        <v>0</v>
      </c>
      <c r="F24" s="37" t="n">
        <v>0</v>
      </c>
      <c r="G24" s="37" t="n">
        <v>12</v>
      </c>
      <c r="H24" s="37" t="n">
        <v>0</v>
      </c>
      <c r="I24" s="37" t="n">
        <v>7</v>
      </c>
      <c r="J24" s="37" t="n">
        <v>19</v>
      </c>
      <c r="K24" s="37" t="n">
        <f aca="false">COUNTIFS('Detail Sub SLS'!$P:$P,A24,'Detail Sub SLS'!$F:$F,"MASUK WILAYAH KERJA")</f>
        <v>1</v>
      </c>
      <c r="L24" s="37" t="n">
        <f aca="false">COUNTIFS('Detail Sub SLS'!$P:$P,A24,'Detail Sub SLS'!$F:$F,"TAMBAHAN")</f>
        <v>0</v>
      </c>
      <c r="M24" s="37" t="n">
        <f aca="false">COUNTIFS('Detail Sub SLS'!$P:$P,A24,'Detail Sub SLS'!$F:$F,"TIDAK IKUT")</f>
        <v>2</v>
      </c>
      <c r="N24" s="37" t="str">
        <f aca="false">IF(K24+L24=0,"TIDAK IKUT SELURUHNYA",IF(M24&gt;0,"SEBAGIAN SUB SLS MASUK","SELURUHNYA MASUK"))</f>
        <v>SEBAGIAN SUB SLS MASUK</v>
      </c>
    </row>
    <row r="25" customFormat="false" ht="15" hidden="false" customHeight="true" outlineLevel="0" collapsed="false">
      <c r="A25" s="37" t="s">
        <v>1805</v>
      </c>
      <c r="B25" s="37" t="s">
        <v>634</v>
      </c>
      <c r="C25" s="37" t="s">
        <v>358</v>
      </c>
      <c r="D25" s="37" t="s">
        <v>1804</v>
      </c>
      <c r="E25" s="37" t="n">
        <v>0</v>
      </c>
      <c r="F25" s="37" t="n">
        <v>1</v>
      </c>
      <c r="G25" s="37" t="n">
        <v>7</v>
      </c>
      <c r="H25" s="37" t="n">
        <v>4</v>
      </c>
      <c r="I25" s="37" t="n">
        <v>2</v>
      </c>
      <c r="J25" s="37" t="n">
        <v>14</v>
      </c>
      <c r="K25" s="37" t="n">
        <f aca="false">COUNTIFS('Detail Sub SLS'!$P:$P,A25,'Detail Sub SLS'!$F:$F,"MASUK WILAYAH KERJA")</f>
        <v>5</v>
      </c>
      <c r="L25" s="37" t="n">
        <f aca="false">COUNTIFS('Detail Sub SLS'!$P:$P,A25,'Detail Sub SLS'!$F:$F,"TAMBAHAN")</f>
        <v>0</v>
      </c>
      <c r="M25" s="37" t="n">
        <f aca="false">COUNTIFS('Detail Sub SLS'!$P:$P,A25,'Detail Sub SLS'!$F:$F,"TIDAK IKUT")</f>
        <v>0</v>
      </c>
      <c r="N25" s="37" t="str">
        <f aca="false">IF(K25+L25=0,"TIDAK IKUT SELURUHNYA",IF(M25&gt;0,"SEBAGIAN SUB SLS MASUK","SELURUHNYA MASUK"))</f>
        <v>SELURUHNYA MASUK</v>
      </c>
    </row>
    <row r="26" customFormat="false" ht="15" hidden="false" customHeight="true" outlineLevel="0" collapsed="false">
      <c r="A26" s="37" t="s">
        <v>1428</v>
      </c>
      <c r="B26" s="37" t="s">
        <v>221</v>
      </c>
      <c r="C26" s="37" t="s">
        <v>222</v>
      </c>
      <c r="D26" s="37" t="s">
        <v>1426</v>
      </c>
      <c r="E26" s="37" t="n">
        <v>0</v>
      </c>
      <c r="F26" s="37" t="n">
        <v>3</v>
      </c>
      <c r="G26" s="37" t="n">
        <v>10</v>
      </c>
      <c r="H26" s="37" t="n">
        <v>0</v>
      </c>
      <c r="I26" s="37" t="n">
        <v>1</v>
      </c>
      <c r="J26" s="37" t="n">
        <v>14</v>
      </c>
      <c r="K26" s="37" t="n">
        <f aca="false">COUNTIFS('Detail Sub SLS'!$P:$P,A26,'Detail Sub SLS'!$F:$F,"MASUK WILAYAH KERJA")</f>
        <v>1</v>
      </c>
      <c r="L26" s="37" t="n">
        <f aca="false">COUNTIFS('Detail Sub SLS'!$P:$P,A26,'Detail Sub SLS'!$F:$F,"TAMBAHAN")</f>
        <v>0</v>
      </c>
      <c r="M26" s="37" t="n">
        <f aca="false">COUNTIFS('Detail Sub SLS'!$P:$P,A26,'Detail Sub SLS'!$F:$F,"TIDAK IKUT")</f>
        <v>0</v>
      </c>
      <c r="N26" s="37" t="str">
        <f aca="false">IF(K26+L26=0,"TIDAK IKUT SELURUHNYA",IF(M26&gt;0,"SEBAGIAN SUB SLS MASUK","SELURUHNYA MASUK"))</f>
        <v>SELURUHNYA MASUK</v>
      </c>
    </row>
    <row r="27" customFormat="false" ht="15" hidden="false" customHeight="true" outlineLevel="0" collapsed="false">
      <c r="A27" s="37" t="s">
        <v>1650</v>
      </c>
      <c r="B27" s="37" t="s">
        <v>266</v>
      </c>
      <c r="C27" s="37" t="s">
        <v>367</v>
      </c>
      <c r="D27" s="37" t="s">
        <v>1649</v>
      </c>
      <c r="E27" s="37" t="n">
        <v>0</v>
      </c>
      <c r="F27" s="37" t="n">
        <v>0</v>
      </c>
      <c r="G27" s="37" t="n">
        <v>0</v>
      </c>
      <c r="H27" s="37" t="n">
        <v>12</v>
      </c>
      <c r="I27" s="37" t="n">
        <v>0</v>
      </c>
      <c r="J27" s="37" t="n">
        <v>12</v>
      </c>
      <c r="K27" s="37" t="n">
        <f aca="false">COUNTIFS('Detail Sub SLS'!$P:$P,A27,'Detail Sub SLS'!$F:$F,"MASUK WILAYAH KERJA")</f>
        <v>1</v>
      </c>
      <c r="L27" s="37" t="n">
        <f aca="false">COUNTIFS('Detail Sub SLS'!$P:$P,A27,'Detail Sub SLS'!$F:$F,"TAMBAHAN")</f>
        <v>0</v>
      </c>
      <c r="M27" s="37" t="n">
        <f aca="false">COUNTIFS('Detail Sub SLS'!$P:$P,A27,'Detail Sub SLS'!$F:$F,"TIDAK IKUT")</f>
        <v>0</v>
      </c>
      <c r="N27" s="37" t="str">
        <f aca="false">IF(K27+L27=0,"TIDAK IKUT SELURUHNYA",IF(M27&gt;0,"SEBAGIAN SUB SLS MASUK","SELURUHNYA MASUK"))</f>
        <v>SELURUHNYA MASUK</v>
      </c>
    </row>
    <row r="28" customFormat="false" ht="15" hidden="false" customHeight="true" outlineLevel="0" collapsed="false">
      <c r="A28" s="37" t="s">
        <v>1647</v>
      </c>
      <c r="B28" s="37" t="s">
        <v>266</v>
      </c>
      <c r="C28" s="37" t="s">
        <v>367</v>
      </c>
      <c r="D28" s="37" t="s">
        <v>1646</v>
      </c>
      <c r="E28" s="37" t="n">
        <v>0</v>
      </c>
      <c r="F28" s="37" t="n">
        <v>0</v>
      </c>
      <c r="G28" s="37" t="n">
        <v>0</v>
      </c>
      <c r="H28" s="37" t="n">
        <v>10</v>
      </c>
      <c r="I28" s="37" t="n">
        <v>0</v>
      </c>
      <c r="J28" s="37" t="n">
        <v>10</v>
      </c>
      <c r="K28" s="37" t="n">
        <f aca="false">COUNTIFS('Detail Sub SLS'!$P:$P,A28,'Detail Sub SLS'!$F:$F,"MASUK WILAYAH KERJA")</f>
        <v>1</v>
      </c>
      <c r="L28" s="37" t="n">
        <f aca="false">COUNTIFS('Detail Sub SLS'!$P:$P,A28,'Detail Sub SLS'!$F:$F,"TAMBAHAN")</f>
        <v>0</v>
      </c>
      <c r="M28" s="37" t="n">
        <f aca="false">COUNTIFS('Detail Sub SLS'!$P:$P,A28,'Detail Sub SLS'!$F:$F,"TIDAK IKUT")</f>
        <v>0</v>
      </c>
      <c r="N28" s="37" t="str">
        <f aca="false">IF(K28+L28=0,"TIDAK IKUT SELURUHNYA",IF(M28&gt;0,"SEBAGIAN SUB SLS MASUK","SELURUHNYA MASUK"))</f>
        <v>SELURUHNYA MASUK</v>
      </c>
    </row>
    <row r="29" customFormat="false" ht="15" hidden="false" customHeight="true" outlineLevel="0" collapsed="false">
      <c r="A29" s="37" t="s">
        <v>1694</v>
      </c>
      <c r="B29" s="37" t="s">
        <v>266</v>
      </c>
      <c r="C29" s="37" t="s">
        <v>267</v>
      </c>
      <c r="D29" s="37" t="s">
        <v>1692</v>
      </c>
      <c r="E29" s="37" t="n">
        <v>0</v>
      </c>
      <c r="F29" s="37" t="n">
        <v>0</v>
      </c>
      <c r="G29" s="37" t="n">
        <v>0</v>
      </c>
      <c r="H29" s="37" t="n">
        <v>9</v>
      </c>
      <c r="I29" s="37" t="n">
        <v>0</v>
      </c>
      <c r="J29" s="37" t="n">
        <v>9</v>
      </c>
      <c r="K29" s="37" t="n">
        <f aca="false">COUNTIFS('Detail Sub SLS'!$P:$P,A29,'Detail Sub SLS'!$F:$F,"MASUK WILAYAH KERJA")</f>
        <v>1</v>
      </c>
      <c r="L29" s="37" t="n">
        <f aca="false">COUNTIFS('Detail Sub SLS'!$P:$P,A29,'Detail Sub SLS'!$F:$F,"TAMBAHAN")</f>
        <v>0</v>
      </c>
      <c r="M29" s="37" t="n">
        <f aca="false">COUNTIFS('Detail Sub SLS'!$P:$P,A29,'Detail Sub SLS'!$F:$F,"TIDAK IKUT")</f>
        <v>3</v>
      </c>
      <c r="N29" s="37" t="str">
        <f aca="false">IF(K29+L29=0,"TIDAK IKUT SELURUHNYA",IF(M29&gt;0,"SEBAGIAN SUB SLS MASUK","SELURUHNYA MASUK"))</f>
        <v>SEBAGIAN SUB SLS MASUK</v>
      </c>
    </row>
    <row r="30" customFormat="false" ht="15" hidden="false" customHeight="true" outlineLevel="0" collapsed="false">
      <c r="A30" s="37" t="s">
        <v>1641</v>
      </c>
      <c r="B30" s="37" t="s">
        <v>266</v>
      </c>
      <c r="C30" s="37" t="s">
        <v>367</v>
      </c>
      <c r="D30" s="37" t="s">
        <v>1639</v>
      </c>
      <c r="E30" s="37" t="n">
        <v>0</v>
      </c>
      <c r="F30" s="37" t="n">
        <v>0</v>
      </c>
      <c r="G30" s="37" t="n">
        <v>0</v>
      </c>
      <c r="H30" s="37" t="n">
        <v>9</v>
      </c>
      <c r="I30" s="37" t="n">
        <v>0</v>
      </c>
      <c r="J30" s="37" t="n">
        <v>9</v>
      </c>
      <c r="K30" s="37" t="n">
        <f aca="false">COUNTIFS('Detail Sub SLS'!$P:$P,A30,'Detail Sub SLS'!$F:$F,"MASUK WILAYAH KERJA")</f>
        <v>3</v>
      </c>
      <c r="L30" s="37" t="n">
        <f aca="false">COUNTIFS('Detail Sub SLS'!$P:$P,A30,'Detail Sub SLS'!$F:$F,"TAMBAHAN")</f>
        <v>0</v>
      </c>
      <c r="M30" s="37" t="n">
        <f aca="false">COUNTIFS('Detail Sub SLS'!$P:$P,A30,'Detail Sub SLS'!$F:$F,"TIDAK IKUT")</f>
        <v>0</v>
      </c>
      <c r="N30" s="37" t="str">
        <f aca="false">IF(K30+L30=0,"TIDAK IKUT SELURUHNYA",IF(M30&gt;0,"SEBAGIAN SUB SLS MASUK","SELURUHNYA MASUK"))</f>
        <v>SELURUHNYA MASUK</v>
      </c>
    </row>
    <row r="31" customFormat="false" ht="15" hidden="false" customHeight="true" outlineLevel="0" collapsed="false">
      <c r="A31" s="37" t="s">
        <v>1303</v>
      </c>
      <c r="B31" s="37" t="s">
        <v>193</v>
      </c>
      <c r="C31" s="37" t="s">
        <v>382</v>
      </c>
      <c r="D31" s="37" t="s">
        <v>1301</v>
      </c>
      <c r="E31" s="37" t="n">
        <v>1</v>
      </c>
      <c r="F31" s="37" t="n">
        <v>3</v>
      </c>
      <c r="G31" s="37" t="n">
        <v>2</v>
      </c>
      <c r="H31" s="37" t="n">
        <v>0</v>
      </c>
      <c r="I31" s="37" t="n">
        <v>0</v>
      </c>
      <c r="J31" s="37" t="n">
        <v>6</v>
      </c>
      <c r="K31" s="37" t="n">
        <f aca="false">COUNTIFS('Detail Sub SLS'!$P:$P,A31,'Detail Sub SLS'!$F:$F,"MASUK WILAYAH KERJA")</f>
        <v>3</v>
      </c>
      <c r="L31" s="37" t="n">
        <f aca="false">COUNTIFS('Detail Sub SLS'!$P:$P,A31,'Detail Sub SLS'!$F:$F,"TAMBAHAN")</f>
        <v>0</v>
      </c>
      <c r="M31" s="37" t="n">
        <f aca="false">COUNTIFS('Detail Sub SLS'!$P:$P,A31,'Detail Sub SLS'!$F:$F,"TIDAK IKUT")</f>
        <v>3</v>
      </c>
      <c r="N31" s="37" t="str">
        <f aca="false">IF(K31+L31=0,"TIDAK IKUT SELURUHNYA",IF(M31&gt;0,"SEBAGIAN SUB SLS MASUK","SELURUHNYA MASUK"))</f>
        <v>SEBAGIAN SUB SLS MASUK</v>
      </c>
    </row>
    <row r="32" customFormat="false" ht="15" hidden="false" customHeight="true" outlineLevel="0" collapsed="false">
      <c r="A32" s="37" t="s">
        <v>1764</v>
      </c>
      <c r="B32" s="37" t="s">
        <v>634</v>
      </c>
      <c r="C32" s="37" t="s">
        <v>400</v>
      </c>
      <c r="D32" s="37" t="s">
        <v>1762</v>
      </c>
      <c r="E32" s="37" t="n">
        <v>0</v>
      </c>
      <c r="F32" s="37" t="n">
        <v>0</v>
      </c>
      <c r="G32" s="37" t="n">
        <v>2</v>
      </c>
      <c r="H32" s="37" t="n">
        <v>3</v>
      </c>
      <c r="I32" s="37" t="n">
        <v>0</v>
      </c>
      <c r="J32" s="37" t="n">
        <v>5</v>
      </c>
      <c r="K32" s="37" t="n">
        <f aca="false">COUNTIFS('Detail Sub SLS'!$P:$P,A32,'Detail Sub SLS'!$F:$F,"MASUK WILAYAH KERJA")</f>
        <v>1</v>
      </c>
      <c r="L32" s="37" t="n">
        <f aca="false">COUNTIFS('Detail Sub SLS'!$P:$P,A32,'Detail Sub SLS'!$F:$F,"TAMBAHAN")</f>
        <v>0</v>
      </c>
      <c r="M32" s="37" t="n">
        <f aca="false">COUNTIFS('Detail Sub SLS'!$P:$P,A32,'Detail Sub SLS'!$F:$F,"TIDAK IKUT")</f>
        <v>0</v>
      </c>
      <c r="N32" s="37" t="str">
        <f aca="false">IF(K32+L32=0,"TIDAK IKUT SELURUHNYA",IF(M32&gt;0,"SEBAGIAN SUB SLS MASUK","SELURUHNYA MASUK"))</f>
        <v>SELURUHNYA MASUK</v>
      </c>
    </row>
    <row r="33" customFormat="false" ht="15" hidden="false" customHeight="true" outlineLevel="0" collapsed="false">
      <c r="A33" s="37" t="s">
        <v>1454</v>
      </c>
      <c r="B33" s="37" t="s">
        <v>221</v>
      </c>
      <c r="C33" s="37" t="s">
        <v>340</v>
      </c>
      <c r="D33" s="37" t="s">
        <v>1453</v>
      </c>
      <c r="E33" s="37" t="n">
        <v>0</v>
      </c>
      <c r="F33" s="37" t="n">
        <v>0</v>
      </c>
      <c r="G33" s="37" t="n">
        <v>0</v>
      </c>
      <c r="H33" s="37" t="n">
        <v>5</v>
      </c>
      <c r="I33" s="37" t="n">
        <v>0</v>
      </c>
      <c r="J33" s="37" t="n">
        <v>5</v>
      </c>
      <c r="K33" s="37" t="n">
        <f aca="false">COUNTIFS('Detail Sub SLS'!$P:$P,A33,'Detail Sub SLS'!$F:$F,"MASUK WILAYAH KERJA")</f>
        <v>7</v>
      </c>
      <c r="L33" s="37" t="n">
        <f aca="false">COUNTIFS('Detail Sub SLS'!$P:$P,A33,'Detail Sub SLS'!$F:$F,"TAMBAHAN")</f>
        <v>0</v>
      </c>
      <c r="M33" s="37" t="n">
        <f aca="false">COUNTIFS('Detail Sub SLS'!$P:$P,A33,'Detail Sub SLS'!$F:$F,"TIDAK IKUT")</f>
        <v>2</v>
      </c>
      <c r="N33" s="37" t="str">
        <f aca="false">IF(K33+L33=0,"TIDAK IKUT SELURUHNYA",IF(M33&gt;0,"SEBAGIAN SUB SLS MASUK","SELURUHNYA MASUK"))</f>
        <v>SEBAGIAN SUB SLS MASUK</v>
      </c>
    </row>
    <row r="34" customFormat="false" ht="15" hidden="false" customHeight="true" outlineLevel="0" collapsed="false">
      <c r="A34" s="37" t="s">
        <v>750</v>
      </c>
      <c r="B34" s="37" t="s">
        <v>59</v>
      </c>
      <c r="C34" s="37" t="s">
        <v>60</v>
      </c>
      <c r="D34" s="37" t="s">
        <v>61</v>
      </c>
      <c r="E34" s="37" t="n">
        <v>1</v>
      </c>
      <c r="F34" s="37" t="n">
        <v>0</v>
      </c>
      <c r="G34" s="37" t="n">
        <v>3</v>
      </c>
      <c r="H34" s="37" t="n">
        <v>0</v>
      </c>
      <c r="I34" s="37" t="n">
        <v>0</v>
      </c>
      <c r="J34" s="37" t="n">
        <v>4</v>
      </c>
      <c r="K34" s="37" t="n">
        <f aca="false">COUNTIFS('Detail Sub SLS'!$P:$P,A34,'Detail Sub SLS'!$F:$F,"MASUK WILAYAH KERJA")</f>
        <v>1</v>
      </c>
      <c r="L34" s="37" t="n">
        <f aca="false">COUNTIFS('Detail Sub SLS'!$P:$P,A34,'Detail Sub SLS'!$F:$F,"TAMBAHAN")</f>
        <v>0</v>
      </c>
      <c r="M34" s="37" t="n">
        <f aca="false">COUNTIFS('Detail Sub SLS'!$P:$P,A34,'Detail Sub SLS'!$F:$F,"TIDAK IKUT")</f>
        <v>0</v>
      </c>
      <c r="N34" s="37" t="str">
        <f aca="false">IF(K34+L34=0,"TIDAK IKUT SELURUHNYA",IF(M34&gt;0,"SEBAGIAN SUB SLS MASUK","SELURUHNYA MASUK"))</f>
        <v>SELURUHNYA MASUK</v>
      </c>
    </row>
    <row r="35" customFormat="false" ht="15" hidden="false" customHeight="true" outlineLevel="0" collapsed="false">
      <c r="A35" s="37" t="s">
        <v>899</v>
      </c>
      <c r="B35" s="37" t="s">
        <v>59</v>
      </c>
      <c r="C35" s="37" t="s">
        <v>438</v>
      </c>
      <c r="D35" s="37" t="s">
        <v>897</v>
      </c>
      <c r="E35" s="37" t="n">
        <v>1</v>
      </c>
      <c r="F35" s="37" t="n">
        <v>0</v>
      </c>
      <c r="G35" s="37" t="n">
        <v>2</v>
      </c>
      <c r="H35" s="37" t="n">
        <v>0</v>
      </c>
      <c r="I35" s="37" t="n">
        <v>0</v>
      </c>
      <c r="J35" s="37" t="n">
        <v>3</v>
      </c>
      <c r="K35" s="37" t="n">
        <f aca="false">COUNTIFS('Detail Sub SLS'!$P:$P,A35,'Detail Sub SLS'!$F:$F,"MASUK WILAYAH KERJA")</f>
        <v>1</v>
      </c>
      <c r="L35" s="37" t="n">
        <f aca="false">COUNTIFS('Detail Sub SLS'!$P:$P,A35,'Detail Sub SLS'!$F:$F,"TAMBAHAN")</f>
        <v>0</v>
      </c>
      <c r="M35" s="37" t="n">
        <f aca="false">COUNTIFS('Detail Sub SLS'!$P:$P,A35,'Detail Sub SLS'!$F:$F,"TIDAK IKUT")</f>
        <v>3</v>
      </c>
      <c r="N35" s="37" t="str">
        <f aca="false">IF(K35+L35=0,"TIDAK IKUT SELURUHNYA",IF(M35&gt;0,"SEBAGIAN SUB SLS MASUK","SELURUHNYA MASUK"))</f>
        <v>SEBAGIAN SUB SLS MASUK</v>
      </c>
    </row>
    <row r="36" customFormat="false" ht="15" hidden="false" customHeight="true" outlineLevel="0" collapsed="false">
      <c r="A36" s="37" t="s">
        <v>1119</v>
      </c>
      <c r="B36" s="37" t="s">
        <v>140</v>
      </c>
      <c r="C36" s="37" t="s">
        <v>426</v>
      </c>
      <c r="D36" s="37" t="s">
        <v>1117</v>
      </c>
      <c r="E36" s="37" t="n">
        <v>1</v>
      </c>
      <c r="F36" s="37" t="n">
        <v>0</v>
      </c>
      <c r="G36" s="37" t="n">
        <v>1</v>
      </c>
      <c r="H36" s="37" t="n">
        <v>0</v>
      </c>
      <c r="I36" s="37" t="n">
        <v>0</v>
      </c>
      <c r="J36" s="37" t="n">
        <v>2</v>
      </c>
      <c r="K36" s="37" t="n">
        <f aca="false">COUNTIFS('Detail Sub SLS'!$P:$P,A36,'Detail Sub SLS'!$F:$F,"MASUK WILAYAH KERJA")</f>
        <v>1</v>
      </c>
      <c r="L36" s="37" t="n">
        <f aca="false">COUNTIFS('Detail Sub SLS'!$P:$P,A36,'Detail Sub SLS'!$F:$F,"TAMBAHAN")</f>
        <v>0</v>
      </c>
      <c r="M36" s="37" t="n">
        <f aca="false">COUNTIFS('Detail Sub SLS'!$P:$P,A36,'Detail Sub SLS'!$F:$F,"TIDAK IKUT")</f>
        <v>1</v>
      </c>
      <c r="N36" s="37" t="str">
        <f aca="false">IF(K36+L36=0,"TIDAK IKUT SELURUHNYA",IF(M36&gt;0,"SEBAGIAN SUB SLS MASUK","SELURUHNYA MASUK"))</f>
        <v>SEBAGIAN SUB SLS MASUK</v>
      </c>
    </row>
    <row r="37" customFormat="false" ht="15" hidden="false" customHeight="true" outlineLevel="0" collapsed="false">
      <c r="A37" s="37" t="s">
        <v>1430</v>
      </c>
      <c r="B37" s="37" t="s">
        <v>221</v>
      </c>
      <c r="C37" s="37" t="s">
        <v>222</v>
      </c>
      <c r="D37" s="37" t="s">
        <v>1005</v>
      </c>
      <c r="E37" s="37" t="n">
        <v>0</v>
      </c>
      <c r="F37" s="37" t="n">
        <v>0</v>
      </c>
      <c r="G37" s="37" t="n">
        <v>1</v>
      </c>
      <c r="H37" s="37" t="n">
        <v>0</v>
      </c>
      <c r="I37" s="37" t="n">
        <v>1</v>
      </c>
      <c r="J37" s="37" t="n">
        <v>2</v>
      </c>
      <c r="K37" s="37" t="n">
        <f aca="false">COUNTIFS('Detail Sub SLS'!$P:$P,A37,'Detail Sub SLS'!$F:$F,"MASUK WILAYAH KERJA")</f>
        <v>2</v>
      </c>
      <c r="L37" s="37" t="n">
        <f aca="false">COUNTIFS('Detail Sub SLS'!$P:$P,A37,'Detail Sub SLS'!$F:$F,"TAMBAHAN")</f>
        <v>0</v>
      </c>
      <c r="M37" s="37" t="n">
        <f aca="false">COUNTIFS('Detail Sub SLS'!$P:$P,A37,'Detail Sub SLS'!$F:$F,"TIDAK IKUT")</f>
        <v>0</v>
      </c>
      <c r="N37" s="37" t="str">
        <f aca="false">IF(K37+L37=0,"TIDAK IKUT SELURUHNYA",IF(M37&gt;0,"SEBAGIAN SUB SLS MASUK","SELURUHNYA MASUK"))</f>
        <v>SELURUHNYA MASUK</v>
      </c>
    </row>
    <row r="38" customFormat="false" ht="15" hidden="false" customHeight="true" outlineLevel="0" collapsed="false">
      <c r="A38" s="37" t="s">
        <v>1623</v>
      </c>
      <c r="B38" s="37" t="s">
        <v>266</v>
      </c>
      <c r="C38" s="37" t="s">
        <v>467</v>
      </c>
      <c r="D38" s="37" t="s">
        <v>1621</v>
      </c>
      <c r="E38" s="37" t="n">
        <v>2</v>
      </c>
      <c r="F38" s="37" t="n">
        <v>0</v>
      </c>
      <c r="G38" s="37" t="n">
        <v>0</v>
      </c>
      <c r="H38" s="37" t="n">
        <v>0</v>
      </c>
      <c r="I38" s="37" t="n">
        <v>0</v>
      </c>
      <c r="J38" s="37" t="n">
        <v>2</v>
      </c>
      <c r="K38" s="37" t="n">
        <f aca="false">COUNTIFS('Detail Sub SLS'!$P:$P,A38,'Detail Sub SLS'!$F:$F,"MASUK WILAYAH KERJA")</f>
        <v>0</v>
      </c>
      <c r="L38" s="37" t="n">
        <f aca="false">COUNTIFS('Detail Sub SLS'!$P:$P,A38,'Detail Sub SLS'!$F:$F,"TAMBAHAN")</f>
        <v>2</v>
      </c>
      <c r="M38" s="37" t="n">
        <f aca="false">COUNTIFS('Detail Sub SLS'!$P:$P,A38,'Detail Sub SLS'!$F:$F,"TIDAK IKUT")</f>
        <v>0</v>
      </c>
      <c r="N38" s="37" t="str">
        <f aca="false">IF(K38+L38=0,"TIDAK IKUT SELURUHNYA",IF(M38&gt;0,"SEBAGIAN SUB SLS MASUK","SELURUHNYA MASUK"))</f>
        <v>SELURUHNYA MASUK</v>
      </c>
    </row>
    <row r="39" customFormat="false" ht="15" hidden="false" customHeight="true" outlineLevel="0" collapsed="false">
      <c r="A39" s="37" t="s">
        <v>1499</v>
      </c>
      <c r="B39" s="37" t="s">
        <v>221</v>
      </c>
      <c r="C39" s="37" t="s">
        <v>310</v>
      </c>
      <c r="D39" s="37" t="s">
        <v>1246</v>
      </c>
      <c r="E39" s="37" t="n">
        <v>0</v>
      </c>
      <c r="F39" s="37" t="n">
        <v>2</v>
      </c>
      <c r="G39" s="37" t="n">
        <v>0</v>
      </c>
      <c r="H39" s="37" t="n">
        <v>0</v>
      </c>
      <c r="I39" s="37" t="n">
        <v>0</v>
      </c>
      <c r="J39" s="37" t="n">
        <v>2</v>
      </c>
      <c r="K39" s="37" t="n">
        <f aca="false">COUNTIFS('Detail Sub SLS'!$P:$P,A39,'Detail Sub SLS'!$F:$F,"MASUK WILAYAH KERJA")</f>
        <v>6</v>
      </c>
      <c r="L39" s="37" t="n">
        <f aca="false">COUNTIFS('Detail Sub SLS'!$P:$P,A39,'Detail Sub SLS'!$F:$F,"TAMBAHAN")</f>
        <v>0</v>
      </c>
      <c r="M39" s="37" t="n">
        <f aca="false">COUNTIFS('Detail Sub SLS'!$P:$P,A39,'Detail Sub SLS'!$F:$F,"TIDAK IKUT")</f>
        <v>0</v>
      </c>
      <c r="N39" s="37" t="str">
        <f aca="false">IF(K39+L39=0,"TIDAK IKUT SELURUHNYA",IF(M39&gt;0,"SEBAGIAN SUB SLS MASUK","SELURUHNYA MASUK"))</f>
        <v>SELURUHNYA MASUK</v>
      </c>
    </row>
    <row r="40" customFormat="false" ht="15" hidden="false" customHeight="true" outlineLevel="0" collapsed="false">
      <c r="A40" s="37" t="s">
        <v>1612</v>
      </c>
      <c r="B40" s="37" t="s">
        <v>230</v>
      </c>
      <c r="C40" s="37" t="s">
        <v>244</v>
      </c>
      <c r="D40" s="37" t="s">
        <v>261</v>
      </c>
      <c r="E40" s="37" t="n">
        <v>0</v>
      </c>
      <c r="F40" s="37" t="n">
        <v>0</v>
      </c>
      <c r="G40" s="37" t="n">
        <v>1</v>
      </c>
      <c r="H40" s="37" t="n">
        <v>0</v>
      </c>
      <c r="I40" s="37" t="n">
        <v>0</v>
      </c>
      <c r="J40" s="37" t="n">
        <v>1</v>
      </c>
      <c r="K40" s="37" t="n">
        <f aca="false">COUNTIFS('Detail Sub SLS'!$P:$P,A40,'Detail Sub SLS'!$F:$F,"MASUK WILAYAH KERJA")</f>
        <v>1</v>
      </c>
      <c r="L40" s="37" t="n">
        <f aca="false">COUNTIFS('Detail Sub SLS'!$P:$P,A40,'Detail Sub SLS'!$F:$F,"TAMBAHAN")</f>
        <v>0</v>
      </c>
      <c r="M40" s="37" t="n">
        <f aca="false">COUNTIFS('Detail Sub SLS'!$P:$P,A40,'Detail Sub SLS'!$F:$F,"TIDAK IKUT")</f>
        <v>0</v>
      </c>
      <c r="N40" s="37" t="str">
        <f aca="false">IF(K40+L40=0,"TIDAK IKUT SELURUHNYA",IF(M40&gt;0,"SEBAGIAN SUB SLS MASUK","SELURUHNYA MASUK"))</f>
        <v>SELURUHNYA MASUK</v>
      </c>
    </row>
    <row r="41" customFormat="false" ht="15" hidden="false" customHeight="true" outlineLevel="0" collapsed="false">
      <c r="A41" s="37" t="s">
        <v>1031</v>
      </c>
      <c r="B41" s="37" t="s">
        <v>140</v>
      </c>
      <c r="C41" s="37" t="s">
        <v>141</v>
      </c>
      <c r="D41" s="37" t="s">
        <v>142</v>
      </c>
      <c r="E41" s="37" t="n">
        <v>0</v>
      </c>
      <c r="F41" s="37" t="n">
        <v>0</v>
      </c>
      <c r="G41" s="37" t="n">
        <v>1</v>
      </c>
      <c r="H41" s="37" t="n">
        <v>0</v>
      </c>
      <c r="I41" s="37" t="n">
        <v>0</v>
      </c>
      <c r="J41" s="37" t="n">
        <v>1</v>
      </c>
      <c r="K41" s="37" t="n">
        <f aca="false">COUNTIFS('Detail Sub SLS'!$P:$P,A41,'Detail Sub SLS'!$F:$F,"MASUK WILAYAH KERJA")</f>
        <v>7</v>
      </c>
      <c r="L41" s="37" t="n">
        <f aca="false">COUNTIFS('Detail Sub SLS'!$P:$P,A41,'Detail Sub SLS'!$F:$F,"TAMBAHAN")</f>
        <v>0</v>
      </c>
      <c r="M41" s="37" t="n">
        <f aca="false">COUNTIFS('Detail Sub SLS'!$P:$P,A41,'Detail Sub SLS'!$F:$F,"TIDAK IKUT")</f>
        <v>0</v>
      </c>
      <c r="N41" s="37" t="str">
        <f aca="false">IF(K41+L41=0,"TIDAK IKUT SELURUHNYA",IF(M41&gt;0,"SEBAGIAN SUB SLS MASUK","SELURUHNYA MASUK"))</f>
        <v>SELURUHNYA MASUK</v>
      </c>
    </row>
    <row r="42" customFormat="false" ht="15" hidden="false" customHeight="true" outlineLevel="0" collapsed="false">
      <c r="A42" s="37" t="s">
        <v>1058</v>
      </c>
      <c r="B42" s="37" t="s">
        <v>140</v>
      </c>
      <c r="C42" s="37" t="s">
        <v>141</v>
      </c>
      <c r="D42" s="37" t="s">
        <v>172</v>
      </c>
      <c r="E42" s="37" t="n">
        <v>1</v>
      </c>
      <c r="F42" s="37" t="n">
        <v>0</v>
      </c>
      <c r="G42" s="37" t="n">
        <v>0</v>
      </c>
      <c r="H42" s="37" t="n">
        <v>0</v>
      </c>
      <c r="I42" s="37" t="n">
        <v>0</v>
      </c>
      <c r="J42" s="37" t="n">
        <v>1</v>
      </c>
      <c r="K42" s="37" t="n">
        <f aca="false">COUNTIFS('Detail Sub SLS'!$P:$P,A42,'Detail Sub SLS'!$F:$F,"MASUK WILAYAH KERJA")</f>
        <v>4</v>
      </c>
      <c r="L42" s="37" t="n">
        <f aca="false">COUNTIFS('Detail Sub SLS'!$P:$P,A42,'Detail Sub SLS'!$F:$F,"TAMBAHAN")</f>
        <v>0</v>
      </c>
      <c r="M42" s="37" t="n">
        <f aca="false">COUNTIFS('Detail Sub SLS'!$P:$P,A42,'Detail Sub SLS'!$F:$F,"TIDAK IKUT")</f>
        <v>0</v>
      </c>
      <c r="N42" s="37" t="str">
        <f aca="false">IF(K42+L42=0,"TIDAK IKUT SELURUHNYA",IF(M42&gt;0,"SEBAGIAN SUB SLS MASUK","SELURUHNYA MASUK"))</f>
        <v>SELURUHNYA MASUK</v>
      </c>
    </row>
    <row r="43" customFormat="false" ht="15" hidden="false" customHeight="true" outlineLevel="0" collapsed="false">
      <c r="A43" s="37" t="s">
        <v>1420</v>
      </c>
      <c r="B43" s="37" t="s">
        <v>221</v>
      </c>
      <c r="C43" s="37" t="s">
        <v>222</v>
      </c>
      <c r="D43" s="37" t="s">
        <v>223</v>
      </c>
      <c r="E43" s="37" t="n">
        <v>0</v>
      </c>
      <c r="F43" s="37" t="n">
        <v>0</v>
      </c>
      <c r="G43" s="37" t="n">
        <v>1</v>
      </c>
      <c r="H43" s="37" t="n">
        <v>0</v>
      </c>
      <c r="I43" s="37" t="n">
        <v>0</v>
      </c>
      <c r="J43" s="37" t="n">
        <v>1</v>
      </c>
      <c r="K43" s="37" t="n">
        <f aca="false">COUNTIFS('Detail Sub SLS'!$P:$P,A43,'Detail Sub SLS'!$F:$F,"MASUK WILAYAH KERJA")</f>
        <v>1</v>
      </c>
      <c r="L43" s="37" t="n">
        <f aca="false">COUNTIFS('Detail Sub SLS'!$P:$P,A43,'Detail Sub SLS'!$F:$F,"TAMBAHAN")</f>
        <v>0</v>
      </c>
      <c r="M43" s="37" t="n">
        <f aca="false">COUNTIFS('Detail Sub SLS'!$P:$P,A43,'Detail Sub SLS'!$F:$F,"TIDAK IKUT")</f>
        <v>0</v>
      </c>
      <c r="N43" s="37" t="str">
        <f aca="false">IF(K43+L43=0,"TIDAK IKUT SELURUHNYA",IF(M43&gt;0,"SEBAGIAN SUB SLS MASUK","SELURUHNYA MASUK"))</f>
        <v>SELURUHNYA MASUK</v>
      </c>
    </row>
    <row r="44" customFormat="false" ht="15" hidden="false" customHeight="true" outlineLevel="0" collapsed="false">
      <c r="A44" s="37" t="s">
        <v>871</v>
      </c>
      <c r="B44" s="37" t="s">
        <v>59</v>
      </c>
      <c r="C44" s="37" t="s">
        <v>77</v>
      </c>
      <c r="D44" s="37" t="s">
        <v>870</v>
      </c>
      <c r="E44" s="37" t="n">
        <v>0</v>
      </c>
      <c r="F44" s="37" t="n">
        <v>0</v>
      </c>
      <c r="G44" s="37" t="n">
        <v>1</v>
      </c>
      <c r="H44" s="37" t="n">
        <v>0</v>
      </c>
      <c r="I44" s="37" t="n">
        <v>0</v>
      </c>
      <c r="J44" s="37" t="n">
        <v>1</v>
      </c>
      <c r="K44" s="37" t="n">
        <f aca="false">COUNTIFS('Detail Sub SLS'!$P:$P,A44,'Detail Sub SLS'!$F:$F,"MASUK WILAYAH KERJA")</f>
        <v>5</v>
      </c>
      <c r="L44" s="37" t="n">
        <f aca="false">COUNTIFS('Detail Sub SLS'!$P:$P,A44,'Detail Sub SLS'!$F:$F,"TAMBAHAN")</f>
        <v>0</v>
      </c>
      <c r="M44" s="37" t="n">
        <f aca="false">COUNTIFS('Detail Sub SLS'!$P:$P,A44,'Detail Sub SLS'!$F:$F,"TIDAK IKUT")</f>
        <v>0</v>
      </c>
      <c r="N44" s="37" t="str">
        <f aca="false">IF(K44+L44=0,"TIDAK IKUT SELURUHNYA",IF(M44&gt;0,"SEBAGIAN SUB SLS MASUK","SELURUHNYA MASUK"))</f>
        <v>SELURUHNYA MASUK</v>
      </c>
    </row>
    <row r="45" customFormat="false" ht="15" hidden="false" customHeight="true" outlineLevel="0" collapsed="false">
      <c r="A45" s="37" t="s">
        <v>798</v>
      </c>
      <c r="B45" s="37" t="s">
        <v>59</v>
      </c>
      <c r="C45" s="37" t="s">
        <v>77</v>
      </c>
      <c r="D45" s="37" t="s">
        <v>78</v>
      </c>
      <c r="E45" s="37" t="n">
        <v>1</v>
      </c>
      <c r="F45" s="37" t="n">
        <v>0</v>
      </c>
      <c r="G45" s="37" t="n">
        <v>0</v>
      </c>
      <c r="H45" s="37" t="n">
        <v>0</v>
      </c>
      <c r="I45" s="37" t="n">
        <v>0</v>
      </c>
      <c r="J45" s="37" t="n">
        <v>1</v>
      </c>
      <c r="K45" s="37" t="n">
        <f aca="false">COUNTIFS('Detail Sub SLS'!$P:$P,A45,'Detail Sub SLS'!$F:$F,"MASUK WILAYAH KERJA")</f>
        <v>6</v>
      </c>
      <c r="L45" s="37" t="n">
        <f aca="false">COUNTIFS('Detail Sub SLS'!$P:$P,A45,'Detail Sub SLS'!$F:$F,"TAMBAHAN")</f>
        <v>0</v>
      </c>
      <c r="M45" s="37" t="n">
        <f aca="false">COUNTIFS('Detail Sub SLS'!$P:$P,A45,'Detail Sub SLS'!$F:$F,"TIDAK IKUT")</f>
        <v>0</v>
      </c>
      <c r="N45" s="37" t="str">
        <f aca="false">IF(K45+L45=0,"TIDAK IKUT SELURUHNYA",IF(M45&gt;0,"SEBAGIAN SUB SLS MASUK","SELURUHNYA MASUK"))</f>
        <v>SELURUHNYA MASUK</v>
      </c>
    </row>
    <row r="46" customFormat="false" ht="15" hidden="false" customHeight="true" outlineLevel="0" collapsed="false">
      <c r="A46" s="37" t="s">
        <v>1582</v>
      </c>
      <c r="B46" s="37" t="s">
        <v>230</v>
      </c>
      <c r="C46" s="37" t="s">
        <v>231</v>
      </c>
      <c r="D46" s="37" t="s">
        <v>232</v>
      </c>
      <c r="E46" s="37" t="n">
        <v>0</v>
      </c>
      <c r="F46" s="37" t="n">
        <v>0</v>
      </c>
      <c r="G46" s="37" t="n">
        <v>1</v>
      </c>
      <c r="H46" s="37" t="n">
        <v>0</v>
      </c>
      <c r="I46" s="37" t="n">
        <v>0</v>
      </c>
      <c r="J46" s="37" t="n">
        <v>1</v>
      </c>
      <c r="K46" s="37" t="n">
        <f aca="false">COUNTIFS('Detail Sub SLS'!$P:$P,A46,'Detail Sub SLS'!$F:$F,"MASUK WILAYAH KERJA")</f>
        <v>2</v>
      </c>
      <c r="L46" s="37" t="n">
        <f aca="false">COUNTIFS('Detail Sub SLS'!$P:$P,A46,'Detail Sub SLS'!$F:$F,"TAMBAHAN")</f>
        <v>0</v>
      </c>
      <c r="M46" s="37" t="n">
        <f aca="false">COUNTIFS('Detail Sub SLS'!$P:$P,A46,'Detail Sub SLS'!$F:$F,"TIDAK IKUT")</f>
        <v>0</v>
      </c>
      <c r="N46" s="37" t="str">
        <f aca="false">IF(K46+L46=0,"TIDAK IKUT SELURUHNYA",IF(M46&gt;0,"SEBAGIAN SUB SLS MASUK","SELURUHNYA MASUK"))</f>
        <v>SELURUHNYA MASUK</v>
      </c>
    </row>
    <row r="47" customFormat="false" ht="15" hidden="false" customHeight="true" outlineLevel="0" collapsed="false">
      <c r="A47" s="37" t="s">
        <v>1165</v>
      </c>
      <c r="B47" s="37" t="s">
        <v>193</v>
      </c>
      <c r="C47" s="37" t="s">
        <v>194</v>
      </c>
      <c r="D47" s="37" t="s">
        <v>195</v>
      </c>
      <c r="E47" s="37" t="n">
        <v>0</v>
      </c>
      <c r="F47" s="37" t="n">
        <v>0</v>
      </c>
      <c r="G47" s="37" t="n">
        <v>1</v>
      </c>
      <c r="H47" s="37" t="n">
        <v>0</v>
      </c>
      <c r="I47" s="37" t="n">
        <v>0</v>
      </c>
      <c r="J47" s="37" t="n">
        <v>1</v>
      </c>
      <c r="K47" s="37" t="n">
        <f aca="false">COUNTIFS('Detail Sub SLS'!$P:$P,A47,'Detail Sub SLS'!$F:$F,"MASUK WILAYAH KERJA")</f>
        <v>3</v>
      </c>
      <c r="L47" s="37" t="n">
        <f aca="false">COUNTIFS('Detail Sub SLS'!$P:$P,A47,'Detail Sub SLS'!$F:$F,"TAMBAHAN")</f>
        <v>0</v>
      </c>
      <c r="M47" s="37" t="n">
        <f aca="false">COUNTIFS('Detail Sub SLS'!$P:$P,A47,'Detail Sub SLS'!$F:$F,"TIDAK IKUT")</f>
        <v>0</v>
      </c>
      <c r="N47" s="37" t="str">
        <f aca="false">IF(K47+L47=0,"TIDAK IKUT SELURUHNYA",IF(M47&gt;0,"SEBAGIAN SUB SLS MASUK","SELURUHNYA MASUK"))</f>
        <v>SELURUHNYA MASUK</v>
      </c>
    </row>
    <row r="48" customFormat="false" ht="15" hidden="false" customHeight="true" outlineLevel="0" collapsed="false">
      <c r="A48" s="37" t="s">
        <v>1591</v>
      </c>
      <c r="B48" s="37" t="s">
        <v>230</v>
      </c>
      <c r="C48" s="37" t="s">
        <v>244</v>
      </c>
      <c r="D48" s="37" t="s">
        <v>245</v>
      </c>
      <c r="E48" s="37" t="n">
        <v>0</v>
      </c>
      <c r="F48" s="37" t="n">
        <v>0</v>
      </c>
      <c r="G48" s="37" t="n">
        <v>1</v>
      </c>
      <c r="H48" s="37" t="n">
        <v>0</v>
      </c>
      <c r="I48" s="37" t="n">
        <v>0</v>
      </c>
      <c r="J48" s="37" t="n">
        <v>1</v>
      </c>
      <c r="K48" s="37" t="n">
        <f aca="false">COUNTIFS('Detail Sub SLS'!$P:$P,A48,'Detail Sub SLS'!$F:$F,"MASUK WILAYAH KERJA")</f>
        <v>3</v>
      </c>
      <c r="L48" s="37" t="n">
        <f aca="false">COUNTIFS('Detail Sub SLS'!$P:$P,A48,'Detail Sub SLS'!$F:$F,"TAMBAHAN")</f>
        <v>0</v>
      </c>
      <c r="M48" s="37" t="n">
        <f aca="false">COUNTIFS('Detail Sub SLS'!$P:$P,A48,'Detail Sub SLS'!$F:$F,"TIDAK IKUT")</f>
        <v>0</v>
      </c>
      <c r="N48" s="37" t="str">
        <f aca="false">IF(K48+L48=0,"TIDAK IKUT SELURUHNYA",IF(M48&gt;0,"SEBAGIAN SUB SLS MASUK","SELURUHNYA MASUK"))</f>
        <v>SELURUHNYA MASUK</v>
      </c>
    </row>
    <row r="49" customFormat="false" ht="15" hidden="false" customHeight="true" outlineLevel="0" collapsed="false">
      <c r="A49" s="37" t="s">
        <v>1358</v>
      </c>
      <c r="B49" s="37" t="s">
        <v>213</v>
      </c>
      <c r="C49" s="37" t="s">
        <v>214</v>
      </c>
      <c r="D49" s="37" t="s">
        <v>215</v>
      </c>
      <c r="E49" s="37" t="n">
        <v>0</v>
      </c>
      <c r="F49" s="37" t="n">
        <v>0</v>
      </c>
      <c r="G49" s="37" t="n">
        <v>1</v>
      </c>
      <c r="H49" s="37" t="n">
        <v>0</v>
      </c>
      <c r="I49" s="37" t="n">
        <v>0</v>
      </c>
      <c r="J49" s="37" t="n">
        <v>1</v>
      </c>
      <c r="K49" s="37" t="n">
        <f aca="false">COUNTIFS('Detail Sub SLS'!$P:$P,A49,'Detail Sub SLS'!$F:$F,"MASUK WILAYAH KERJA")</f>
        <v>1</v>
      </c>
      <c r="L49" s="37" t="n">
        <f aca="false">COUNTIFS('Detail Sub SLS'!$P:$P,A49,'Detail Sub SLS'!$F:$F,"TAMBAHAN")</f>
        <v>0</v>
      </c>
      <c r="M49" s="37" t="n">
        <f aca="false">COUNTIFS('Detail Sub SLS'!$P:$P,A49,'Detail Sub SLS'!$F:$F,"TIDAK IKUT")</f>
        <v>0</v>
      </c>
      <c r="N49" s="37" t="str">
        <f aca="false">IF(K49+L49=0,"TIDAK IKUT SELURUHNYA",IF(M49&gt;0,"SEBAGIAN SUB SLS MASUK","SELURUHNYA MASUK"))</f>
        <v>SELURUHNYA MASUK</v>
      </c>
    </row>
    <row r="50" customFormat="false" ht="15" hidden="false" customHeight="true" outlineLevel="0" collapsed="false">
      <c r="A50" s="37" t="s">
        <v>893</v>
      </c>
      <c r="B50" s="37" t="s">
        <v>59</v>
      </c>
      <c r="C50" s="37" t="s">
        <v>438</v>
      </c>
      <c r="D50" s="37" t="s">
        <v>891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1</v>
      </c>
      <c r="J50" s="37" t="n">
        <v>1</v>
      </c>
      <c r="K50" s="37" t="n">
        <f aca="false">COUNTIFS('Detail Sub SLS'!$P:$P,A50,'Detail Sub SLS'!$F:$F,"MASUK WILAYAH KERJA")</f>
        <v>3</v>
      </c>
      <c r="L50" s="37" t="n">
        <f aca="false">COUNTIFS('Detail Sub SLS'!$P:$P,A50,'Detail Sub SLS'!$F:$F,"TAMBAHAN")</f>
        <v>0</v>
      </c>
      <c r="M50" s="37" t="n">
        <f aca="false">COUNTIFS('Detail Sub SLS'!$P:$P,A50,'Detail Sub SLS'!$F:$F,"TIDAK IKUT")</f>
        <v>0</v>
      </c>
      <c r="N50" s="37" t="str">
        <f aca="false">IF(K50+L50=0,"TIDAK IKUT SELURUHNYA",IF(M50&gt;0,"SEBAGIAN SUB SLS MASUK","SELURUHNYA MASUK"))</f>
        <v>SELURUHNYA MASUK</v>
      </c>
    </row>
    <row r="51" customFormat="false" ht="15" hidden="false" customHeight="true" outlineLevel="0" collapsed="false">
      <c r="A51" s="37" t="s">
        <v>1510</v>
      </c>
      <c r="B51" s="37" t="s">
        <v>221</v>
      </c>
      <c r="C51" s="37" t="s">
        <v>310</v>
      </c>
      <c r="D51" s="37" t="s">
        <v>1509</v>
      </c>
      <c r="E51" s="37" t="n">
        <v>1</v>
      </c>
      <c r="F51" s="37" t="n">
        <v>0</v>
      </c>
      <c r="G51" s="37" t="n">
        <v>0</v>
      </c>
      <c r="H51" s="37" t="n">
        <v>0</v>
      </c>
      <c r="I51" s="37" t="n">
        <v>0</v>
      </c>
      <c r="J51" s="37" t="n">
        <v>1</v>
      </c>
      <c r="K51" s="37" t="n">
        <f aca="false">COUNTIFS('Detail Sub SLS'!$P:$P,A51,'Detail Sub SLS'!$F:$F,"MASUK WILAYAH KERJA")</f>
        <v>3</v>
      </c>
      <c r="L51" s="37" t="n">
        <f aca="false">COUNTIFS('Detail Sub SLS'!$P:$P,A51,'Detail Sub SLS'!$F:$F,"TAMBAHAN")</f>
        <v>0</v>
      </c>
      <c r="M51" s="37" t="n">
        <f aca="false">COUNTIFS('Detail Sub SLS'!$P:$P,A51,'Detail Sub SLS'!$F:$F,"TIDAK IKUT")</f>
        <v>0</v>
      </c>
      <c r="N51" s="37" t="str">
        <f aca="false">IF(K51+L51=0,"TIDAK IKUT SELURUHNYA",IF(M51&gt;0,"SEBAGIAN SUB SLS MASUK","SELURUHNYA MASUK"))</f>
        <v>SELURUHNYA MASUK</v>
      </c>
    </row>
    <row r="52" customFormat="false" ht="15" hidden="false" customHeight="true" outlineLevel="0" collapsed="false">
      <c r="A52" s="37" t="s">
        <v>1115</v>
      </c>
      <c r="B52" s="37" t="s">
        <v>140</v>
      </c>
      <c r="C52" s="37" t="s">
        <v>426</v>
      </c>
      <c r="D52" s="37" t="s">
        <v>1114</v>
      </c>
      <c r="E52" s="37" t="n">
        <v>0</v>
      </c>
      <c r="F52" s="37" t="n">
        <v>0</v>
      </c>
      <c r="G52" s="37" t="n">
        <v>1</v>
      </c>
      <c r="H52" s="37" t="n">
        <v>0</v>
      </c>
      <c r="I52" s="37" t="n">
        <v>0</v>
      </c>
      <c r="J52" s="37" t="n">
        <v>1</v>
      </c>
      <c r="K52" s="37" t="n">
        <f aca="false">COUNTIFS('Detail Sub SLS'!$P:$P,A52,'Detail Sub SLS'!$F:$F,"MASUK WILAYAH KERJA")</f>
        <v>1</v>
      </c>
      <c r="L52" s="37" t="n">
        <f aca="false">COUNTIFS('Detail Sub SLS'!$P:$P,A52,'Detail Sub SLS'!$F:$F,"TAMBAHAN")</f>
        <v>0</v>
      </c>
      <c r="M52" s="37" t="n">
        <f aca="false">COUNTIFS('Detail Sub SLS'!$P:$P,A52,'Detail Sub SLS'!$F:$F,"TIDAK IKUT")</f>
        <v>0</v>
      </c>
      <c r="N52" s="37" t="str">
        <f aca="false">IF(K52+L52=0,"TIDAK IKUT SELURUHNYA",IF(M52&gt;0,"SEBAGIAN SUB SLS MASUK","SELURUHNYA MASUK"))</f>
        <v>SELURUHNYA MASUK</v>
      </c>
    </row>
    <row r="53" customFormat="false" ht="15" hidden="false" customHeight="true" outlineLevel="0" collapsed="false">
      <c r="A53" s="37" t="s">
        <v>1333</v>
      </c>
      <c r="B53" s="37" t="s">
        <v>193</v>
      </c>
      <c r="C53" s="37" t="s">
        <v>428</v>
      </c>
      <c r="D53" s="37" t="s">
        <v>1332</v>
      </c>
      <c r="E53" s="37" t="n">
        <v>1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1</v>
      </c>
      <c r="K53" s="37" t="n">
        <f aca="false">COUNTIFS('Detail Sub SLS'!$P:$P,A53,'Detail Sub SLS'!$F:$F,"MASUK WILAYAH KERJA")</f>
        <v>1</v>
      </c>
      <c r="L53" s="37" t="n">
        <f aca="false">COUNTIFS('Detail Sub SLS'!$P:$P,A53,'Detail Sub SLS'!$F:$F,"TAMBAHAN")</f>
        <v>0</v>
      </c>
      <c r="M53" s="37" t="n">
        <f aca="false">COUNTIFS('Detail Sub SLS'!$P:$P,A53,'Detail Sub SLS'!$F:$F,"TIDAK IKUT")</f>
        <v>1</v>
      </c>
      <c r="N53" s="37" t="str">
        <f aca="false">IF(K53+L53=0,"TIDAK IKUT SELURUHNYA",IF(M53&gt;0,"SEBAGIAN SUB SLS MASUK","SELURUHNYA MASUK"))</f>
        <v>SEBAGIAN SUB SLS MASUK</v>
      </c>
    </row>
    <row r="54" customFormat="false" ht="15" hidden="false" customHeight="true" outlineLevel="0" collapsed="false">
      <c r="A54" s="37" t="s">
        <v>1086</v>
      </c>
      <c r="B54" s="37" t="s">
        <v>140</v>
      </c>
      <c r="C54" s="37" t="s">
        <v>426</v>
      </c>
      <c r="D54" s="37" t="s">
        <v>1085</v>
      </c>
      <c r="E54" s="37" t="n">
        <v>0</v>
      </c>
      <c r="F54" s="37" t="n">
        <v>1</v>
      </c>
      <c r="G54" s="37" t="n">
        <v>0</v>
      </c>
      <c r="H54" s="37" t="n">
        <v>0</v>
      </c>
      <c r="I54" s="37" t="n">
        <v>0</v>
      </c>
      <c r="J54" s="37" t="n">
        <v>1</v>
      </c>
      <c r="K54" s="37" t="n">
        <f aca="false">COUNTIFS('Detail Sub SLS'!$P:$P,A54,'Detail Sub SLS'!$F:$F,"MASUK WILAYAH KERJA")</f>
        <v>1</v>
      </c>
      <c r="L54" s="37" t="n">
        <f aca="false">COUNTIFS('Detail Sub SLS'!$P:$P,A54,'Detail Sub SLS'!$F:$F,"TAMBAHAN")</f>
        <v>0</v>
      </c>
      <c r="M54" s="37" t="n">
        <f aca="false">COUNTIFS('Detail Sub SLS'!$P:$P,A54,'Detail Sub SLS'!$F:$F,"TIDAK IKUT")</f>
        <v>2</v>
      </c>
      <c r="N54" s="37" t="str">
        <f aca="false">IF(K54+L54=0,"TIDAK IKUT SELURUHNYA",IF(M54&gt;0,"SEBAGIAN SUB SLS MASUK","SELURUHNYA MASUK"))</f>
        <v>SEBAGIAN SUB SLS MASUK</v>
      </c>
    </row>
    <row r="56" customFormat="false" ht="15" hidden="false" customHeight="true" outlineLevel="0" collapsed="false">
      <c r="A56" s="3" t="s">
        <v>1827</v>
      </c>
    </row>
  </sheetData>
  <autoFilter ref="A1:N54"/>
  <conditionalFormatting sqref="N2:N54">
    <cfRule type="expression" priority="2" aboveAverage="0" equalAverage="0" bottom="0" percent="0" rank="0" text="" dxfId="13">
      <formula>LEFT(N2,5)="TIDAK"</formula>
    </cfRule>
    <cfRule type="expression" priority="3" aboveAverage="0" equalAverage="0" bottom="0" percent="0" rank="0" text="" dxfId="14">
      <formula>LEFT(N2,6)="SEBAGI"</formula>
    </cfRule>
    <cfRule type="expression" priority="4" aboveAverage="0" equalAverage="0" bottom="0" percent="0" rank="0" text="" dxfId="15">
      <formula>LEFT(N2,6)="SELURU"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5" min="4" style="1" width="9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1" min="11" style="1" width="30"/>
    <col collapsed="false" customWidth="true" hidden="false" outlineLevel="0" max="12" min="12" style="1" width="70"/>
  </cols>
  <sheetData>
    <row r="1" customFormat="false" ht="31.5" hidden="false" customHeight="true" outlineLevel="0" collapsed="false">
      <c r="A1" s="35" t="s">
        <v>580</v>
      </c>
      <c r="B1" s="35" t="s">
        <v>36</v>
      </c>
      <c r="C1" s="35" t="s">
        <v>37</v>
      </c>
      <c r="D1" s="35" t="s">
        <v>1828</v>
      </c>
      <c r="E1" s="35" t="s">
        <v>645</v>
      </c>
      <c r="F1" s="35" t="s">
        <v>1829</v>
      </c>
      <c r="G1" s="35" t="s">
        <v>1830</v>
      </c>
      <c r="H1" s="35" t="s">
        <v>1831</v>
      </c>
      <c r="I1" s="35" t="s">
        <v>13</v>
      </c>
      <c r="J1" s="35" t="s">
        <v>1832</v>
      </c>
      <c r="K1" s="35" t="s">
        <v>1833</v>
      </c>
      <c r="L1" s="35" t="s">
        <v>1834</v>
      </c>
    </row>
    <row r="2" customFormat="false" ht="15" hidden="false" customHeight="true" outlineLevel="0" collapsed="false">
      <c r="A2" s="37" t="s">
        <v>1835</v>
      </c>
      <c r="B2" s="37" t="s">
        <v>631</v>
      </c>
      <c r="C2" s="37" t="s">
        <v>540</v>
      </c>
      <c r="D2" s="37" t="n">
        <v>36</v>
      </c>
      <c r="E2" s="37" t="n">
        <v>0</v>
      </c>
      <c r="F2" s="37" t="n">
        <f aca="false">COUNTIFS('Detail Sub SLS'!$Q:$Q,A2,'Detail Sub SLS'!$F:$F,"MASUK WILAYAH KERJA")</f>
        <v>0</v>
      </c>
      <c r="G2" s="37" t="n">
        <f aca="false">COUNTIFS('Detail Sub SLS'!$Q:$Q,A2,'Detail Sub SLS'!$F:$F,"TAMBAHAN")</f>
        <v>0</v>
      </c>
      <c r="H2" s="37" t="n">
        <f aca="false">COUNTIFS('Detail Sub SLS'!$Q:$Q,A2,'Detail Sub SLS'!$F:$F,"TIDAK IKUT")</f>
        <v>0</v>
      </c>
      <c r="I2" s="37" t="n">
        <f aca="false">D2-F2-G2-H2</f>
        <v>36</v>
      </c>
      <c r="J2" s="37" t="n">
        <f aca="false">SUMPRODUCT((LEFT('Jorong Terverifikasi'!$A$2:$A$54,10)=A2)*'Jorong Terverifikasi'!$J$2:$J$54)</f>
        <v>0</v>
      </c>
      <c r="K2" s="37" t="str">
        <f aca="false">IF(F2+G2&gt;0,IF(H2&gt;0,"SEBAGIAN MASUK",IF(G2&gt;0,"MASUK + TAMBAHAN","MASUK SEMUA")),IF(H2&gt;0,"TIDAK IKUT SELURUHNYA","DI LUAR DAFTAR AWAL"))</f>
        <v>DI LUAR DAFTAR AWAL</v>
      </c>
      <c r="L2" s="43"/>
    </row>
    <row r="3" customFormat="false" ht="15" hidden="false" customHeight="true" outlineLevel="0" collapsed="false">
      <c r="A3" s="37" t="s">
        <v>630</v>
      </c>
      <c r="B3" s="37" t="s">
        <v>631</v>
      </c>
      <c r="C3" s="37" t="s">
        <v>444</v>
      </c>
      <c r="D3" s="37" t="n">
        <v>19</v>
      </c>
      <c r="E3" s="37" t="n">
        <v>19</v>
      </c>
      <c r="F3" s="37" t="n">
        <f aca="false">COUNTIFS('Detail Sub SLS'!$Q:$Q,A3,'Detail Sub SLS'!$F:$F,"MASUK WILAYAH KERJA")</f>
        <v>2</v>
      </c>
      <c r="G3" s="37" t="n">
        <f aca="false">COUNTIFS('Detail Sub SLS'!$Q:$Q,A3,'Detail Sub SLS'!$F:$F,"TAMBAHAN")</f>
        <v>0</v>
      </c>
      <c r="H3" s="37" t="n">
        <f aca="false">COUNTIFS('Detail Sub SLS'!$Q:$Q,A3,'Detail Sub SLS'!$F:$F,"TIDAK IKUT")</f>
        <v>17</v>
      </c>
      <c r="I3" s="37" t="n">
        <f aca="false">D3-F3-G3-H3</f>
        <v>0</v>
      </c>
      <c r="J3" s="37" t="n">
        <f aca="false">SUMPRODUCT((LEFT('Jorong Terverifikasi'!$A$2:$A$54,10)=A3)*'Jorong Terverifikasi'!$J$2:$J$54)</f>
        <v>0</v>
      </c>
      <c r="K3" s="37" t="str">
        <f aca="false">IF(F3+G3&gt;0,IF(H3&gt;0,"SEBAGIAN MASUK",IF(G3&gt;0,"MASUK + TAMBAHAN","MASUK SEMUA")),IF(H3&gt;0,"TIDAK IKUT SELURUHNYA","DI LUAR DAFTAR AWAL"))</f>
        <v>SEBAGIAN MASUK</v>
      </c>
      <c r="L3" s="43"/>
    </row>
    <row r="4" customFormat="false" ht="23.25" hidden="false" customHeight="true" outlineLevel="0" collapsed="false">
      <c r="A4" s="37" t="s">
        <v>621</v>
      </c>
      <c r="B4" s="37" t="s">
        <v>59</v>
      </c>
      <c r="C4" s="37" t="s">
        <v>60</v>
      </c>
      <c r="D4" s="37" t="n">
        <v>55</v>
      </c>
      <c r="E4" s="37" t="n">
        <v>55</v>
      </c>
      <c r="F4" s="37" t="n">
        <f aca="false">COUNTIFS('Detail Sub SLS'!$Q:$Q,A4,'Detail Sub SLS'!$F:$F,"MASUK WILAYAH KERJA")</f>
        <v>1</v>
      </c>
      <c r="G4" s="37" t="n">
        <f aca="false">COUNTIFS('Detail Sub SLS'!$Q:$Q,A4,'Detail Sub SLS'!$F:$F,"TAMBAHAN")</f>
        <v>0</v>
      </c>
      <c r="H4" s="37" t="n">
        <f aca="false">COUNTIFS('Detail Sub SLS'!$Q:$Q,A4,'Detail Sub SLS'!$F:$F,"TIDAK IKUT")</f>
        <v>54</v>
      </c>
      <c r="I4" s="37" t="n">
        <f aca="false">D4-F4-G4-H4</f>
        <v>0</v>
      </c>
      <c r="J4" s="37" t="n">
        <f aca="false">SUMPRODUCT((LEFT('Jorong Terverifikasi'!$A$2:$A$54,10)=A4)*'Jorong Terverifikasi'!$J$2:$J$54)</f>
        <v>4</v>
      </c>
      <c r="K4" s="37" t="str">
        <f aca="false">IF(F4+G4&gt;0,IF(H4&gt;0,"SEBAGIAN MASUK",IF(G4&gt;0,"MASUK + TAMBAHAN","MASUK SEMUA")),IF(H4&gt;0,"TIDAK IKUT SELURUHNYA","DI LUAR DAFTAR AWAL"))</f>
        <v>SEBAGIAN MASUK</v>
      </c>
      <c r="L4" s="43" t="s">
        <v>1836</v>
      </c>
    </row>
    <row r="5" customFormat="false" ht="23.25" hidden="false" customHeight="true" outlineLevel="0" collapsed="false">
      <c r="A5" s="37" t="s">
        <v>614</v>
      </c>
      <c r="B5" s="37" t="s">
        <v>59</v>
      </c>
      <c r="C5" s="37" t="s">
        <v>77</v>
      </c>
      <c r="D5" s="37" t="n">
        <v>55</v>
      </c>
      <c r="E5" s="37" t="n">
        <v>55</v>
      </c>
      <c r="F5" s="37" t="n">
        <f aca="false">COUNTIFS('Detail Sub SLS'!$Q:$Q,A5,'Detail Sub SLS'!$F:$F,"MASUK WILAYAH KERJA")</f>
        <v>11</v>
      </c>
      <c r="G5" s="37" t="n">
        <f aca="false">COUNTIFS('Detail Sub SLS'!$Q:$Q,A5,'Detail Sub SLS'!$F:$F,"TAMBAHAN")</f>
        <v>0</v>
      </c>
      <c r="H5" s="37" t="n">
        <f aca="false">COUNTIFS('Detail Sub SLS'!$Q:$Q,A5,'Detail Sub SLS'!$F:$F,"TIDAK IKUT")</f>
        <v>44</v>
      </c>
      <c r="I5" s="37" t="n">
        <f aca="false">D5-F5-G5-H5</f>
        <v>0</v>
      </c>
      <c r="J5" s="37" t="n">
        <f aca="false">SUMPRODUCT((LEFT('Jorong Terverifikasi'!$A$2:$A$54,10)=A5)*'Jorong Terverifikasi'!$J$2:$J$54)</f>
        <v>2</v>
      </c>
      <c r="K5" s="37" t="str">
        <f aca="false">IF(F5+G5&gt;0,IF(H5&gt;0,"SEBAGIAN MASUK",IF(G5&gt;0,"MASUK + TAMBAHAN","MASUK SEMUA")),IF(H5&gt;0,"TIDAK IKUT SELURUHNYA","DI LUAR DAFTAR AWAL"))</f>
        <v>SEBAGIAN MASUK</v>
      </c>
      <c r="L5" s="43" t="s">
        <v>1837</v>
      </c>
    </row>
    <row r="6" customFormat="false" ht="15" hidden="false" customHeight="true" outlineLevel="0" collapsed="false">
      <c r="A6" s="37" t="s">
        <v>1838</v>
      </c>
      <c r="B6" s="37" t="s">
        <v>59</v>
      </c>
      <c r="C6" s="37" t="s">
        <v>1839</v>
      </c>
      <c r="D6" s="37" t="n">
        <v>20</v>
      </c>
      <c r="E6" s="37" t="n">
        <v>0</v>
      </c>
      <c r="F6" s="37" t="n">
        <f aca="false">COUNTIFS('Detail Sub SLS'!$Q:$Q,A6,'Detail Sub SLS'!$F:$F,"MASUK WILAYAH KERJA")</f>
        <v>0</v>
      </c>
      <c r="G6" s="37" t="n">
        <f aca="false">COUNTIFS('Detail Sub SLS'!$Q:$Q,A6,'Detail Sub SLS'!$F:$F,"TAMBAHAN")</f>
        <v>0</v>
      </c>
      <c r="H6" s="37" t="n">
        <f aca="false">COUNTIFS('Detail Sub SLS'!$Q:$Q,A6,'Detail Sub SLS'!$F:$F,"TIDAK IKUT")</f>
        <v>0</v>
      </c>
      <c r="I6" s="37" t="n">
        <f aca="false">D6-F6-G6-H6</f>
        <v>20</v>
      </c>
      <c r="J6" s="37" t="n">
        <f aca="false">SUMPRODUCT((LEFT('Jorong Terverifikasi'!$A$2:$A$54,10)=A6)*'Jorong Terverifikasi'!$J$2:$J$54)</f>
        <v>0</v>
      </c>
      <c r="K6" s="37" t="str">
        <f aca="false">IF(F6+G6&gt;0,IF(H6&gt;0,"SEBAGIAN MASUK",IF(G6&gt;0,"MASUK + TAMBAHAN","MASUK SEMUA")),IF(H6&gt;0,"TIDAK IKUT SELURUHNYA","DI LUAR DAFTAR AWAL"))</f>
        <v>DI LUAR DAFTAR AWAL</v>
      </c>
      <c r="L6" s="43"/>
    </row>
    <row r="7" customFormat="false" ht="15" hidden="false" customHeight="true" outlineLevel="0" collapsed="false">
      <c r="A7" s="37" t="s">
        <v>627</v>
      </c>
      <c r="B7" s="37" t="s">
        <v>59</v>
      </c>
      <c r="C7" s="37" t="s">
        <v>438</v>
      </c>
      <c r="D7" s="37" t="n">
        <v>26</v>
      </c>
      <c r="E7" s="37" t="n">
        <v>26</v>
      </c>
      <c r="F7" s="37" t="n">
        <f aca="false">COUNTIFS('Detail Sub SLS'!$Q:$Q,A7,'Detail Sub SLS'!$F:$F,"MASUK WILAYAH KERJA")</f>
        <v>12</v>
      </c>
      <c r="G7" s="37" t="n">
        <f aca="false">COUNTIFS('Detail Sub SLS'!$Q:$Q,A7,'Detail Sub SLS'!$F:$F,"TAMBAHAN")</f>
        <v>0</v>
      </c>
      <c r="H7" s="37" t="n">
        <f aca="false">COUNTIFS('Detail Sub SLS'!$Q:$Q,A7,'Detail Sub SLS'!$F:$F,"TIDAK IKUT")</f>
        <v>14</v>
      </c>
      <c r="I7" s="37" t="n">
        <f aca="false">D7-F7-G7-H7</f>
        <v>0</v>
      </c>
      <c r="J7" s="37" t="n">
        <f aca="false">SUMPRODUCT((LEFT('Jorong Terverifikasi'!$A$2:$A$54,10)=A7)*'Jorong Terverifikasi'!$J$2:$J$54)</f>
        <v>28</v>
      </c>
      <c r="K7" s="37" t="str">
        <f aca="false">IF(F7+G7&gt;0,IF(H7&gt;0,"SEBAGIAN MASUK",IF(G7&gt;0,"MASUK + TAMBAHAN","MASUK SEMUA")),IF(H7&gt;0,"TIDAK IKUT SELURUHNYA","DI LUAR DAFTAR AWAL"))</f>
        <v>SEBAGIAN MASUK</v>
      </c>
      <c r="L7" s="43"/>
    </row>
    <row r="8" customFormat="false" ht="15" hidden="false" customHeight="true" outlineLevel="0" collapsed="false">
      <c r="A8" s="37" t="s">
        <v>1840</v>
      </c>
      <c r="B8" s="37" t="s">
        <v>1841</v>
      </c>
      <c r="C8" s="37" t="s">
        <v>1842</v>
      </c>
      <c r="D8" s="37" t="n">
        <v>8</v>
      </c>
      <c r="E8" s="37" t="n">
        <v>0</v>
      </c>
      <c r="F8" s="37" t="n">
        <f aca="false">COUNTIFS('Detail Sub SLS'!$Q:$Q,A8,'Detail Sub SLS'!$F:$F,"MASUK WILAYAH KERJA")</f>
        <v>0</v>
      </c>
      <c r="G8" s="37" t="n">
        <f aca="false">COUNTIFS('Detail Sub SLS'!$Q:$Q,A8,'Detail Sub SLS'!$F:$F,"TAMBAHAN")</f>
        <v>0</v>
      </c>
      <c r="H8" s="37" t="n">
        <f aca="false">COUNTIFS('Detail Sub SLS'!$Q:$Q,A8,'Detail Sub SLS'!$F:$F,"TIDAK IKUT")</f>
        <v>0</v>
      </c>
      <c r="I8" s="37" t="n">
        <f aca="false">D8-F8-G8-H8</f>
        <v>8</v>
      </c>
      <c r="J8" s="37" t="n">
        <f aca="false">SUMPRODUCT((LEFT('Jorong Terverifikasi'!$A$2:$A$54,10)=A8)*'Jorong Terverifikasi'!$J$2:$J$54)</f>
        <v>0</v>
      </c>
      <c r="K8" s="37" t="str">
        <f aca="false">IF(F8+G8&gt;0,IF(H8&gt;0,"SEBAGIAN MASUK",IF(G8&gt;0,"MASUK + TAMBAHAN","MASUK SEMUA")),IF(H8&gt;0,"TIDAK IKUT SELURUHNYA","DI LUAR DAFTAR AWAL"))</f>
        <v>DI LUAR DAFTAR AWAL</v>
      </c>
      <c r="L8" s="43"/>
    </row>
    <row r="9" customFormat="false" ht="15" hidden="false" customHeight="true" outlineLevel="0" collapsed="false">
      <c r="A9" s="37" t="s">
        <v>1843</v>
      </c>
      <c r="B9" s="37" t="s">
        <v>1841</v>
      </c>
      <c r="C9" s="37" t="s">
        <v>519</v>
      </c>
      <c r="D9" s="37" t="n">
        <v>14</v>
      </c>
      <c r="E9" s="37" t="n">
        <v>0</v>
      </c>
      <c r="F9" s="37" t="n">
        <f aca="false">COUNTIFS('Detail Sub SLS'!$Q:$Q,A9,'Detail Sub SLS'!$F:$F,"MASUK WILAYAH KERJA")</f>
        <v>0</v>
      </c>
      <c r="G9" s="37" t="n">
        <f aca="false">COUNTIFS('Detail Sub SLS'!$Q:$Q,A9,'Detail Sub SLS'!$F:$F,"TAMBAHAN")</f>
        <v>0</v>
      </c>
      <c r="H9" s="37" t="n">
        <f aca="false">COUNTIFS('Detail Sub SLS'!$Q:$Q,A9,'Detail Sub SLS'!$F:$F,"TIDAK IKUT")</f>
        <v>0</v>
      </c>
      <c r="I9" s="37" t="n">
        <f aca="false">D9-F9-G9-H9</f>
        <v>14</v>
      </c>
      <c r="J9" s="37" t="n">
        <f aca="false">SUMPRODUCT((LEFT('Jorong Terverifikasi'!$A$2:$A$54,10)=A9)*'Jorong Terverifikasi'!$J$2:$J$54)</f>
        <v>0</v>
      </c>
      <c r="K9" s="37" t="str">
        <f aca="false">IF(F9+G9&gt;0,IF(H9&gt;0,"SEBAGIAN MASUK",IF(G9&gt;0,"MASUK + TAMBAHAN","MASUK SEMUA")),IF(H9&gt;0,"TIDAK IKUT SELURUHNYA","DI LUAR DAFTAR AWAL"))</f>
        <v>DI LUAR DAFTAR AWAL</v>
      </c>
      <c r="L9" s="43"/>
    </row>
    <row r="10" customFormat="false" ht="15" hidden="false" customHeight="true" outlineLevel="0" collapsed="false">
      <c r="A10" s="37" t="s">
        <v>1844</v>
      </c>
      <c r="B10" s="37" t="s">
        <v>1841</v>
      </c>
      <c r="C10" s="37" t="s">
        <v>543</v>
      </c>
      <c r="D10" s="37" t="n">
        <v>22</v>
      </c>
      <c r="E10" s="37" t="n">
        <v>0</v>
      </c>
      <c r="F10" s="37" t="n">
        <f aca="false">COUNTIFS('Detail Sub SLS'!$Q:$Q,A10,'Detail Sub SLS'!$F:$F,"MASUK WILAYAH KERJA")</f>
        <v>0</v>
      </c>
      <c r="G10" s="37" t="n">
        <f aca="false">COUNTIFS('Detail Sub SLS'!$Q:$Q,A10,'Detail Sub SLS'!$F:$F,"TAMBAHAN")</f>
        <v>0</v>
      </c>
      <c r="H10" s="37" t="n">
        <f aca="false">COUNTIFS('Detail Sub SLS'!$Q:$Q,A10,'Detail Sub SLS'!$F:$F,"TIDAK IKUT")</f>
        <v>0</v>
      </c>
      <c r="I10" s="37" t="n">
        <f aca="false">D10-F10-G10-H10</f>
        <v>22</v>
      </c>
      <c r="J10" s="37" t="n">
        <f aca="false">SUMPRODUCT((LEFT('Jorong Terverifikasi'!$A$2:$A$54,10)=A10)*'Jorong Terverifikasi'!$J$2:$J$54)</f>
        <v>0</v>
      </c>
      <c r="K10" s="37" t="str">
        <f aca="false">IF(F10+G10&gt;0,IF(H10&gt;0,"SEBAGIAN MASUK",IF(G10&gt;0,"MASUK + TAMBAHAN","MASUK SEMUA")),IF(H10&gt;0,"TIDAK IKUT SELURUHNYA","DI LUAR DAFTAR AWAL"))</f>
        <v>DI LUAR DAFTAR AWAL</v>
      </c>
      <c r="L10" s="43"/>
    </row>
    <row r="11" customFormat="false" ht="15" hidden="false" customHeight="true" outlineLevel="0" collapsed="false">
      <c r="A11" s="37" t="s">
        <v>1845</v>
      </c>
      <c r="B11" s="37" t="s">
        <v>1846</v>
      </c>
      <c r="C11" s="37" t="s">
        <v>523</v>
      </c>
      <c r="D11" s="37" t="n">
        <v>16</v>
      </c>
      <c r="E11" s="37" t="n">
        <v>0</v>
      </c>
      <c r="F11" s="37" t="n">
        <f aca="false">COUNTIFS('Detail Sub SLS'!$Q:$Q,A11,'Detail Sub SLS'!$F:$F,"MASUK WILAYAH KERJA")</f>
        <v>0</v>
      </c>
      <c r="G11" s="37" t="n">
        <f aca="false">COUNTIFS('Detail Sub SLS'!$Q:$Q,A11,'Detail Sub SLS'!$F:$F,"TAMBAHAN")</f>
        <v>0</v>
      </c>
      <c r="H11" s="37" t="n">
        <f aca="false">COUNTIFS('Detail Sub SLS'!$Q:$Q,A11,'Detail Sub SLS'!$F:$F,"TIDAK IKUT")</f>
        <v>0</v>
      </c>
      <c r="I11" s="37" t="n">
        <f aca="false">D11-F11-G11-H11</f>
        <v>16</v>
      </c>
      <c r="J11" s="37" t="n">
        <f aca="false">SUMPRODUCT((LEFT('Jorong Terverifikasi'!$A$2:$A$54,10)=A11)*'Jorong Terverifikasi'!$J$2:$J$54)</f>
        <v>0</v>
      </c>
      <c r="K11" s="37" t="str">
        <f aca="false">IF(F11+G11&gt;0,IF(H11&gt;0,"SEBAGIAN MASUK",IF(G11&gt;0,"MASUK + TAMBAHAN","MASUK SEMUA")),IF(H11&gt;0,"TIDAK IKUT SELURUHNYA","DI LUAR DAFTAR AWAL"))</f>
        <v>DI LUAR DAFTAR AWAL</v>
      </c>
      <c r="L11" s="43" t="s">
        <v>1847</v>
      </c>
    </row>
    <row r="12" customFormat="false" ht="15" hidden="false" customHeight="true" outlineLevel="0" collapsed="false">
      <c r="A12" s="37" t="s">
        <v>1848</v>
      </c>
      <c r="B12" s="37" t="s">
        <v>1846</v>
      </c>
      <c r="C12" s="37" t="s">
        <v>1849</v>
      </c>
      <c r="D12" s="37" t="n">
        <v>6</v>
      </c>
      <c r="E12" s="37" t="n">
        <v>0</v>
      </c>
      <c r="F12" s="37" t="n">
        <f aca="false">COUNTIFS('Detail Sub SLS'!$Q:$Q,A12,'Detail Sub SLS'!$F:$F,"MASUK WILAYAH KERJA")</f>
        <v>0</v>
      </c>
      <c r="G12" s="37" t="n">
        <f aca="false">COUNTIFS('Detail Sub SLS'!$Q:$Q,A12,'Detail Sub SLS'!$F:$F,"TAMBAHAN")</f>
        <v>0</v>
      </c>
      <c r="H12" s="37" t="n">
        <f aca="false">COUNTIFS('Detail Sub SLS'!$Q:$Q,A12,'Detail Sub SLS'!$F:$F,"TIDAK IKUT")</f>
        <v>0</v>
      </c>
      <c r="I12" s="37" t="n">
        <f aca="false">D12-F12-G12-H12</f>
        <v>6</v>
      </c>
      <c r="J12" s="37" t="n">
        <f aca="false">SUMPRODUCT((LEFT('Jorong Terverifikasi'!$A$2:$A$54,10)=A12)*'Jorong Terverifikasi'!$J$2:$J$54)</f>
        <v>0</v>
      </c>
      <c r="K12" s="37" t="str">
        <f aca="false">IF(F12+G12&gt;0,IF(H12&gt;0,"SEBAGIAN MASUK",IF(G12&gt;0,"MASUK + TAMBAHAN","MASUK SEMUA")),IF(H12&gt;0,"TIDAK IKUT SELURUHNYA","DI LUAR DAFTAR AWAL"))</f>
        <v>DI LUAR DAFTAR AWAL</v>
      </c>
      <c r="L12" s="43"/>
    </row>
    <row r="13" customFormat="false" ht="15" hidden="false" customHeight="true" outlineLevel="0" collapsed="false">
      <c r="A13" s="37" t="s">
        <v>1850</v>
      </c>
      <c r="B13" s="37" t="s">
        <v>1846</v>
      </c>
      <c r="C13" s="37" t="s">
        <v>1851</v>
      </c>
      <c r="D13" s="37" t="n">
        <v>3</v>
      </c>
      <c r="E13" s="37" t="n">
        <v>0</v>
      </c>
      <c r="F13" s="37" t="n">
        <f aca="false">COUNTIFS('Detail Sub SLS'!$Q:$Q,A13,'Detail Sub SLS'!$F:$F,"MASUK WILAYAH KERJA")</f>
        <v>0</v>
      </c>
      <c r="G13" s="37" t="n">
        <f aca="false">COUNTIFS('Detail Sub SLS'!$Q:$Q,A13,'Detail Sub SLS'!$F:$F,"TAMBAHAN")</f>
        <v>0</v>
      </c>
      <c r="H13" s="37" t="n">
        <f aca="false">COUNTIFS('Detail Sub SLS'!$Q:$Q,A13,'Detail Sub SLS'!$F:$F,"TIDAK IKUT")</f>
        <v>0</v>
      </c>
      <c r="I13" s="37" t="n">
        <f aca="false">D13-F13-G13-H13</f>
        <v>3</v>
      </c>
      <c r="J13" s="37" t="n">
        <f aca="false">SUMPRODUCT((LEFT('Jorong Terverifikasi'!$A$2:$A$54,10)=A13)*'Jorong Terverifikasi'!$J$2:$J$54)</f>
        <v>0</v>
      </c>
      <c r="K13" s="37" t="str">
        <f aca="false">IF(F13+G13&gt;0,IF(H13&gt;0,"SEBAGIAN MASUK",IF(G13&gt;0,"MASUK + TAMBAHAN","MASUK SEMUA")),IF(H13&gt;0,"TIDAK IKUT SELURUHNYA","DI LUAR DAFTAR AWAL"))</f>
        <v>DI LUAR DAFTAR AWAL</v>
      </c>
      <c r="L13" s="43" t="s">
        <v>1852</v>
      </c>
    </row>
    <row r="14" customFormat="false" ht="15" hidden="false" customHeight="true" outlineLevel="0" collapsed="false">
      <c r="A14" s="37" t="s">
        <v>1853</v>
      </c>
      <c r="B14" s="37" t="s">
        <v>1854</v>
      </c>
      <c r="C14" s="37" t="s">
        <v>1855</v>
      </c>
      <c r="D14" s="37" t="n">
        <v>6</v>
      </c>
      <c r="E14" s="37" t="n">
        <v>0</v>
      </c>
      <c r="F14" s="37" t="n">
        <f aca="false">COUNTIFS('Detail Sub SLS'!$Q:$Q,A14,'Detail Sub SLS'!$F:$F,"MASUK WILAYAH KERJA")</f>
        <v>0</v>
      </c>
      <c r="G14" s="37" t="n">
        <f aca="false">COUNTIFS('Detail Sub SLS'!$Q:$Q,A14,'Detail Sub SLS'!$F:$F,"TAMBAHAN")</f>
        <v>0</v>
      </c>
      <c r="H14" s="37" t="n">
        <f aca="false">COUNTIFS('Detail Sub SLS'!$Q:$Q,A14,'Detail Sub SLS'!$F:$F,"TIDAK IKUT")</f>
        <v>0</v>
      </c>
      <c r="I14" s="37" t="n">
        <f aca="false">D14-F14-G14-H14</f>
        <v>6</v>
      </c>
      <c r="J14" s="37" t="n">
        <f aca="false">SUMPRODUCT((LEFT('Jorong Terverifikasi'!$A$2:$A$54,10)=A14)*'Jorong Terverifikasi'!$J$2:$J$54)</f>
        <v>0</v>
      </c>
      <c r="K14" s="37" t="str">
        <f aca="false">IF(F14+G14&gt;0,IF(H14&gt;0,"SEBAGIAN MASUK",IF(G14&gt;0,"MASUK + TAMBAHAN","MASUK SEMUA")),IF(H14&gt;0,"TIDAK IKUT SELURUHNYA","DI LUAR DAFTAR AWAL"))</f>
        <v>DI LUAR DAFTAR AWAL</v>
      </c>
      <c r="L14" s="43"/>
    </row>
    <row r="15" customFormat="false" ht="15" hidden="false" customHeight="true" outlineLevel="0" collapsed="false">
      <c r="A15" s="37" t="s">
        <v>1856</v>
      </c>
      <c r="B15" s="37" t="s">
        <v>1854</v>
      </c>
      <c r="C15" s="37" t="s">
        <v>440</v>
      </c>
      <c r="D15" s="37" t="n">
        <v>10</v>
      </c>
      <c r="E15" s="37" t="n">
        <v>0</v>
      </c>
      <c r="F15" s="37" t="n">
        <f aca="false">COUNTIFS('Detail Sub SLS'!$Q:$Q,A15,'Detail Sub SLS'!$F:$F,"MASUK WILAYAH KERJA")</f>
        <v>0</v>
      </c>
      <c r="G15" s="37" t="n">
        <f aca="false">COUNTIFS('Detail Sub SLS'!$Q:$Q,A15,'Detail Sub SLS'!$F:$F,"TAMBAHAN")</f>
        <v>0</v>
      </c>
      <c r="H15" s="37" t="n">
        <f aca="false">COUNTIFS('Detail Sub SLS'!$Q:$Q,A15,'Detail Sub SLS'!$F:$F,"TIDAK IKUT")</f>
        <v>0</v>
      </c>
      <c r="I15" s="37" t="n">
        <f aca="false">D15-F15-G15-H15</f>
        <v>10</v>
      </c>
      <c r="J15" s="37" t="n">
        <f aca="false">SUMPRODUCT((LEFT('Jorong Terverifikasi'!$A$2:$A$54,10)=A15)*'Jorong Terverifikasi'!$J$2:$J$54)</f>
        <v>0</v>
      </c>
      <c r="K15" s="37" t="str">
        <f aca="false">IF(F15+G15&gt;0,IF(H15&gt;0,"SEBAGIAN MASUK",IF(G15&gt;0,"MASUK + TAMBAHAN","MASUK SEMUA")),IF(H15&gt;0,"TIDAK IKUT SELURUHNYA","DI LUAR DAFTAR AWAL"))</f>
        <v>DI LUAR DAFTAR AWAL</v>
      </c>
      <c r="L15" s="43" t="s">
        <v>1857</v>
      </c>
    </row>
    <row r="16" customFormat="false" ht="15" hidden="false" customHeight="true" outlineLevel="0" collapsed="false">
      <c r="A16" s="37" t="s">
        <v>1858</v>
      </c>
      <c r="B16" s="37" t="s">
        <v>1854</v>
      </c>
      <c r="C16" s="37" t="s">
        <v>1859</v>
      </c>
      <c r="D16" s="37" t="n">
        <v>4</v>
      </c>
      <c r="E16" s="37" t="n">
        <v>0</v>
      </c>
      <c r="F16" s="37" t="n">
        <f aca="false">COUNTIFS('Detail Sub SLS'!$Q:$Q,A16,'Detail Sub SLS'!$F:$F,"MASUK WILAYAH KERJA")</f>
        <v>0</v>
      </c>
      <c r="G16" s="37" t="n">
        <f aca="false">COUNTIFS('Detail Sub SLS'!$Q:$Q,A16,'Detail Sub SLS'!$F:$F,"TAMBAHAN")</f>
        <v>0</v>
      </c>
      <c r="H16" s="37" t="n">
        <f aca="false">COUNTIFS('Detail Sub SLS'!$Q:$Q,A16,'Detail Sub SLS'!$F:$F,"TIDAK IKUT")</f>
        <v>0</v>
      </c>
      <c r="I16" s="37" t="n">
        <f aca="false">D16-F16-G16-H16</f>
        <v>4</v>
      </c>
      <c r="J16" s="37" t="n">
        <f aca="false">SUMPRODUCT((LEFT('Jorong Terverifikasi'!$A$2:$A$54,10)=A16)*'Jorong Terverifikasi'!$J$2:$J$54)</f>
        <v>0</v>
      </c>
      <c r="K16" s="37" t="str">
        <f aca="false">IF(F16+G16&gt;0,IF(H16&gt;0,"SEBAGIAN MASUK",IF(G16&gt;0,"MASUK + TAMBAHAN","MASUK SEMUA")),IF(H16&gt;0,"TIDAK IKUT SELURUHNYA","DI LUAR DAFTAR AWAL"))</f>
        <v>DI LUAR DAFTAR AWAL</v>
      </c>
      <c r="L16" s="43" t="s">
        <v>1857</v>
      </c>
    </row>
    <row r="17" customFormat="false" ht="15" hidden="false" customHeight="true" outlineLevel="0" collapsed="false">
      <c r="A17" s="37" t="s">
        <v>1860</v>
      </c>
      <c r="B17" s="37" t="s">
        <v>1854</v>
      </c>
      <c r="C17" s="37" t="s">
        <v>1861</v>
      </c>
      <c r="D17" s="37" t="n">
        <v>5</v>
      </c>
      <c r="E17" s="37" t="n">
        <v>0</v>
      </c>
      <c r="F17" s="37" t="n">
        <f aca="false">COUNTIFS('Detail Sub SLS'!$Q:$Q,A17,'Detail Sub SLS'!$F:$F,"MASUK WILAYAH KERJA")</f>
        <v>0</v>
      </c>
      <c r="G17" s="37" t="n">
        <f aca="false">COUNTIFS('Detail Sub SLS'!$Q:$Q,A17,'Detail Sub SLS'!$F:$F,"TAMBAHAN")</f>
        <v>0</v>
      </c>
      <c r="H17" s="37" t="n">
        <f aca="false">COUNTIFS('Detail Sub SLS'!$Q:$Q,A17,'Detail Sub SLS'!$F:$F,"TIDAK IKUT")</f>
        <v>0</v>
      </c>
      <c r="I17" s="37" t="n">
        <f aca="false">D17-F17-G17-H17</f>
        <v>5</v>
      </c>
      <c r="J17" s="37" t="n">
        <f aca="false">SUMPRODUCT((LEFT('Jorong Terverifikasi'!$A$2:$A$54,10)=A17)*'Jorong Terverifikasi'!$J$2:$J$54)</f>
        <v>0</v>
      </c>
      <c r="K17" s="37" t="str">
        <f aca="false">IF(F17+G17&gt;0,IF(H17&gt;0,"SEBAGIAN MASUK",IF(G17&gt;0,"MASUK + TAMBAHAN","MASUK SEMUA")),IF(H17&gt;0,"TIDAK IKUT SELURUHNYA","DI LUAR DAFTAR AWAL"))</f>
        <v>DI LUAR DAFTAR AWAL</v>
      </c>
      <c r="L17" s="43"/>
    </row>
    <row r="18" customFormat="false" ht="15" hidden="false" customHeight="true" outlineLevel="0" collapsed="false">
      <c r="A18" s="37" t="s">
        <v>1862</v>
      </c>
      <c r="B18" s="37" t="s">
        <v>1854</v>
      </c>
      <c r="C18" s="37" t="s">
        <v>1863</v>
      </c>
      <c r="D18" s="37" t="n">
        <v>5</v>
      </c>
      <c r="E18" s="37" t="n">
        <v>0</v>
      </c>
      <c r="F18" s="37" t="n">
        <f aca="false">COUNTIFS('Detail Sub SLS'!$Q:$Q,A18,'Detail Sub SLS'!$F:$F,"MASUK WILAYAH KERJA")</f>
        <v>0</v>
      </c>
      <c r="G18" s="37" t="n">
        <f aca="false">COUNTIFS('Detail Sub SLS'!$Q:$Q,A18,'Detail Sub SLS'!$F:$F,"TAMBAHAN")</f>
        <v>0</v>
      </c>
      <c r="H18" s="37" t="n">
        <f aca="false">COUNTIFS('Detail Sub SLS'!$Q:$Q,A18,'Detail Sub SLS'!$F:$F,"TIDAK IKUT")</f>
        <v>0</v>
      </c>
      <c r="I18" s="37" t="n">
        <f aca="false">D18-F18-G18-H18</f>
        <v>5</v>
      </c>
      <c r="J18" s="37" t="n">
        <f aca="false">SUMPRODUCT((LEFT('Jorong Terverifikasi'!$A$2:$A$54,10)=A18)*'Jorong Terverifikasi'!$J$2:$J$54)</f>
        <v>0</v>
      </c>
      <c r="K18" s="37" t="str">
        <f aca="false">IF(F18+G18&gt;0,IF(H18&gt;0,"SEBAGIAN MASUK",IF(G18&gt;0,"MASUK + TAMBAHAN","MASUK SEMUA")),IF(H18&gt;0,"TIDAK IKUT SELURUHNYA","DI LUAR DAFTAR AWAL"))</f>
        <v>DI LUAR DAFTAR AWAL</v>
      </c>
      <c r="L18" s="43"/>
    </row>
    <row r="19" customFormat="false" ht="15" hidden="false" customHeight="true" outlineLevel="0" collapsed="false">
      <c r="A19" s="37" t="s">
        <v>607</v>
      </c>
      <c r="B19" s="37" t="s">
        <v>601</v>
      </c>
      <c r="C19" s="37" t="s">
        <v>441</v>
      </c>
      <c r="D19" s="37" t="n">
        <v>21</v>
      </c>
      <c r="E19" s="37" t="n">
        <v>21</v>
      </c>
      <c r="F19" s="37" t="n">
        <f aca="false">COUNTIFS('Detail Sub SLS'!$Q:$Q,A19,'Detail Sub SLS'!$F:$F,"MASUK WILAYAH KERJA")</f>
        <v>0</v>
      </c>
      <c r="G19" s="37" t="n">
        <f aca="false">COUNTIFS('Detail Sub SLS'!$Q:$Q,A19,'Detail Sub SLS'!$F:$F,"TAMBAHAN")</f>
        <v>0</v>
      </c>
      <c r="H19" s="37" t="n">
        <f aca="false">COUNTIFS('Detail Sub SLS'!$Q:$Q,A19,'Detail Sub SLS'!$F:$F,"TIDAK IKUT")</f>
        <v>21</v>
      </c>
      <c r="I19" s="37" t="n">
        <f aca="false">D19-F19-G19-H19</f>
        <v>0</v>
      </c>
      <c r="J19" s="37" t="n">
        <f aca="false">SUMPRODUCT((LEFT('Jorong Terverifikasi'!$A$2:$A$54,10)=A19)*'Jorong Terverifikasi'!$J$2:$J$54)</f>
        <v>0</v>
      </c>
      <c r="K19" s="37" t="str">
        <f aca="false">IF(F19+G19&gt;0,IF(H19&gt;0,"SEBAGIAN MASUK",IF(G19&gt;0,"MASUK + TAMBAHAN","MASUK SEMUA")),IF(H19&gt;0,"TIDAK IKUT SELURUHNYA","DI LUAR DAFTAR AWAL"))</f>
        <v>TIDAK IKUT SELURUHNYA</v>
      </c>
      <c r="L19" s="43"/>
    </row>
    <row r="20" customFormat="false" ht="15" hidden="false" customHeight="true" outlineLevel="0" collapsed="false">
      <c r="A20" s="37" t="s">
        <v>1864</v>
      </c>
      <c r="B20" s="37" t="s">
        <v>601</v>
      </c>
      <c r="C20" s="37" t="s">
        <v>1865</v>
      </c>
      <c r="D20" s="37" t="n">
        <v>6</v>
      </c>
      <c r="E20" s="37" t="n">
        <v>0</v>
      </c>
      <c r="F20" s="37" t="n">
        <f aca="false">COUNTIFS('Detail Sub SLS'!$Q:$Q,A20,'Detail Sub SLS'!$F:$F,"MASUK WILAYAH KERJA")</f>
        <v>0</v>
      </c>
      <c r="G20" s="37" t="n">
        <f aca="false">COUNTIFS('Detail Sub SLS'!$Q:$Q,A20,'Detail Sub SLS'!$F:$F,"TAMBAHAN")</f>
        <v>0</v>
      </c>
      <c r="H20" s="37" t="n">
        <f aca="false">COUNTIFS('Detail Sub SLS'!$Q:$Q,A20,'Detail Sub SLS'!$F:$F,"TIDAK IKUT")</f>
        <v>0</v>
      </c>
      <c r="I20" s="37" t="n">
        <f aca="false">D20-F20-G20-H20</f>
        <v>6</v>
      </c>
      <c r="J20" s="37" t="n">
        <f aca="false">SUMPRODUCT((LEFT('Jorong Terverifikasi'!$A$2:$A$54,10)=A20)*'Jorong Terverifikasi'!$J$2:$J$54)</f>
        <v>0</v>
      </c>
      <c r="K20" s="37" t="str">
        <f aca="false">IF(F20+G20&gt;0,IF(H20&gt;0,"SEBAGIAN MASUK",IF(G20&gt;0,"MASUK + TAMBAHAN","MASUK SEMUA")),IF(H20&gt;0,"TIDAK IKUT SELURUHNYA","DI LUAR DAFTAR AWAL"))</f>
        <v>DI LUAR DAFTAR AWAL</v>
      </c>
      <c r="L20" s="43"/>
    </row>
    <row r="21" customFormat="false" ht="15" hidden="false" customHeight="true" outlineLevel="0" collapsed="false">
      <c r="A21" s="37" t="s">
        <v>1866</v>
      </c>
      <c r="B21" s="37" t="s">
        <v>601</v>
      </c>
      <c r="C21" s="37" t="s">
        <v>1867</v>
      </c>
      <c r="D21" s="37" t="n">
        <v>6</v>
      </c>
      <c r="E21" s="37" t="n">
        <v>0</v>
      </c>
      <c r="F21" s="37" t="n">
        <f aca="false">COUNTIFS('Detail Sub SLS'!$Q:$Q,A21,'Detail Sub SLS'!$F:$F,"MASUK WILAYAH KERJA")</f>
        <v>0</v>
      </c>
      <c r="G21" s="37" t="n">
        <f aca="false">COUNTIFS('Detail Sub SLS'!$Q:$Q,A21,'Detail Sub SLS'!$F:$F,"TAMBAHAN")</f>
        <v>0</v>
      </c>
      <c r="H21" s="37" t="n">
        <f aca="false">COUNTIFS('Detail Sub SLS'!$Q:$Q,A21,'Detail Sub SLS'!$F:$F,"TIDAK IKUT")</f>
        <v>0</v>
      </c>
      <c r="I21" s="37" t="n">
        <f aca="false">D21-F21-G21-H21</f>
        <v>6</v>
      </c>
      <c r="J21" s="37" t="n">
        <f aca="false">SUMPRODUCT((LEFT('Jorong Terverifikasi'!$A$2:$A$54,10)=A21)*'Jorong Terverifikasi'!$J$2:$J$54)</f>
        <v>0</v>
      </c>
      <c r="K21" s="37" t="str">
        <f aca="false">IF(F21+G21&gt;0,IF(H21&gt;0,"SEBAGIAN MASUK",IF(G21&gt;0,"MASUK + TAMBAHAN","MASUK SEMUA")),IF(H21&gt;0,"TIDAK IKUT SELURUHNYA","DI LUAR DAFTAR AWAL"))</f>
        <v>DI LUAR DAFTAR AWAL</v>
      </c>
      <c r="L21" s="43"/>
    </row>
    <row r="22" customFormat="false" ht="15" hidden="false" customHeight="true" outlineLevel="0" collapsed="false">
      <c r="A22" s="37" t="s">
        <v>600</v>
      </c>
      <c r="B22" s="37" t="s">
        <v>601</v>
      </c>
      <c r="C22" s="37" t="s">
        <v>442</v>
      </c>
      <c r="D22" s="37" t="n">
        <v>14</v>
      </c>
      <c r="E22" s="37" t="n">
        <v>14</v>
      </c>
      <c r="F22" s="37" t="n">
        <f aca="false">COUNTIFS('Detail Sub SLS'!$Q:$Q,A22,'Detail Sub SLS'!$F:$F,"MASUK WILAYAH KERJA")</f>
        <v>0</v>
      </c>
      <c r="G22" s="37" t="n">
        <f aca="false">COUNTIFS('Detail Sub SLS'!$Q:$Q,A22,'Detail Sub SLS'!$F:$F,"TAMBAHAN")</f>
        <v>0</v>
      </c>
      <c r="H22" s="37" t="n">
        <f aca="false">COUNTIFS('Detail Sub SLS'!$Q:$Q,A22,'Detail Sub SLS'!$F:$F,"TIDAK IKUT")</f>
        <v>14</v>
      </c>
      <c r="I22" s="37" t="n">
        <f aca="false">D22-F22-G22-H22</f>
        <v>0</v>
      </c>
      <c r="J22" s="37" t="n">
        <f aca="false">SUMPRODUCT((LEFT('Jorong Terverifikasi'!$A$2:$A$54,10)=A22)*'Jorong Terverifikasi'!$J$2:$J$54)</f>
        <v>0</v>
      </c>
      <c r="K22" s="37" t="str">
        <f aca="false">IF(F22+G22&gt;0,IF(H22&gt;0,"SEBAGIAN MASUK",IF(G22&gt;0,"MASUK + TAMBAHAN","MASUK SEMUA")),IF(H22&gt;0,"TIDAK IKUT SELURUHNYA","DI LUAR DAFTAR AWAL"))</f>
        <v>TIDAK IKUT SELURUHNYA</v>
      </c>
      <c r="L22" s="43" t="s">
        <v>1852</v>
      </c>
    </row>
    <row r="23" customFormat="false" ht="15" hidden="false" customHeight="true" outlineLevel="0" collapsed="false">
      <c r="A23" s="37" t="s">
        <v>1868</v>
      </c>
      <c r="B23" s="37" t="s">
        <v>601</v>
      </c>
      <c r="C23" s="37" t="s">
        <v>456</v>
      </c>
      <c r="D23" s="37" t="n">
        <v>18</v>
      </c>
      <c r="E23" s="37" t="n">
        <v>0</v>
      </c>
      <c r="F23" s="37" t="n">
        <f aca="false">COUNTIFS('Detail Sub SLS'!$Q:$Q,A23,'Detail Sub SLS'!$F:$F,"MASUK WILAYAH KERJA")</f>
        <v>0</v>
      </c>
      <c r="G23" s="37" t="n">
        <f aca="false">COUNTIFS('Detail Sub SLS'!$Q:$Q,A23,'Detail Sub SLS'!$F:$F,"TAMBAHAN")</f>
        <v>0</v>
      </c>
      <c r="H23" s="37" t="n">
        <f aca="false">COUNTIFS('Detail Sub SLS'!$Q:$Q,A23,'Detail Sub SLS'!$F:$F,"TIDAK IKUT")</f>
        <v>0</v>
      </c>
      <c r="I23" s="37" t="n">
        <f aca="false">D23-F23-G23-H23</f>
        <v>18</v>
      </c>
      <c r="J23" s="37" t="n">
        <f aca="false">SUMPRODUCT((LEFT('Jorong Terverifikasi'!$A$2:$A$54,10)=A23)*'Jorong Terverifikasi'!$J$2:$J$54)</f>
        <v>0</v>
      </c>
      <c r="K23" s="37" t="str">
        <f aca="false">IF(F23+G23&gt;0,IF(H23&gt;0,"SEBAGIAN MASUK",IF(G23&gt;0,"MASUK + TAMBAHAN","MASUK SEMUA")),IF(H23&gt;0,"TIDAK IKUT SELURUHNYA","DI LUAR DAFTAR AWAL"))</f>
        <v>DI LUAR DAFTAR AWAL</v>
      </c>
      <c r="L23" s="43"/>
    </row>
    <row r="24" customFormat="false" ht="15" hidden="false" customHeight="true" outlineLevel="0" collapsed="false">
      <c r="A24" s="37" t="s">
        <v>609</v>
      </c>
      <c r="B24" s="37" t="s">
        <v>601</v>
      </c>
      <c r="C24" s="37" t="s">
        <v>440</v>
      </c>
      <c r="D24" s="37" t="n">
        <v>13</v>
      </c>
      <c r="E24" s="37" t="n">
        <v>13</v>
      </c>
      <c r="F24" s="37" t="n">
        <f aca="false">COUNTIFS('Detail Sub SLS'!$Q:$Q,A24,'Detail Sub SLS'!$F:$F,"MASUK WILAYAH KERJA")</f>
        <v>0</v>
      </c>
      <c r="G24" s="37" t="n">
        <f aca="false">COUNTIFS('Detail Sub SLS'!$Q:$Q,A24,'Detail Sub SLS'!$F:$F,"TAMBAHAN")</f>
        <v>0</v>
      </c>
      <c r="H24" s="37" t="n">
        <f aca="false">COUNTIFS('Detail Sub SLS'!$Q:$Q,A24,'Detail Sub SLS'!$F:$F,"TIDAK IKUT")</f>
        <v>13</v>
      </c>
      <c r="I24" s="37" t="n">
        <f aca="false">D24-F24-G24-H24</f>
        <v>0</v>
      </c>
      <c r="J24" s="37" t="n">
        <f aca="false">SUMPRODUCT((LEFT('Jorong Terverifikasi'!$A$2:$A$54,10)=A24)*'Jorong Terverifikasi'!$J$2:$J$54)</f>
        <v>0</v>
      </c>
      <c r="K24" s="37" t="str">
        <f aca="false">IF(F24+G24&gt;0,IF(H24&gt;0,"SEBAGIAN MASUK",IF(G24&gt;0,"MASUK + TAMBAHAN","MASUK SEMUA")),IF(H24&gt;0,"TIDAK IKUT SELURUHNYA","DI LUAR DAFTAR AWAL"))</f>
        <v>TIDAK IKUT SELURUHNYA</v>
      </c>
      <c r="L24" s="43"/>
    </row>
    <row r="25" customFormat="false" ht="23.25" hidden="false" customHeight="true" outlineLevel="0" collapsed="false">
      <c r="A25" s="37" t="s">
        <v>613</v>
      </c>
      <c r="B25" s="37" t="s">
        <v>140</v>
      </c>
      <c r="C25" s="37" t="s">
        <v>141</v>
      </c>
      <c r="D25" s="37" t="n">
        <v>37</v>
      </c>
      <c r="E25" s="37" t="n">
        <v>37</v>
      </c>
      <c r="F25" s="37" t="n">
        <f aca="false">COUNTIFS('Detail Sub SLS'!$Q:$Q,A25,'Detail Sub SLS'!$F:$F,"MASUK WILAYAH KERJA")</f>
        <v>11</v>
      </c>
      <c r="G25" s="37" t="n">
        <f aca="false">COUNTIFS('Detail Sub SLS'!$Q:$Q,A25,'Detail Sub SLS'!$F:$F,"TAMBAHAN")</f>
        <v>0</v>
      </c>
      <c r="H25" s="37" t="n">
        <f aca="false">COUNTIFS('Detail Sub SLS'!$Q:$Q,A25,'Detail Sub SLS'!$F:$F,"TIDAK IKUT")</f>
        <v>26</v>
      </c>
      <c r="I25" s="37" t="n">
        <f aca="false">D25-F25-G25-H25</f>
        <v>0</v>
      </c>
      <c r="J25" s="37" t="n">
        <f aca="false">SUMPRODUCT((LEFT('Jorong Terverifikasi'!$A$2:$A$54,10)=A25)*'Jorong Terverifikasi'!$J$2:$J$54)</f>
        <v>2</v>
      </c>
      <c r="K25" s="37" t="str">
        <f aca="false">IF(F25+G25&gt;0,IF(H25&gt;0,"SEBAGIAN MASUK",IF(G25&gt;0,"MASUK + TAMBAHAN","MASUK SEMUA")),IF(H25&gt;0,"TIDAK IKUT SELURUHNYA","DI LUAR DAFTAR AWAL"))</f>
        <v>SEBAGIAN MASUK</v>
      </c>
      <c r="L25" s="43" t="s">
        <v>1869</v>
      </c>
    </row>
    <row r="26" customFormat="false" ht="15" hidden="false" customHeight="true" outlineLevel="0" collapsed="false">
      <c r="A26" s="37" t="s">
        <v>619</v>
      </c>
      <c r="B26" s="37" t="s">
        <v>140</v>
      </c>
      <c r="C26" s="37" t="s">
        <v>426</v>
      </c>
      <c r="D26" s="37" t="n">
        <v>29</v>
      </c>
      <c r="E26" s="37" t="n">
        <v>29</v>
      </c>
      <c r="F26" s="37" t="n">
        <f aca="false">COUNTIFS('Detail Sub SLS'!$Q:$Q,A26,'Detail Sub SLS'!$F:$F,"MASUK WILAYAH KERJA")</f>
        <v>5</v>
      </c>
      <c r="G26" s="37" t="n">
        <f aca="false">COUNTIFS('Detail Sub SLS'!$Q:$Q,A26,'Detail Sub SLS'!$F:$F,"TAMBAHAN")</f>
        <v>0</v>
      </c>
      <c r="H26" s="37" t="n">
        <f aca="false">COUNTIFS('Detail Sub SLS'!$Q:$Q,A26,'Detail Sub SLS'!$F:$F,"TIDAK IKUT")</f>
        <v>24</v>
      </c>
      <c r="I26" s="37" t="n">
        <f aca="false">D26-F26-G26-H26</f>
        <v>0</v>
      </c>
      <c r="J26" s="37" t="n">
        <f aca="false">SUMPRODUCT((LEFT('Jorong Terverifikasi'!$A$2:$A$54,10)=A26)*'Jorong Terverifikasi'!$J$2:$J$54)</f>
        <v>4</v>
      </c>
      <c r="K26" s="37" t="str">
        <f aca="false">IF(F26+G26&gt;0,IF(H26&gt;0,"SEBAGIAN MASUK",IF(G26&gt;0,"MASUK + TAMBAHAN","MASUK SEMUA")),IF(H26&gt;0,"TIDAK IKUT SELURUHNYA","DI LUAR DAFTAR AWAL"))</f>
        <v>SEBAGIAN MASUK</v>
      </c>
      <c r="L26" s="43"/>
    </row>
    <row r="27" customFormat="false" ht="15" hidden="false" customHeight="true" outlineLevel="0" collapsed="false">
      <c r="A27" s="37" t="s">
        <v>605</v>
      </c>
      <c r="B27" s="37" t="s">
        <v>193</v>
      </c>
      <c r="C27" s="37" t="s">
        <v>194</v>
      </c>
      <c r="D27" s="37" t="n">
        <v>48</v>
      </c>
      <c r="E27" s="37" t="n">
        <v>48</v>
      </c>
      <c r="F27" s="37" t="n">
        <f aca="false">COUNTIFS('Detail Sub SLS'!$Q:$Q,A27,'Detail Sub SLS'!$F:$F,"MASUK WILAYAH KERJA")</f>
        <v>9</v>
      </c>
      <c r="G27" s="37" t="n">
        <f aca="false">COUNTIFS('Detail Sub SLS'!$Q:$Q,A27,'Detail Sub SLS'!$F:$F,"TAMBAHAN")</f>
        <v>0</v>
      </c>
      <c r="H27" s="37" t="n">
        <f aca="false">COUNTIFS('Detail Sub SLS'!$Q:$Q,A27,'Detail Sub SLS'!$F:$F,"TIDAK IKUT")</f>
        <v>39</v>
      </c>
      <c r="I27" s="37" t="n">
        <f aca="false">D27-F27-G27-H27</f>
        <v>0</v>
      </c>
      <c r="J27" s="37" t="n">
        <f aca="false">SUMPRODUCT((LEFT('Jorong Terverifikasi'!$A$2:$A$54,10)=A27)*'Jorong Terverifikasi'!$J$2:$J$54)</f>
        <v>1</v>
      </c>
      <c r="K27" s="37" t="str">
        <f aca="false">IF(F27+G27&gt;0,IF(H27&gt;0,"SEBAGIAN MASUK",IF(G27&gt;0,"MASUK + TAMBAHAN","MASUK SEMUA")),IF(H27&gt;0,"TIDAK IKUT SELURUHNYA","DI LUAR DAFTAR AWAL"))</f>
        <v>SEBAGIAN MASUK</v>
      </c>
      <c r="L27" s="43"/>
    </row>
    <row r="28" customFormat="false" ht="15" hidden="false" customHeight="true" outlineLevel="0" collapsed="false">
      <c r="A28" s="37" t="s">
        <v>595</v>
      </c>
      <c r="B28" s="37" t="s">
        <v>193</v>
      </c>
      <c r="C28" s="37" t="s">
        <v>397</v>
      </c>
      <c r="D28" s="37" t="n">
        <v>23</v>
      </c>
      <c r="E28" s="37" t="n">
        <v>23</v>
      </c>
      <c r="F28" s="37" t="n">
        <f aca="false">COUNTIFS('Detail Sub SLS'!$Q:$Q,A28,'Detail Sub SLS'!$F:$F,"MASUK WILAYAH KERJA")</f>
        <v>4</v>
      </c>
      <c r="G28" s="37" t="n">
        <f aca="false">COUNTIFS('Detail Sub SLS'!$Q:$Q,A28,'Detail Sub SLS'!$F:$F,"TAMBAHAN")</f>
        <v>0</v>
      </c>
      <c r="H28" s="37" t="n">
        <f aca="false">COUNTIFS('Detail Sub SLS'!$Q:$Q,A28,'Detail Sub SLS'!$F:$F,"TIDAK IKUT")</f>
        <v>19</v>
      </c>
      <c r="I28" s="37" t="n">
        <f aca="false">D28-F28-G28-H28</f>
        <v>0</v>
      </c>
      <c r="J28" s="37" t="n">
        <f aca="false">SUMPRODUCT((LEFT('Jorong Terverifikasi'!$A$2:$A$54,10)=A28)*'Jorong Terverifikasi'!$J$2:$J$54)</f>
        <v>0</v>
      </c>
      <c r="K28" s="37" t="str">
        <f aca="false">IF(F28+G28&gt;0,IF(H28&gt;0,"SEBAGIAN MASUK",IF(G28&gt;0,"MASUK + TAMBAHAN","MASUK SEMUA")),IF(H28&gt;0,"TIDAK IKUT SELURUHNYA","DI LUAR DAFTAR AWAL"))</f>
        <v>SEBAGIAN MASUK</v>
      </c>
      <c r="L28" s="43"/>
    </row>
    <row r="29" customFormat="false" ht="15" hidden="false" customHeight="true" outlineLevel="0" collapsed="false">
      <c r="A29" s="37" t="s">
        <v>1870</v>
      </c>
      <c r="B29" s="37" t="s">
        <v>193</v>
      </c>
      <c r="C29" s="37" t="s">
        <v>1871</v>
      </c>
      <c r="D29" s="37" t="n">
        <v>6</v>
      </c>
      <c r="E29" s="37" t="n">
        <v>0</v>
      </c>
      <c r="F29" s="37" t="n">
        <f aca="false">COUNTIFS('Detail Sub SLS'!$Q:$Q,A29,'Detail Sub SLS'!$F:$F,"MASUK WILAYAH KERJA")</f>
        <v>0</v>
      </c>
      <c r="G29" s="37" t="n">
        <f aca="false">COUNTIFS('Detail Sub SLS'!$Q:$Q,A29,'Detail Sub SLS'!$F:$F,"TAMBAHAN")</f>
        <v>0</v>
      </c>
      <c r="H29" s="37" t="n">
        <f aca="false">COUNTIFS('Detail Sub SLS'!$Q:$Q,A29,'Detail Sub SLS'!$F:$F,"TIDAK IKUT")</f>
        <v>0</v>
      </c>
      <c r="I29" s="37" t="n">
        <f aca="false">D29-F29-G29-H29</f>
        <v>6</v>
      </c>
      <c r="J29" s="37" t="n">
        <f aca="false">SUMPRODUCT((LEFT('Jorong Terverifikasi'!$A$2:$A$54,10)=A29)*'Jorong Terverifikasi'!$J$2:$J$54)</f>
        <v>0</v>
      </c>
      <c r="K29" s="37" t="str">
        <f aca="false">IF(F29+G29&gt;0,IF(H29&gt;0,"SEBAGIAN MASUK",IF(G29&gt;0,"MASUK + TAMBAHAN","MASUK SEMUA")),IF(H29&gt;0,"TIDAK IKUT SELURUHNYA","DI LUAR DAFTAR AWAL"))</f>
        <v>DI LUAR DAFTAR AWAL</v>
      </c>
      <c r="L29" s="43" t="s">
        <v>1847</v>
      </c>
    </row>
    <row r="30" customFormat="false" ht="15" hidden="false" customHeight="true" outlineLevel="0" collapsed="false">
      <c r="A30" s="37" t="s">
        <v>626</v>
      </c>
      <c r="B30" s="37" t="s">
        <v>193</v>
      </c>
      <c r="C30" s="37" t="s">
        <v>349</v>
      </c>
      <c r="D30" s="37" t="n">
        <v>21</v>
      </c>
      <c r="E30" s="37" t="n">
        <v>21</v>
      </c>
      <c r="F30" s="37" t="n">
        <f aca="false">COUNTIFS('Detail Sub SLS'!$Q:$Q,A30,'Detail Sub SLS'!$F:$F,"MASUK WILAYAH KERJA")</f>
        <v>3</v>
      </c>
      <c r="G30" s="37" t="n">
        <f aca="false">COUNTIFS('Detail Sub SLS'!$Q:$Q,A30,'Detail Sub SLS'!$F:$F,"TAMBAHAN")</f>
        <v>0</v>
      </c>
      <c r="H30" s="37" t="n">
        <f aca="false">COUNTIFS('Detail Sub SLS'!$Q:$Q,A30,'Detail Sub SLS'!$F:$F,"TIDAK IKUT")</f>
        <v>18</v>
      </c>
      <c r="I30" s="37" t="n">
        <f aca="false">D30-F30-G30-H30</f>
        <v>0</v>
      </c>
      <c r="J30" s="37" t="n">
        <f aca="false">SUMPRODUCT((LEFT('Jorong Terverifikasi'!$A$2:$A$54,10)=A30)*'Jorong Terverifikasi'!$J$2:$J$54)</f>
        <v>19</v>
      </c>
      <c r="K30" s="37" t="str">
        <f aca="false">IF(F30+G30&gt;0,IF(H30&gt;0,"SEBAGIAN MASUK",IF(G30&gt;0,"MASUK + TAMBAHAN","MASUK SEMUA")),IF(H30&gt;0,"TIDAK IKUT SELURUHNYA","DI LUAR DAFTAR AWAL"))</f>
        <v>SEBAGIAN MASUK</v>
      </c>
      <c r="L30" s="43"/>
    </row>
    <row r="31" customFormat="false" ht="15" hidden="false" customHeight="true" outlineLevel="0" collapsed="false">
      <c r="A31" s="37" t="s">
        <v>1279</v>
      </c>
      <c r="B31" s="37" t="s">
        <v>193</v>
      </c>
      <c r="C31" s="37" t="s">
        <v>1274</v>
      </c>
      <c r="D31" s="37" t="n">
        <v>11</v>
      </c>
      <c r="E31" s="37" t="n">
        <v>0</v>
      </c>
      <c r="F31" s="37" t="n">
        <f aca="false">COUNTIFS('Detail Sub SLS'!$Q:$Q,A31,'Detail Sub SLS'!$F:$F,"MASUK WILAYAH KERJA")</f>
        <v>0</v>
      </c>
      <c r="G31" s="37" t="n">
        <f aca="false">COUNTIFS('Detail Sub SLS'!$Q:$Q,A31,'Detail Sub SLS'!$F:$F,"TAMBAHAN")</f>
        <v>5</v>
      </c>
      <c r="H31" s="37" t="n">
        <f aca="false">COUNTIFS('Detail Sub SLS'!$Q:$Q,A31,'Detail Sub SLS'!$F:$F,"TIDAK IKUT")</f>
        <v>0</v>
      </c>
      <c r="I31" s="37" t="n">
        <f aca="false">D31-F31-G31-H31</f>
        <v>6</v>
      </c>
      <c r="J31" s="37" t="n">
        <f aca="false">SUMPRODUCT((LEFT('Jorong Terverifikasi'!$A$2:$A$54,10)=A31)*'Jorong Terverifikasi'!$J$2:$J$54)</f>
        <v>0</v>
      </c>
      <c r="K31" s="37" t="str">
        <f aca="false">IF(F31+G31&gt;0,IF(H31&gt;0,"SEBAGIAN MASUK",IF(G31&gt;0,"MASUK + TAMBAHAN","MASUK SEMUA")),IF(H31&gt;0,"TIDAK IKUT SELURUHNYA","DI LUAR DAFTAR AWAL"))</f>
        <v>MASUK + TAMBAHAN</v>
      </c>
      <c r="L31" s="43"/>
    </row>
    <row r="32" customFormat="false" ht="15" hidden="false" customHeight="true" outlineLevel="0" collapsed="false">
      <c r="A32" s="37" t="s">
        <v>1872</v>
      </c>
      <c r="B32" s="37" t="s">
        <v>193</v>
      </c>
      <c r="C32" s="37" t="s">
        <v>1873</v>
      </c>
      <c r="D32" s="37" t="n">
        <v>8</v>
      </c>
      <c r="E32" s="37" t="n">
        <v>0</v>
      </c>
      <c r="F32" s="37" t="n">
        <f aca="false">COUNTIFS('Detail Sub SLS'!$Q:$Q,A32,'Detail Sub SLS'!$F:$F,"MASUK WILAYAH KERJA")</f>
        <v>0</v>
      </c>
      <c r="G32" s="37" t="n">
        <f aca="false">COUNTIFS('Detail Sub SLS'!$Q:$Q,A32,'Detail Sub SLS'!$F:$F,"TAMBAHAN")</f>
        <v>0</v>
      </c>
      <c r="H32" s="37" t="n">
        <f aca="false">COUNTIFS('Detail Sub SLS'!$Q:$Q,A32,'Detail Sub SLS'!$F:$F,"TIDAK IKUT")</f>
        <v>0</v>
      </c>
      <c r="I32" s="37" t="n">
        <f aca="false">D32-F32-G32-H32</f>
        <v>8</v>
      </c>
      <c r="J32" s="37" t="n">
        <f aca="false">SUMPRODUCT((LEFT('Jorong Terverifikasi'!$A$2:$A$54,10)=A32)*'Jorong Terverifikasi'!$J$2:$J$54)</f>
        <v>0</v>
      </c>
      <c r="K32" s="37" t="str">
        <f aca="false">IF(F32+G32&gt;0,IF(H32&gt;0,"SEBAGIAN MASUK",IF(G32&gt;0,"MASUK + TAMBAHAN","MASUK SEMUA")),IF(H32&gt;0,"TIDAK IKUT SELURUHNYA","DI LUAR DAFTAR AWAL"))</f>
        <v>DI LUAR DAFTAR AWAL</v>
      </c>
      <c r="L32" s="43"/>
    </row>
    <row r="33" customFormat="false" ht="15" hidden="false" customHeight="true" outlineLevel="0" collapsed="false">
      <c r="A33" s="37" t="s">
        <v>623</v>
      </c>
      <c r="B33" s="37" t="s">
        <v>193</v>
      </c>
      <c r="C33" s="37" t="s">
        <v>382</v>
      </c>
      <c r="D33" s="37" t="n">
        <v>26</v>
      </c>
      <c r="E33" s="37" t="n">
        <v>26</v>
      </c>
      <c r="F33" s="37" t="n">
        <f aca="false">COUNTIFS('Detail Sub SLS'!$Q:$Q,A33,'Detail Sub SLS'!$F:$F,"MASUK WILAYAH KERJA")</f>
        <v>7</v>
      </c>
      <c r="G33" s="37" t="n">
        <f aca="false">COUNTIFS('Detail Sub SLS'!$Q:$Q,A33,'Detail Sub SLS'!$F:$F,"TAMBAHAN")</f>
        <v>0</v>
      </c>
      <c r="H33" s="37" t="n">
        <f aca="false">COUNTIFS('Detail Sub SLS'!$Q:$Q,A33,'Detail Sub SLS'!$F:$F,"TIDAK IKUT")</f>
        <v>19</v>
      </c>
      <c r="I33" s="37" t="n">
        <f aca="false">D33-F33-G33-H33</f>
        <v>0</v>
      </c>
      <c r="J33" s="37" t="n">
        <f aca="false">SUMPRODUCT((LEFT('Jorong Terverifikasi'!$A$2:$A$54,10)=A33)*'Jorong Terverifikasi'!$J$2:$J$54)</f>
        <v>6</v>
      </c>
      <c r="K33" s="37" t="str">
        <f aca="false">IF(F33+G33&gt;0,IF(H33&gt;0,"SEBAGIAN MASUK",IF(G33&gt;0,"MASUK + TAMBAHAN","MASUK SEMUA")),IF(H33&gt;0,"TIDAK IKUT SELURUHNYA","DI LUAR DAFTAR AWAL"))</f>
        <v>SEBAGIAN MASUK</v>
      </c>
      <c r="L33" s="43"/>
    </row>
    <row r="34" customFormat="false" ht="15" hidden="false" customHeight="true" outlineLevel="0" collapsed="false">
      <c r="A34" s="37" t="s">
        <v>606</v>
      </c>
      <c r="B34" s="37" t="s">
        <v>193</v>
      </c>
      <c r="C34" s="37" t="s">
        <v>428</v>
      </c>
      <c r="D34" s="37" t="n">
        <v>7</v>
      </c>
      <c r="E34" s="37" t="n">
        <v>7</v>
      </c>
      <c r="F34" s="37" t="n">
        <f aca="false">COUNTIFS('Detail Sub SLS'!$Q:$Q,A34,'Detail Sub SLS'!$F:$F,"MASUK WILAYAH KERJA")</f>
        <v>1</v>
      </c>
      <c r="G34" s="37" t="n">
        <f aca="false">COUNTIFS('Detail Sub SLS'!$Q:$Q,A34,'Detail Sub SLS'!$F:$F,"TAMBAHAN")</f>
        <v>0</v>
      </c>
      <c r="H34" s="37" t="n">
        <f aca="false">COUNTIFS('Detail Sub SLS'!$Q:$Q,A34,'Detail Sub SLS'!$F:$F,"TIDAK IKUT")</f>
        <v>6</v>
      </c>
      <c r="I34" s="37" t="n">
        <f aca="false">D34-F34-G34-H34</f>
        <v>0</v>
      </c>
      <c r="J34" s="37" t="n">
        <f aca="false">SUMPRODUCT((LEFT('Jorong Terverifikasi'!$A$2:$A$54,10)=A34)*'Jorong Terverifikasi'!$J$2:$J$54)</f>
        <v>1</v>
      </c>
      <c r="K34" s="37" t="str">
        <f aca="false">IF(F34+G34&gt;0,IF(H34&gt;0,"SEBAGIAN MASUK",IF(G34&gt;0,"MASUK + TAMBAHAN","MASUK SEMUA")),IF(H34&gt;0,"TIDAK IKUT SELURUHNYA","DI LUAR DAFTAR AWAL"))</f>
        <v>SEBAGIAN MASUK</v>
      </c>
      <c r="L34" s="43"/>
    </row>
    <row r="35" customFormat="false" ht="15" hidden="false" customHeight="true" outlineLevel="0" collapsed="false">
      <c r="A35" s="37" t="s">
        <v>1874</v>
      </c>
      <c r="B35" s="37" t="s">
        <v>213</v>
      </c>
      <c r="C35" s="37" t="s">
        <v>546</v>
      </c>
      <c r="D35" s="37" t="n">
        <v>36</v>
      </c>
      <c r="E35" s="37" t="n">
        <v>0</v>
      </c>
      <c r="F35" s="37" t="n">
        <f aca="false">COUNTIFS('Detail Sub SLS'!$Q:$Q,A35,'Detail Sub SLS'!$F:$F,"MASUK WILAYAH KERJA")</f>
        <v>0</v>
      </c>
      <c r="G35" s="37" t="n">
        <f aca="false">COUNTIFS('Detail Sub SLS'!$Q:$Q,A35,'Detail Sub SLS'!$F:$F,"TAMBAHAN")</f>
        <v>0</v>
      </c>
      <c r="H35" s="37" t="n">
        <f aca="false">COUNTIFS('Detail Sub SLS'!$Q:$Q,A35,'Detail Sub SLS'!$F:$F,"TIDAK IKUT")</f>
        <v>0</v>
      </c>
      <c r="I35" s="37" t="n">
        <f aca="false">D35-F35-G35-H35</f>
        <v>36</v>
      </c>
      <c r="J35" s="37" t="n">
        <f aca="false">SUMPRODUCT((LEFT('Jorong Terverifikasi'!$A$2:$A$54,10)=A35)*'Jorong Terverifikasi'!$J$2:$J$54)</f>
        <v>0</v>
      </c>
      <c r="K35" s="37" t="str">
        <f aca="false">IF(F35+G35&gt;0,IF(H35&gt;0,"SEBAGIAN MASUK",IF(G35&gt;0,"MASUK + TAMBAHAN","MASUK SEMUA")),IF(H35&gt;0,"TIDAK IKUT SELURUHNYA","DI LUAR DAFTAR AWAL"))</f>
        <v>DI LUAR DAFTAR AWAL</v>
      </c>
      <c r="L35" s="43"/>
    </row>
    <row r="36" customFormat="false" ht="15" hidden="false" customHeight="true" outlineLevel="0" collapsed="false">
      <c r="A36" s="37" t="s">
        <v>594</v>
      </c>
      <c r="B36" s="37" t="s">
        <v>213</v>
      </c>
      <c r="C36" s="37" t="s">
        <v>424</v>
      </c>
      <c r="D36" s="37" t="n">
        <v>12</v>
      </c>
      <c r="E36" s="37" t="n">
        <v>12</v>
      </c>
      <c r="F36" s="37" t="n">
        <f aca="false">COUNTIFS('Detail Sub SLS'!$Q:$Q,A36,'Detail Sub SLS'!$F:$F,"MASUK WILAYAH KERJA")</f>
        <v>0</v>
      </c>
      <c r="G36" s="37" t="n">
        <f aca="false">COUNTIFS('Detail Sub SLS'!$Q:$Q,A36,'Detail Sub SLS'!$F:$F,"TAMBAHAN")</f>
        <v>0</v>
      </c>
      <c r="H36" s="37" t="n">
        <f aca="false">COUNTIFS('Detail Sub SLS'!$Q:$Q,A36,'Detail Sub SLS'!$F:$F,"TIDAK IKUT")</f>
        <v>12</v>
      </c>
      <c r="I36" s="37" t="n">
        <f aca="false">D36-F36-G36-H36</f>
        <v>0</v>
      </c>
      <c r="J36" s="37" t="n">
        <f aca="false">SUMPRODUCT((LEFT('Jorong Terverifikasi'!$A$2:$A$54,10)=A36)*'Jorong Terverifikasi'!$J$2:$J$54)</f>
        <v>0</v>
      </c>
      <c r="K36" s="37" t="str">
        <f aca="false">IF(F36+G36&gt;0,IF(H36&gt;0,"SEBAGIAN MASUK",IF(G36&gt;0,"MASUK + TAMBAHAN","MASUK SEMUA")),IF(H36&gt;0,"TIDAK IKUT SELURUHNYA","DI LUAR DAFTAR AWAL"))</f>
        <v>TIDAK IKUT SELURUHNYA</v>
      </c>
      <c r="L36" s="43"/>
    </row>
    <row r="37" customFormat="false" ht="15" hidden="false" customHeight="true" outlineLevel="0" collapsed="false">
      <c r="A37" s="37" t="s">
        <v>1875</v>
      </c>
      <c r="B37" s="37" t="s">
        <v>213</v>
      </c>
      <c r="C37" s="37" t="s">
        <v>1876</v>
      </c>
      <c r="D37" s="37" t="n">
        <v>5</v>
      </c>
      <c r="E37" s="37" t="n">
        <v>0</v>
      </c>
      <c r="F37" s="37" t="n">
        <f aca="false">COUNTIFS('Detail Sub SLS'!$Q:$Q,A37,'Detail Sub SLS'!$F:$F,"MASUK WILAYAH KERJA")</f>
        <v>0</v>
      </c>
      <c r="G37" s="37" t="n">
        <f aca="false">COUNTIFS('Detail Sub SLS'!$Q:$Q,A37,'Detail Sub SLS'!$F:$F,"TAMBAHAN")</f>
        <v>0</v>
      </c>
      <c r="H37" s="37" t="n">
        <f aca="false">COUNTIFS('Detail Sub SLS'!$Q:$Q,A37,'Detail Sub SLS'!$F:$F,"TIDAK IKUT")</f>
        <v>0</v>
      </c>
      <c r="I37" s="37" t="n">
        <f aca="false">D37-F37-G37-H37</f>
        <v>5</v>
      </c>
      <c r="J37" s="37" t="n">
        <f aca="false">SUMPRODUCT((LEFT('Jorong Terverifikasi'!$A$2:$A$54,10)=A37)*'Jorong Terverifikasi'!$J$2:$J$54)</f>
        <v>0</v>
      </c>
      <c r="K37" s="37" t="str">
        <f aca="false">IF(F37+G37&gt;0,IF(H37&gt;0,"SEBAGIAN MASUK",IF(G37&gt;0,"MASUK + TAMBAHAN","MASUK SEMUA")),IF(H37&gt;0,"TIDAK IKUT SELURUHNYA","DI LUAR DAFTAR AWAL"))</f>
        <v>DI LUAR DAFTAR AWAL</v>
      </c>
      <c r="L37" s="43"/>
    </row>
    <row r="38" customFormat="false" ht="15" hidden="false" customHeight="true" outlineLevel="0" collapsed="false">
      <c r="A38" s="37" t="s">
        <v>1877</v>
      </c>
      <c r="B38" s="37" t="s">
        <v>213</v>
      </c>
      <c r="C38" s="37" t="s">
        <v>521</v>
      </c>
      <c r="D38" s="37" t="n">
        <v>9</v>
      </c>
      <c r="E38" s="37" t="n">
        <v>0</v>
      </c>
      <c r="F38" s="37" t="n">
        <f aca="false">COUNTIFS('Detail Sub SLS'!$Q:$Q,A38,'Detail Sub SLS'!$F:$F,"MASUK WILAYAH KERJA")</f>
        <v>0</v>
      </c>
      <c r="G38" s="37" t="n">
        <f aca="false">COUNTIFS('Detail Sub SLS'!$Q:$Q,A38,'Detail Sub SLS'!$F:$F,"TAMBAHAN")</f>
        <v>0</v>
      </c>
      <c r="H38" s="37" t="n">
        <f aca="false">COUNTIFS('Detail Sub SLS'!$Q:$Q,A38,'Detail Sub SLS'!$F:$F,"TIDAK IKUT")</f>
        <v>0</v>
      </c>
      <c r="I38" s="37" t="n">
        <f aca="false">D38-F38-G38-H38</f>
        <v>9</v>
      </c>
      <c r="J38" s="37" t="n">
        <f aca="false">SUMPRODUCT((LEFT('Jorong Terverifikasi'!$A$2:$A$54,10)=A38)*'Jorong Terverifikasi'!$J$2:$J$54)</f>
        <v>0</v>
      </c>
      <c r="K38" s="37" t="str">
        <f aca="false">IF(F38+G38&gt;0,IF(H38&gt;0,"SEBAGIAN MASUK",IF(G38&gt;0,"MASUK + TAMBAHAN","MASUK SEMUA")),IF(H38&gt;0,"TIDAK IKUT SELURUHNYA","DI LUAR DAFTAR AWAL"))</f>
        <v>DI LUAR DAFTAR AWAL</v>
      </c>
      <c r="L38" s="43"/>
    </row>
    <row r="39" customFormat="false" ht="15" hidden="false" customHeight="true" outlineLevel="0" collapsed="false">
      <c r="A39" s="37" t="s">
        <v>603</v>
      </c>
      <c r="B39" s="37" t="s">
        <v>213</v>
      </c>
      <c r="C39" s="37" t="s">
        <v>214</v>
      </c>
      <c r="D39" s="37" t="n">
        <v>5</v>
      </c>
      <c r="E39" s="37" t="n">
        <v>5</v>
      </c>
      <c r="F39" s="37" t="n">
        <f aca="false">COUNTIFS('Detail Sub SLS'!$Q:$Q,A39,'Detail Sub SLS'!$F:$F,"MASUK WILAYAH KERJA")</f>
        <v>1</v>
      </c>
      <c r="G39" s="37" t="n">
        <f aca="false">COUNTIFS('Detail Sub SLS'!$Q:$Q,A39,'Detail Sub SLS'!$F:$F,"TAMBAHAN")</f>
        <v>0</v>
      </c>
      <c r="H39" s="37" t="n">
        <f aca="false">COUNTIFS('Detail Sub SLS'!$Q:$Q,A39,'Detail Sub SLS'!$F:$F,"TIDAK IKUT")</f>
        <v>4</v>
      </c>
      <c r="I39" s="37" t="n">
        <f aca="false">D39-F39-G39-H39</f>
        <v>0</v>
      </c>
      <c r="J39" s="37" t="n">
        <f aca="false">SUMPRODUCT((LEFT('Jorong Terverifikasi'!$A$2:$A$54,10)=A39)*'Jorong Terverifikasi'!$J$2:$J$54)</f>
        <v>1</v>
      </c>
      <c r="K39" s="37" t="str">
        <f aca="false">IF(F39+G39&gt;0,IF(H39&gt;0,"SEBAGIAN MASUK",IF(G39&gt;0,"MASUK + TAMBAHAN","MASUK SEMUA")),IF(H39&gt;0,"TIDAK IKUT SELURUHNYA","DI LUAR DAFTAR AWAL"))</f>
        <v>SEBAGIAN MASUK</v>
      </c>
      <c r="L39" s="43" t="s">
        <v>1878</v>
      </c>
    </row>
    <row r="40" customFormat="false" ht="15" hidden="false" customHeight="true" outlineLevel="0" collapsed="false">
      <c r="A40" s="37" t="s">
        <v>1879</v>
      </c>
      <c r="B40" s="37" t="s">
        <v>1369</v>
      </c>
      <c r="C40" s="37" t="s">
        <v>1880</v>
      </c>
      <c r="D40" s="37" t="n">
        <v>8</v>
      </c>
      <c r="E40" s="37" t="n">
        <v>0</v>
      </c>
      <c r="F40" s="37" t="n">
        <f aca="false">COUNTIFS('Detail Sub SLS'!$Q:$Q,A40,'Detail Sub SLS'!$F:$F,"MASUK WILAYAH KERJA")</f>
        <v>0</v>
      </c>
      <c r="G40" s="37" t="n">
        <f aca="false">COUNTIFS('Detail Sub SLS'!$Q:$Q,A40,'Detail Sub SLS'!$F:$F,"TAMBAHAN")</f>
        <v>0</v>
      </c>
      <c r="H40" s="37" t="n">
        <f aca="false">COUNTIFS('Detail Sub SLS'!$Q:$Q,A40,'Detail Sub SLS'!$F:$F,"TIDAK IKUT")</f>
        <v>0</v>
      </c>
      <c r="I40" s="37" t="n">
        <f aca="false">D40-F40-G40-H40</f>
        <v>8</v>
      </c>
      <c r="J40" s="37" t="n">
        <f aca="false">SUMPRODUCT((LEFT('Jorong Terverifikasi'!$A$2:$A$54,10)=A40)*'Jorong Terverifikasi'!$J$2:$J$54)</f>
        <v>0</v>
      </c>
      <c r="K40" s="37" t="str">
        <f aca="false">IF(F40+G40&gt;0,IF(H40&gt;0,"SEBAGIAN MASUK",IF(G40&gt;0,"MASUK + TAMBAHAN","MASUK SEMUA")),IF(H40&gt;0,"TIDAK IKUT SELURUHNYA","DI LUAR DAFTAR AWAL"))</f>
        <v>DI LUAR DAFTAR AWAL</v>
      </c>
      <c r="L40" s="43"/>
    </row>
    <row r="41" customFormat="false" ht="15" hidden="false" customHeight="true" outlineLevel="0" collapsed="false">
      <c r="A41" s="37" t="s">
        <v>1881</v>
      </c>
      <c r="B41" s="37" t="s">
        <v>1369</v>
      </c>
      <c r="C41" s="37" t="s">
        <v>1882</v>
      </c>
      <c r="D41" s="37" t="n">
        <v>6</v>
      </c>
      <c r="E41" s="37" t="n">
        <v>0</v>
      </c>
      <c r="F41" s="37" t="n">
        <f aca="false">COUNTIFS('Detail Sub SLS'!$Q:$Q,A41,'Detail Sub SLS'!$F:$F,"MASUK WILAYAH KERJA")</f>
        <v>0</v>
      </c>
      <c r="G41" s="37" t="n">
        <f aca="false">COUNTIFS('Detail Sub SLS'!$Q:$Q,A41,'Detail Sub SLS'!$F:$F,"TAMBAHAN")</f>
        <v>0</v>
      </c>
      <c r="H41" s="37" t="n">
        <f aca="false">COUNTIFS('Detail Sub SLS'!$Q:$Q,A41,'Detail Sub SLS'!$F:$F,"TIDAK IKUT")</f>
        <v>0</v>
      </c>
      <c r="I41" s="37" t="n">
        <f aca="false">D41-F41-G41-H41</f>
        <v>6</v>
      </c>
      <c r="J41" s="37" t="n">
        <f aca="false">SUMPRODUCT((LEFT('Jorong Terverifikasi'!$A$2:$A$54,10)=A41)*'Jorong Terverifikasi'!$J$2:$J$54)</f>
        <v>0</v>
      </c>
      <c r="K41" s="37" t="str">
        <f aca="false">IF(F41+G41&gt;0,IF(H41&gt;0,"SEBAGIAN MASUK",IF(G41&gt;0,"MASUK + TAMBAHAN","MASUK SEMUA")),IF(H41&gt;0,"TIDAK IKUT SELURUHNYA","DI LUAR DAFTAR AWAL"))</f>
        <v>DI LUAR DAFTAR AWAL</v>
      </c>
      <c r="L41" s="43"/>
    </row>
    <row r="42" customFormat="false" ht="15" hidden="false" customHeight="true" outlineLevel="0" collapsed="false">
      <c r="A42" s="37" t="s">
        <v>1883</v>
      </c>
      <c r="B42" s="37" t="s">
        <v>1369</v>
      </c>
      <c r="C42" s="37" t="s">
        <v>1884</v>
      </c>
      <c r="D42" s="37" t="n">
        <v>2</v>
      </c>
      <c r="E42" s="37" t="n">
        <v>0</v>
      </c>
      <c r="F42" s="37" t="n">
        <f aca="false">COUNTIFS('Detail Sub SLS'!$Q:$Q,A42,'Detail Sub SLS'!$F:$F,"MASUK WILAYAH KERJA")</f>
        <v>0</v>
      </c>
      <c r="G42" s="37" t="n">
        <f aca="false">COUNTIFS('Detail Sub SLS'!$Q:$Q,A42,'Detail Sub SLS'!$F:$F,"TAMBAHAN")</f>
        <v>0</v>
      </c>
      <c r="H42" s="37" t="n">
        <f aca="false">COUNTIFS('Detail Sub SLS'!$Q:$Q,A42,'Detail Sub SLS'!$F:$F,"TIDAK IKUT")</f>
        <v>0</v>
      </c>
      <c r="I42" s="37" t="n">
        <f aca="false">D42-F42-G42-H42</f>
        <v>2</v>
      </c>
      <c r="J42" s="37" t="n">
        <f aca="false">SUMPRODUCT((LEFT('Jorong Terverifikasi'!$A$2:$A$54,10)=A42)*'Jorong Terverifikasi'!$J$2:$J$54)</f>
        <v>0</v>
      </c>
      <c r="K42" s="37" t="str">
        <f aca="false">IF(F42+G42&gt;0,IF(H42&gt;0,"SEBAGIAN MASUK",IF(G42&gt;0,"MASUK + TAMBAHAN","MASUK SEMUA")),IF(H42&gt;0,"TIDAK IKUT SELURUHNYA","DI LUAR DAFTAR AWAL"))</f>
        <v>DI LUAR DAFTAR AWAL</v>
      </c>
      <c r="L42" s="43"/>
    </row>
    <row r="43" customFormat="false" ht="15" hidden="false" customHeight="true" outlineLevel="0" collapsed="false">
      <c r="A43" s="37" t="s">
        <v>1885</v>
      </c>
      <c r="B43" s="37" t="s">
        <v>1369</v>
      </c>
      <c r="C43" s="37" t="s">
        <v>1886</v>
      </c>
      <c r="D43" s="37" t="n">
        <v>2</v>
      </c>
      <c r="E43" s="37" t="n">
        <v>0</v>
      </c>
      <c r="F43" s="37" t="n">
        <f aca="false">COUNTIFS('Detail Sub SLS'!$Q:$Q,A43,'Detail Sub SLS'!$F:$F,"MASUK WILAYAH KERJA")</f>
        <v>0</v>
      </c>
      <c r="G43" s="37" t="n">
        <f aca="false">COUNTIFS('Detail Sub SLS'!$Q:$Q,A43,'Detail Sub SLS'!$F:$F,"TAMBAHAN")</f>
        <v>0</v>
      </c>
      <c r="H43" s="37" t="n">
        <f aca="false">COUNTIFS('Detail Sub SLS'!$Q:$Q,A43,'Detail Sub SLS'!$F:$F,"TIDAK IKUT")</f>
        <v>0</v>
      </c>
      <c r="I43" s="37" t="n">
        <f aca="false">D43-F43-G43-H43</f>
        <v>2</v>
      </c>
      <c r="J43" s="37" t="n">
        <f aca="false">SUMPRODUCT((LEFT('Jorong Terverifikasi'!$A$2:$A$54,10)=A43)*'Jorong Terverifikasi'!$J$2:$J$54)</f>
        <v>0</v>
      </c>
      <c r="K43" s="37" t="str">
        <f aca="false">IF(F43+G43&gt;0,IF(H43&gt;0,"SEBAGIAN MASUK",IF(G43&gt;0,"MASUK + TAMBAHAN","MASUK SEMUA")),IF(H43&gt;0,"TIDAK IKUT SELURUHNYA","DI LUAR DAFTAR AWAL"))</f>
        <v>DI LUAR DAFTAR AWAL</v>
      </c>
      <c r="L43" s="43"/>
    </row>
    <row r="44" customFormat="false" ht="15" hidden="false" customHeight="true" outlineLevel="0" collapsed="false">
      <c r="A44" s="37" t="s">
        <v>1887</v>
      </c>
      <c r="B44" s="37" t="s">
        <v>1369</v>
      </c>
      <c r="C44" s="37" t="s">
        <v>1888</v>
      </c>
      <c r="D44" s="37" t="n">
        <v>5</v>
      </c>
      <c r="E44" s="37" t="n">
        <v>0</v>
      </c>
      <c r="F44" s="37" t="n">
        <f aca="false">COUNTIFS('Detail Sub SLS'!$Q:$Q,A44,'Detail Sub SLS'!$F:$F,"MASUK WILAYAH KERJA")</f>
        <v>0</v>
      </c>
      <c r="G44" s="37" t="n">
        <f aca="false">COUNTIFS('Detail Sub SLS'!$Q:$Q,A44,'Detail Sub SLS'!$F:$F,"TAMBAHAN")</f>
        <v>0</v>
      </c>
      <c r="H44" s="37" t="n">
        <f aca="false">COUNTIFS('Detail Sub SLS'!$Q:$Q,A44,'Detail Sub SLS'!$F:$F,"TIDAK IKUT")</f>
        <v>0</v>
      </c>
      <c r="I44" s="37" t="n">
        <f aca="false">D44-F44-G44-H44</f>
        <v>5</v>
      </c>
      <c r="J44" s="37" t="n">
        <f aca="false">SUMPRODUCT((LEFT('Jorong Terverifikasi'!$A$2:$A$54,10)=A44)*'Jorong Terverifikasi'!$J$2:$J$54)</f>
        <v>0</v>
      </c>
      <c r="K44" s="37" t="str">
        <f aca="false">IF(F44+G44&gt;0,IF(H44&gt;0,"SEBAGIAN MASUK",IF(G44&gt;0,"MASUK + TAMBAHAN","MASUK SEMUA")),IF(H44&gt;0,"TIDAK IKUT SELURUHNYA","DI LUAR DAFTAR AWAL"))</f>
        <v>DI LUAR DAFTAR AWAL</v>
      </c>
      <c r="L44" s="43"/>
    </row>
    <row r="45" customFormat="false" ht="15" hidden="false" customHeight="true" outlineLevel="0" collapsed="false">
      <c r="A45" s="37" t="s">
        <v>596</v>
      </c>
      <c r="B45" s="37" t="s">
        <v>1369</v>
      </c>
      <c r="C45" s="37" t="s">
        <v>430</v>
      </c>
      <c r="D45" s="37" t="n">
        <v>3</v>
      </c>
      <c r="E45" s="37" t="n">
        <v>3</v>
      </c>
      <c r="F45" s="37" t="n">
        <f aca="false">COUNTIFS('Detail Sub SLS'!$Q:$Q,A45,'Detail Sub SLS'!$F:$F,"MASUK WILAYAH KERJA")</f>
        <v>0</v>
      </c>
      <c r="G45" s="37" t="n">
        <f aca="false">COUNTIFS('Detail Sub SLS'!$Q:$Q,A45,'Detail Sub SLS'!$F:$F,"TAMBAHAN")</f>
        <v>0</v>
      </c>
      <c r="H45" s="37" t="n">
        <f aca="false">COUNTIFS('Detail Sub SLS'!$Q:$Q,A45,'Detail Sub SLS'!$F:$F,"TIDAK IKUT")</f>
        <v>3</v>
      </c>
      <c r="I45" s="37" t="n">
        <f aca="false">D45-F45-G45-H45</f>
        <v>0</v>
      </c>
      <c r="J45" s="37" t="n">
        <f aca="false">SUMPRODUCT((LEFT('Jorong Terverifikasi'!$A$2:$A$54,10)=A45)*'Jorong Terverifikasi'!$J$2:$J$54)</f>
        <v>0</v>
      </c>
      <c r="K45" s="37" t="str">
        <f aca="false">IF(F45+G45&gt;0,IF(H45&gt;0,"SEBAGIAN MASUK",IF(G45&gt;0,"MASUK + TAMBAHAN","MASUK SEMUA")),IF(H45&gt;0,"TIDAK IKUT SELURUHNYA","DI LUAR DAFTAR AWAL"))</f>
        <v>TIDAK IKUT SELURUHNYA</v>
      </c>
      <c r="L45" s="43"/>
    </row>
    <row r="46" customFormat="false" ht="15" hidden="false" customHeight="true" outlineLevel="0" collapsed="false">
      <c r="A46" s="37" t="s">
        <v>1889</v>
      </c>
      <c r="B46" s="37" t="s">
        <v>1369</v>
      </c>
      <c r="C46" s="37" t="s">
        <v>1890</v>
      </c>
      <c r="D46" s="37" t="n">
        <v>3</v>
      </c>
      <c r="E46" s="37" t="n">
        <v>0</v>
      </c>
      <c r="F46" s="37" t="n">
        <f aca="false">COUNTIFS('Detail Sub SLS'!$Q:$Q,A46,'Detail Sub SLS'!$F:$F,"MASUK WILAYAH KERJA")</f>
        <v>0</v>
      </c>
      <c r="G46" s="37" t="n">
        <f aca="false">COUNTIFS('Detail Sub SLS'!$Q:$Q,A46,'Detail Sub SLS'!$F:$F,"TAMBAHAN")</f>
        <v>0</v>
      </c>
      <c r="H46" s="37" t="n">
        <f aca="false">COUNTIFS('Detail Sub SLS'!$Q:$Q,A46,'Detail Sub SLS'!$F:$F,"TIDAK IKUT")</f>
        <v>0</v>
      </c>
      <c r="I46" s="37" t="n">
        <f aca="false">D46-F46-G46-H46</f>
        <v>3</v>
      </c>
      <c r="J46" s="37" t="n">
        <f aca="false">SUMPRODUCT((LEFT('Jorong Terverifikasi'!$A$2:$A$54,10)=A46)*'Jorong Terverifikasi'!$J$2:$J$54)</f>
        <v>0</v>
      </c>
      <c r="K46" s="37" t="str">
        <f aca="false">IF(F46+G46&gt;0,IF(H46&gt;0,"SEBAGIAN MASUK",IF(G46&gt;0,"MASUK + TAMBAHAN","MASUK SEMUA")),IF(H46&gt;0,"TIDAK IKUT SELURUHNYA","DI LUAR DAFTAR AWAL"))</f>
        <v>DI LUAR DAFTAR AWAL</v>
      </c>
      <c r="L46" s="43"/>
    </row>
    <row r="47" customFormat="false" ht="15" hidden="false" customHeight="true" outlineLevel="0" collapsed="false">
      <c r="A47" s="37" t="s">
        <v>1891</v>
      </c>
      <c r="B47" s="37" t="s">
        <v>1369</v>
      </c>
      <c r="C47" s="37" t="s">
        <v>442</v>
      </c>
      <c r="D47" s="37" t="n">
        <v>2</v>
      </c>
      <c r="E47" s="37" t="n">
        <v>0</v>
      </c>
      <c r="F47" s="37" t="n">
        <f aca="false">COUNTIFS('Detail Sub SLS'!$Q:$Q,A47,'Detail Sub SLS'!$F:$F,"MASUK WILAYAH KERJA")</f>
        <v>0</v>
      </c>
      <c r="G47" s="37" t="n">
        <f aca="false">COUNTIFS('Detail Sub SLS'!$Q:$Q,A47,'Detail Sub SLS'!$F:$F,"TAMBAHAN")</f>
        <v>0</v>
      </c>
      <c r="H47" s="37" t="n">
        <f aca="false">COUNTIFS('Detail Sub SLS'!$Q:$Q,A47,'Detail Sub SLS'!$F:$F,"TIDAK IKUT")</f>
        <v>0</v>
      </c>
      <c r="I47" s="37" t="n">
        <f aca="false">D47-F47-G47-H47</f>
        <v>2</v>
      </c>
      <c r="J47" s="37" t="n">
        <f aca="false">SUMPRODUCT((LEFT('Jorong Terverifikasi'!$A$2:$A$54,10)=A47)*'Jorong Terverifikasi'!$J$2:$J$54)</f>
        <v>0</v>
      </c>
      <c r="K47" s="37" t="str">
        <f aca="false">IF(F47+G47&gt;0,IF(H47&gt;0,"SEBAGIAN MASUK",IF(G47&gt;0,"MASUK + TAMBAHAN","MASUK SEMUA")),IF(H47&gt;0,"TIDAK IKUT SELURUHNYA","DI LUAR DAFTAR AWAL"))</f>
        <v>DI LUAR DAFTAR AWAL</v>
      </c>
      <c r="L47" s="43"/>
    </row>
    <row r="48" customFormat="false" ht="15" hidden="false" customHeight="true" outlineLevel="0" collapsed="false">
      <c r="A48" s="37" t="s">
        <v>1892</v>
      </c>
      <c r="B48" s="37" t="s">
        <v>1369</v>
      </c>
      <c r="C48" s="37" t="s">
        <v>1893</v>
      </c>
      <c r="D48" s="37" t="n">
        <v>4</v>
      </c>
      <c r="E48" s="37" t="n">
        <v>0</v>
      </c>
      <c r="F48" s="37" t="n">
        <f aca="false">COUNTIFS('Detail Sub SLS'!$Q:$Q,A48,'Detail Sub SLS'!$F:$F,"MASUK WILAYAH KERJA")</f>
        <v>0</v>
      </c>
      <c r="G48" s="37" t="n">
        <f aca="false">COUNTIFS('Detail Sub SLS'!$Q:$Q,A48,'Detail Sub SLS'!$F:$F,"TAMBAHAN")</f>
        <v>0</v>
      </c>
      <c r="H48" s="37" t="n">
        <f aca="false">COUNTIFS('Detail Sub SLS'!$Q:$Q,A48,'Detail Sub SLS'!$F:$F,"TIDAK IKUT")</f>
        <v>0</v>
      </c>
      <c r="I48" s="37" t="n">
        <f aca="false">D48-F48-G48-H48</f>
        <v>4</v>
      </c>
      <c r="J48" s="37" t="n">
        <f aca="false">SUMPRODUCT((LEFT('Jorong Terverifikasi'!$A$2:$A$54,10)=A48)*'Jorong Terverifikasi'!$J$2:$J$54)</f>
        <v>0</v>
      </c>
      <c r="K48" s="37" t="str">
        <f aca="false">IF(F48+G48&gt;0,IF(H48&gt;0,"SEBAGIAN MASUK",IF(G48&gt;0,"MASUK + TAMBAHAN","MASUK SEMUA")),IF(H48&gt;0,"TIDAK IKUT SELURUHNYA","DI LUAR DAFTAR AWAL"))</f>
        <v>DI LUAR DAFTAR AWAL</v>
      </c>
      <c r="L48" s="43"/>
    </row>
    <row r="49" customFormat="false" ht="15" hidden="false" customHeight="true" outlineLevel="0" collapsed="false">
      <c r="A49" s="37" t="s">
        <v>598</v>
      </c>
      <c r="B49" s="37" t="s">
        <v>221</v>
      </c>
      <c r="C49" s="37" t="s">
        <v>433</v>
      </c>
      <c r="D49" s="37" t="n">
        <v>6</v>
      </c>
      <c r="E49" s="37" t="n">
        <v>6</v>
      </c>
      <c r="F49" s="37" t="n">
        <f aca="false">COUNTIFS('Detail Sub SLS'!$Q:$Q,A49,'Detail Sub SLS'!$F:$F,"MASUK WILAYAH KERJA")</f>
        <v>0</v>
      </c>
      <c r="G49" s="37" t="n">
        <f aca="false">COUNTIFS('Detail Sub SLS'!$Q:$Q,A49,'Detail Sub SLS'!$F:$F,"TAMBAHAN")</f>
        <v>0</v>
      </c>
      <c r="H49" s="37" t="n">
        <f aca="false">COUNTIFS('Detail Sub SLS'!$Q:$Q,A49,'Detail Sub SLS'!$F:$F,"TIDAK IKUT")</f>
        <v>6</v>
      </c>
      <c r="I49" s="37" t="n">
        <f aca="false">D49-F49-G49-H49</f>
        <v>0</v>
      </c>
      <c r="J49" s="37" t="n">
        <f aca="false">SUMPRODUCT((LEFT('Jorong Terverifikasi'!$A$2:$A$54,10)=A49)*'Jorong Terverifikasi'!$J$2:$J$54)</f>
        <v>0</v>
      </c>
      <c r="K49" s="37" t="str">
        <f aca="false">IF(F49+G49&gt;0,IF(H49&gt;0,"SEBAGIAN MASUK",IF(G49&gt;0,"MASUK + TAMBAHAN","MASUK SEMUA")),IF(H49&gt;0,"TIDAK IKUT SELURUHNYA","DI LUAR DAFTAR AWAL"))</f>
        <v>TIDAK IKUT SELURUHNYA</v>
      </c>
      <c r="L49" s="43" t="s">
        <v>1852</v>
      </c>
    </row>
    <row r="50" customFormat="false" ht="15" hidden="false" customHeight="true" outlineLevel="0" collapsed="false">
      <c r="A50" s="37" t="s">
        <v>1894</v>
      </c>
      <c r="B50" s="37" t="s">
        <v>221</v>
      </c>
      <c r="C50" s="37" t="s">
        <v>407</v>
      </c>
      <c r="D50" s="37" t="n">
        <v>14</v>
      </c>
      <c r="E50" s="37" t="n">
        <v>0</v>
      </c>
      <c r="F50" s="37" t="n">
        <f aca="false">COUNTIFS('Detail Sub SLS'!$Q:$Q,A50,'Detail Sub SLS'!$F:$F,"MASUK WILAYAH KERJA")</f>
        <v>0</v>
      </c>
      <c r="G50" s="37" t="n">
        <f aca="false">COUNTIFS('Detail Sub SLS'!$Q:$Q,A50,'Detail Sub SLS'!$F:$F,"TAMBAHAN")</f>
        <v>0</v>
      </c>
      <c r="H50" s="37" t="n">
        <f aca="false">COUNTIFS('Detail Sub SLS'!$Q:$Q,A50,'Detail Sub SLS'!$F:$F,"TIDAK IKUT")</f>
        <v>0</v>
      </c>
      <c r="I50" s="37" t="n">
        <f aca="false">D50-F50-G50-H50</f>
        <v>14</v>
      </c>
      <c r="J50" s="37" t="n">
        <f aca="false">SUMPRODUCT((LEFT('Jorong Terverifikasi'!$A$2:$A$54,10)=A50)*'Jorong Terverifikasi'!$J$2:$J$54)</f>
        <v>0</v>
      </c>
      <c r="K50" s="37" t="str">
        <f aca="false">IF(F50+G50&gt;0,IF(H50&gt;0,"SEBAGIAN MASUK",IF(G50&gt;0,"MASUK + TAMBAHAN","MASUK SEMUA")),IF(H50&gt;0,"TIDAK IKUT SELURUHNYA","DI LUAR DAFTAR AWAL"))</f>
        <v>DI LUAR DAFTAR AWAL</v>
      </c>
      <c r="L50" s="43"/>
    </row>
    <row r="51" customFormat="false" ht="15" hidden="false" customHeight="true" outlineLevel="0" collapsed="false">
      <c r="A51" s="37" t="s">
        <v>1895</v>
      </c>
      <c r="B51" s="37" t="s">
        <v>221</v>
      </c>
      <c r="C51" s="37" t="s">
        <v>1896</v>
      </c>
      <c r="D51" s="37" t="n">
        <v>14</v>
      </c>
      <c r="E51" s="37" t="n">
        <v>0</v>
      </c>
      <c r="F51" s="37" t="n">
        <f aca="false">COUNTIFS('Detail Sub SLS'!$Q:$Q,A51,'Detail Sub SLS'!$F:$F,"MASUK WILAYAH KERJA")</f>
        <v>0</v>
      </c>
      <c r="G51" s="37" t="n">
        <f aca="false">COUNTIFS('Detail Sub SLS'!$Q:$Q,A51,'Detail Sub SLS'!$F:$F,"TAMBAHAN")</f>
        <v>0</v>
      </c>
      <c r="H51" s="37" t="n">
        <f aca="false">COUNTIFS('Detail Sub SLS'!$Q:$Q,A51,'Detail Sub SLS'!$F:$F,"TIDAK IKUT")</f>
        <v>0</v>
      </c>
      <c r="I51" s="37" t="n">
        <f aca="false">D51-F51-G51-H51</f>
        <v>14</v>
      </c>
      <c r="J51" s="37" t="n">
        <f aca="false">SUMPRODUCT((LEFT('Jorong Terverifikasi'!$A$2:$A$54,10)=A51)*'Jorong Terverifikasi'!$J$2:$J$54)</f>
        <v>0</v>
      </c>
      <c r="K51" s="37" t="str">
        <f aca="false">IF(F51+G51&gt;0,IF(H51&gt;0,"SEBAGIAN MASUK",IF(G51&gt;0,"MASUK + TAMBAHAN","MASUK SEMUA")),IF(H51&gt;0,"TIDAK IKUT SELURUHNYA","DI LUAR DAFTAR AWAL"))</f>
        <v>DI LUAR DAFTAR AWAL</v>
      </c>
      <c r="L51" s="43"/>
    </row>
    <row r="52" customFormat="false" ht="15" hidden="false" customHeight="true" outlineLevel="0" collapsed="false">
      <c r="A52" s="37" t="s">
        <v>1897</v>
      </c>
      <c r="B52" s="37" t="s">
        <v>221</v>
      </c>
      <c r="C52" s="37" t="s">
        <v>1898</v>
      </c>
      <c r="D52" s="37" t="n">
        <v>9</v>
      </c>
      <c r="E52" s="37" t="n">
        <v>0</v>
      </c>
      <c r="F52" s="37" t="n">
        <f aca="false">COUNTIFS('Detail Sub SLS'!$Q:$Q,A52,'Detail Sub SLS'!$F:$F,"MASUK WILAYAH KERJA")</f>
        <v>0</v>
      </c>
      <c r="G52" s="37" t="n">
        <f aca="false">COUNTIFS('Detail Sub SLS'!$Q:$Q,A52,'Detail Sub SLS'!$F:$F,"TAMBAHAN")</f>
        <v>0</v>
      </c>
      <c r="H52" s="37" t="n">
        <f aca="false">COUNTIFS('Detail Sub SLS'!$Q:$Q,A52,'Detail Sub SLS'!$F:$F,"TIDAK IKUT")</f>
        <v>0</v>
      </c>
      <c r="I52" s="37" t="n">
        <f aca="false">D52-F52-G52-H52</f>
        <v>9</v>
      </c>
      <c r="J52" s="37" t="n">
        <f aca="false">SUMPRODUCT((LEFT('Jorong Terverifikasi'!$A$2:$A$54,10)=A52)*'Jorong Terverifikasi'!$J$2:$J$54)</f>
        <v>0</v>
      </c>
      <c r="K52" s="37" t="str">
        <f aca="false">IF(F52+G52&gt;0,IF(H52&gt;0,"SEBAGIAN MASUK",IF(G52&gt;0,"MASUK + TAMBAHAN","MASUK SEMUA")),IF(H52&gt;0,"TIDAK IKUT SELURUHNYA","DI LUAR DAFTAR AWAL"))</f>
        <v>DI LUAR DAFTAR AWAL</v>
      </c>
      <c r="L52" s="43"/>
    </row>
    <row r="53" customFormat="false" ht="15" hidden="false" customHeight="true" outlineLevel="0" collapsed="false">
      <c r="A53" s="37" t="s">
        <v>1393</v>
      </c>
      <c r="B53" s="37" t="s">
        <v>221</v>
      </c>
      <c r="C53" s="37" t="s">
        <v>337</v>
      </c>
      <c r="D53" s="37" t="n">
        <v>14</v>
      </c>
      <c r="E53" s="37" t="n">
        <v>0</v>
      </c>
      <c r="F53" s="37" t="n">
        <f aca="false">COUNTIFS('Detail Sub SLS'!$Q:$Q,A53,'Detail Sub SLS'!$F:$F,"MASUK WILAYAH KERJA")</f>
        <v>0</v>
      </c>
      <c r="G53" s="37" t="n">
        <f aca="false">COUNTIFS('Detail Sub SLS'!$Q:$Q,A53,'Detail Sub SLS'!$F:$F,"TAMBAHAN")</f>
        <v>14</v>
      </c>
      <c r="H53" s="37" t="n">
        <f aca="false">COUNTIFS('Detail Sub SLS'!$Q:$Q,A53,'Detail Sub SLS'!$F:$F,"TIDAK IKUT")</f>
        <v>0</v>
      </c>
      <c r="I53" s="37" t="n">
        <f aca="false">D53-F53-G53-H53</f>
        <v>0</v>
      </c>
      <c r="J53" s="37" t="n">
        <f aca="false">SUMPRODUCT((LEFT('Jorong Terverifikasi'!$A$2:$A$54,10)=A53)*'Jorong Terverifikasi'!$J$2:$J$54)</f>
        <v>0</v>
      </c>
      <c r="K53" s="37" t="str">
        <f aca="false">IF(F53+G53&gt;0,IF(H53&gt;0,"SEBAGIAN MASUK",IF(G53&gt;0,"MASUK + TAMBAHAN","MASUK SEMUA")),IF(H53&gt;0,"TIDAK IKUT SELURUHNYA","DI LUAR DAFTAR AWAL"))</f>
        <v>MASUK + TAMBAHAN</v>
      </c>
      <c r="L53" s="43"/>
    </row>
    <row r="54" customFormat="false" ht="15" hidden="false" customHeight="true" outlineLevel="0" collapsed="false">
      <c r="A54" s="37" t="s">
        <v>624</v>
      </c>
      <c r="B54" s="37" t="s">
        <v>221</v>
      </c>
      <c r="C54" s="37" t="s">
        <v>222</v>
      </c>
      <c r="D54" s="37" t="n">
        <v>8</v>
      </c>
      <c r="E54" s="37" t="n">
        <v>8</v>
      </c>
      <c r="F54" s="37" t="n">
        <f aca="false">COUNTIFS('Detail Sub SLS'!$Q:$Q,A54,'Detail Sub SLS'!$F:$F,"MASUK WILAYAH KERJA")</f>
        <v>4</v>
      </c>
      <c r="G54" s="37" t="n">
        <f aca="false">COUNTIFS('Detail Sub SLS'!$Q:$Q,A54,'Detail Sub SLS'!$F:$F,"TAMBAHAN")</f>
        <v>0</v>
      </c>
      <c r="H54" s="37" t="n">
        <f aca="false">COUNTIFS('Detail Sub SLS'!$Q:$Q,A54,'Detail Sub SLS'!$F:$F,"TIDAK IKUT")</f>
        <v>4</v>
      </c>
      <c r="I54" s="37" t="n">
        <f aca="false">D54-F54-G54-H54</f>
        <v>0</v>
      </c>
      <c r="J54" s="37" t="n">
        <f aca="false">SUMPRODUCT((LEFT('Jorong Terverifikasi'!$A$2:$A$54,10)=A54)*'Jorong Terverifikasi'!$J$2:$J$54)</f>
        <v>17</v>
      </c>
      <c r="K54" s="37" t="str">
        <f aca="false">IF(F54+G54&gt;0,IF(H54&gt;0,"SEBAGIAN MASUK",IF(G54&gt;0,"MASUK + TAMBAHAN","MASUK SEMUA")),IF(H54&gt;0,"TIDAK IKUT SELURUHNYA","DI LUAR DAFTAR AWAL"))</f>
        <v>SEBAGIAN MASUK</v>
      </c>
      <c r="L54" s="43"/>
    </row>
    <row r="55" customFormat="false" ht="15" hidden="false" customHeight="true" outlineLevel="0" collapsed="false">
      <c r="A55" s="37" t="s">
        <v>641</v>
      </c>
      <c r="B55" s="37" t="s">
        <v>221</v>
      </c>
      <c r="C55" s="37" t="s">
        <v>340</v>
      </c>
      <c r="D55" s="37" t="n">
        <v>36</v>
      </c>
      <c r="E55" s="37" t="n">
        <v>36</v>
      </c>
      <c r="F55" s="37" t="n">
        <f aca="false">COUNTIFS('Detail Sub SLS'!$Q:$Q,A55,'Detail Sub SLS'!$F:$F,"MASUK WILAYAH KERJA")</f>
        <v>27</v>
      </c>
      <c r="G55" s="37" t="n">
        <f aca="false">COUNTIFS('Detail Sub SLS'!$Q:$Q,A55,'Detail Sub SLS'!$F:$F,"TAMBAHAN")</f>
        <v>0</v>
      </c>
      <c r="H55" s="37" t="n">
        <f aca="false">COUNTIFS('Detail Sub SLS'!$Q:$Q,A55,'Detail Sub SLS'!$F:$F,"TIDAK IKUT")</f>
        <v>9</v>
      </c>
      <c r="I55" s="37" t="n">
        <f aca="false">D55-F55-G55-H55</f>
        <v>0</v>
      </c>
      <c r="J55" s="37" t="n">
        <f aca="false">SUMPRODUCT((LEFT('Jorong Terverifikasi'!$A$2:$A$54,10)=A55)*'Jorong Terverifikasi'!$J$2:$J$54)</f>
        <v>2054</v>
      </c>
      <c r="K55" s="37" t="str">
        <f aca="false">IF(F55+G55&gt;0,IF(H55&gt;0,"SEBAGIAN MASUK",IF(G55&gt;0,"MASUK + TAMBAHAN","MASUK SEMUA")),IF(H55&gt;0,"TIDAK IKUT SELURUHNYA","DI LUAR DAFTAR AWAL"))</f>
        <v>SEBAGIAN MASUK</v>
      </c>
      <c r="L55" s="43"/>
    </row>
    <row r="56" customFormat="false" ht="15" hidden="false" customHeight="true" outlineLevel="0" collapsed="false">
      <c r="A56" s="37" t="s">
        <v>618</v>
      </c>
      <c r="B56" s="37" t="s">
        <v>221</v>
      </c>
      <c r="C56" s="37" t="s">
        <v>310</v>
      </c>
      <c r="D56" s="37" t="n">
        <v>60</v>
      </c>
      <c r="E56" s="37" t="n">
        <v>60</v>
      </c>
      <c r="F56" s="37" t="n">
        <f aca="false">COUNTIFS('Detail Sub SLS'!$Q:$Q,A56,'Detail Sub SLS'!$F:$F,"MASUK WILAYAH KERJA")</f>
        <v>18</v>
      </c>
      <c r="G56" s="37" t="n">
        <f aca="false">COUNTIFS('Detail Sub SLS'!$Q:$Q,A56,'Detail Sub SLS'!$F:$F,"TAMBAHAN")</f>
        <v>0</v>
      </c>
      <c r="H56" s="37" t="n">
        <f aca="false">COUNTIFS('Detail Sub SLS'!$Q:$Q,A56,'Detail Sub SLS'!$F:$F,"TIDAK IKUT")</f>
        <v>42</v>
      </c>
      <c r="I56" s="37" t="n">
        <f aca="false">D56-F56-G56-H56</f>
        <v>0</v>
      </c>
      <c r="J56" s="37" t="n">
        <f aca="false">SUMPRODUCT((LEFT('Jorong Terverifikasi'!$A$2:$A$54,10)=A56)*'Jorong Terverifikasi'!$J$2:$J$54)</f>
        <v>3</v>
      </c>
      <c r="K56" s="37" t="str">
        <f aca="false">IF(F56+G56&gt;0,IF(H56&gt;0,"SEBAGIAN MASUK",IF(G56&gt;0,"MASUK + TAMBAHAN","MASUK SEMUA")),IF(H56&gt;0,"TIDAK IKUT SELURUHNYA","DI LUAR DAFTAR AWAL"))</f>
        <v>SEBAGIAN MASUK</v>
      </c>
      <c r="L56" s="43"/>
    </row>
    <row r="57" customFormat="false" ht="15" hidden="false" customHeight="true" outlineLevel="0" collapsed="false">
      <c r="A57" s="37" t="s">
        <v>1899</v>
      </c>
      <c r="B57" s="37" t="s">
        <v>230</v>
      </c>
      <c r="C57" s="37" t="s">
        <v>462</v>
      </c>
      <c r="D57" s="37" t="n">
        <v>3</v>
      </c>
      <c r="E57" s="37" t="n">
        <v>0</v>
      </c>
      <c r="F57" s="37" t="n">
        <f aca="false">COUNTIFS('Detail Sub SLS'!$Q:$Q,A57,'Detail Sub SLS'!$F:$F,"MASUK WILAYAH KERJA")</f>
        <v>0</v>
      </c>
      <c r="G57" s="37" t="n">
        <f aca="false">COUNTIFS('Detail Sub SLS'!$Q:$Q,A57,'Detail Sub SLS'!$F:$F,"TAMBAHAN")</f>
        <v>0</v>
      </c>
      <c r="H57" s="37" t="n">
        <f aca="false">COUNTIFS('Detail Sub SLS'!$Q:$Q,A57,'Detail Sub SLS'!$F:$F,"TIDAK IKUT")</f>
        <v>0</v>
      </c>
      <c r="I57" s="37" t="n">
        <f aca="false">D57-F57-G57-H57</f>
        <v>3</v>
      </c>
      <c r="J57" s="37" t="n">
        <f aca="false">SUMPRODUCT((LEFT('Jorong Terverifikasi'!$A$2:$A$54,10)=A57)*'Jorong Terverifikasi'!$J$2:$J$54)</f>
        <v>0</v>
      </c>
      <c r="K57" s="37" t="str">
        <f aca="false">IF(F57+G57&gt;0,IF(H57&gt;0,"SEBAGIAN MASUK",IF(G57&gt;0,"MASUK + TAMBAHAN","MASUK SEMUA")),IF(H57&gt;0,"TIDAK IKUT SELURUHNYA","DI LUAR DAFTAR AWAL"))</f>
        <v>DI LUAR DAFTAR AWAL</v>
      </c>
      <c r="L57" s="43"/>
    </row>
    <row r="58" customFormat="false" ht="15" hidden="false" customHeight="true" outlineLevel="0" collapsed="false">
      <c r="A58" s="37" t="s">
        <v>1900</v>
      </c>
      <c r="B58" s="37" t="s">
        <v>230</v>
      </c>
      <c r="C58" s="37" t="s">
        <v>1901</v>
      </c>
      <c r="D58" s="37" t="n">
        <v>7</v>
      </c>
      <c r="E58" s="37" t="n">
        <v>0</v>
      </c>
      <c r="F58" s="37" t="n">
        <f aca="false">COUNTIFS('Detail Sub SLS'!$Q:$Q,A58,'Detail Sub SLS'!$F:$F,"MASUK WILAYAH KERJA")</f>
        <v>0</v>
      </c>
      <c r="G58" s="37" t="n">
        <f aca="false">COUNTIFS('Detail Sub SLS'!$Q:$Q,A58,'Detail Sub SLS'!$F:$F,"TAMBAHAN")</f>
        <v>0</v>
      </c>
      <c r="H58" s="37" t="n">
        <f aca="false">COUNTIFS('Detail Sub SLS'!$Q:$Q,A58,'Detail Sub SLS'!$F:$F,"TIDAK IKUT")</f>
        <v>0</v>
      </c>
      <c r="I58" s="37" t="n">
        <f aca="false">D58-F58-G58-H58</f>
        <v>7</v>
      </c>
      <c r="J58" s="37" t="n">
        <f aca="false">SUMPRODUCT((LEFT('Jorong Terverifikasi'!$A$2:$A$54,10)=A58)*'Jorong Terverifikasi'!$J$2:$J$54)</f>
        <v>0</v>
      </c>
      <c r="K58" s="37" t="str">
        <f aca="false">IF(F58+G58&gt;0,IF(H58&gt;0,"SEBAGIAN MASUK",IF(G58&gt;0,"MASUK + TAMBAHAN","MASUK SEMUA")),IF(H58&gt;0,"TIDAK IKUT SELURUHNYA","DI LUAR DAFTAR AWAL"))</f>
        <v>DI LUAR DAFTAR AWAL</v>
      </c>
      <c r="L58" s="43"/>
    </row>
    <row r="59" customFormat="false" ht="15" hidden="false" customHeight="true" outlineLevel="0" collapsed="false">
      <c r="A59" s="37" t="s">
        <v>1902</v>
      </c>
      <c r="B59" s="37" t="s">
        <v>230</v>
      </c>
      <c r="C59" s="37" t="s">
        <v>460</v>
      </c>
      <c r="D59" s="37" t="n">
        <v>10</v>
      </c>
      <c r="E59" s="37" t="n">
        <v>0</v>
      </c>
      <c r="F59" s="37" t="n">
        <f aca="false">COUNTIFS('Detail Sub SLS'!$Q:$Q,A59,'Detail Sub SLS'!$F:$F,"MASUK WILAYAH KERJA")</f>
        <v>0</v>
      </c>
      <c r="G59" s="37" t="n">
        <f aca="false">COUNTIFS('Detail Sub SLS'!$Q:$Q,A59,'Detail Sub SLS'!$F:$F,"TAMBAHAN")</f>
        <v>0</v>
      </c>
      <c r="H59" s="37" t="n">
        <f aca="false">COUNTIFS('Detail Sub SLS'!$Q:$Q,A59,'Detail Sub SLS'!$F:$F,"TIDAK IKUT")</f>
        <v>0</v>
      </c>
      <c r="I59" s="37" t="n">
        <f aca="false">D59-F59-G59-H59</f>
        <v>10</v>
      </c>
      <c r="J59" s="37" t="n">
        <f aca="false">SUMPRODUCT((LEFT('Jorong Terverifikasi'!$A$2:$A$54,10)=A59)*'Jorong Terverifikasi'!$J$2:$J$54)</f>
        <v>0</v>
      </c>
      <c r="K59" s="37" t="str">
        <f aca="false">IF(F59+G59&gt;0,IF(H59&gt;0,"SEBAGIAN MASUK",IF(G59&gt;0,"MASUK + TAMBAHAN","MASUK SEMUA")),IF(H59&gt;0,"TIDAK IKUT SELURUHNYA","DI LUAR DAFTAR AWAL"))</f>
        <v>DI LUAR DAFTAR AWAL</v>
      </c>
      <c r="L59" s="43"/>
    </row>
    <row r="60" customFormat="false" ht="15" hidden="false" customHeight="true" outlineLevel="0" collapsed="false">
      <c r="A60" s="37" t="s">
        <v>1903</v>
      </c>
      <c r="B60" s="37" t="s">
        <v>230</v>
      </c>
      <c r="C60" s="37" t="s">
        <v>1904</v>
      </c>
      <c r="D60" s="37" t="n">
        <v>3</v>
      </c>
      <c r="E60" s="37" t="n">
        <v>0</v>
      </c>
      <c r="F60" s="37" t="n">
        <f aca="false">COUNTIFS('Detail Sub SLS'!$Q:$Q,A60,'Detail Sub SLS'!$F:$F,"MASUK WILAYAH KERJA")</f>
        <v>0</v>
      </c>
      <c r="G60" s="37" t="n">
        <f aca="false">COUNTIFS('Detail Sub SLS'!$Q:$Q,A60,'Detail Sub SLS'!$F:$F,"TAMBAHAN")</f>
        <v>0</v>
      </c>
      <c r="H60" s="37" t="n">
        <f aca="false">COUNTIFS('Detail Sub SLS'!$Q:$Q,A60,'Detail Sub SLS'!$F:$F,"TIDAK IKUT")</f>
        <v>0</v>
      </c>
      <c r="I60" s="37" t="n">
        <f aca="false">D60-F60-G60-H60</f>
        <v>3</v>
      </c>
      <c r="J60" s="37" t="n">
        <f aca="false">SUMPRODUCT((LEFT('Jorong Terverifikasi'!$A$2:$A$54,10)=A60)*'Jorong Terverifikasi'!$J$2:$J$54)</f>
        <v>0</v>
      </c>
      <c r="K60" s="37" t="str">
        <f aca="false">IF(F60+G60&gt;0,IF(H60&gt;0,"SEBAGIAN MASUK",IF(G60&gt;0,"MASUK + TAMBAHAN","MASUK SEMUA")),IF(H60&gt;0,"TIDAK IKUT SELURUHNYA","DI LUAR DAFTAR AWAL"))</f>
        <v>DI LUAR DAFTAR AWAL</v>
      </c>
      <c r="L60" s="43"/>
    </row>
    <row r="61" customFormat="false" ht="15" hidden="false" customHeight="true" outlineLevel="0" collapsed="false">
      <c r="A61" s="37" t="s">
        <v>1905</v>
      </c>
      <c r="B61" s="37" t="s">
        <v>230</v>
      </c>
      <c r="C61" s="37" t="s">
        <v>1906</v>
      </c>
      <c r="D61" s="37" t="n">
        <v>25</v>
      </c>
      <c r="E61" s="37" t="n">
        <v>0</v>
      </c>
      <c r="F61" s="37" t="n">
        <f aca="false">COUNTIFS('Detail Sub SLS'!$Q:$Q,A61,'Detail Sub SLS'!$F:$F,"MASUK WILAYAH KERJA")</f>
        <v>0</v>
      </c>
      <c r="G61" s="37" t="n">
        <f aca="false">COUNTIFS('Detail Sub SLS'!$Q:$Q,A61,'Detail Sub SLS'!$F:$F,"TAMBAHAN")</f>
        <v>0</v>
      </c>
      <c r="H61" s="37" t="n">
        <f aca="false">COUNTIFS('Detail Sub SLS'!$Q:$Q,A61,'Detail Sub SLS'!$F:$F,"TIDAK IKUT")</f>
        <v>0</v>
      </c>
      <c r="I61" s="37" t="n">
        <f aca="false">D61-F61-G61-H61</f>
        <v>25</v>
      </c>
      <c r="J61" s="37" t="n">
        <f aca="false">SUMPRODUCT((LEFT('Jorong Terverifikasi'!$A$2:$A$54,10)=A61)*'Jorong Terverifikasi'!$J$2:$J$54)</f>
        <v>0</v>
      </c>
      <c r="K61" s="37" t="str">
        <f aca="false">IF(F61+G61&gt;0,IF(H61&gt;0,"SEBAGIAN MASUK",IF(G61&gt;0,"MASUK + TAMBAHAN","MASUK SEMUA")),IF(H61&gt;0,"TIDAK IKUT SELURUHNYA","DI LUAR DAFTAR AWAL"))</f>
        <v>DI LUAR DAFTAR AWAL</v>
      </c>
      <c r="L61" s="43"/>
    </row>
    <row r="62" customFormat="false" ht="15" hidden="false" customHeight="true" outlineLevel="0" collapsed="false">
      <c r="A62" s="37" t="s">
        <v>1907</v>
      </c>
      <c r="B62" s="37" t="s">
        <v>230</v>
      </c>
      <c r="C62" s="37" t="s">
        <v>516</v>
      </c>
      <c r="D62" s="37" t="n">
        <v>4</v>
      </c>
      <c r="E62" s="37" t="n">
        <v>0</v>
      </c>
      <c r="F62" s="37" t="n">
        <f aca="false">COUNTIFS('Detail Sub SLS'!$Q:$Q,A62,'Detail Sub SLS'!$F:$F,"MASUK WILAYAH KERJA")</f>
        <v>0</v>
      </c>
      <c r="G62" s="37" t="n">
        <f aca="false">COUNTIFS('Detail Sub SLS'!$Q:$Q,A62,'Detail Sub SLS'!$F:$F,"TAMBAHAN")</f>
        <v>0</v>
      </c>
      <c r="H62" s="37" t="n">
        <f aca="false">COUNTIFS('Detail Sub SLS'!$Q:$Q,A62,'Detail Sub SLS'!$F:$F,"TIDAK IKUT")</f>
        <v>0</v>
      </c>
      <c r="I62" s="37" t="n">
        <f aca="false">D62-F62-G62-H62</f>
        <v>4</v>
      </c>
      <c r="J62" s="37" t="n">
        <f aca="false">SUMPRODUCT((LEFT('Jorong Terverifikasi'!$A$2:$A$54,10)=A62)*'Jorong Terverifikasi'!$J$2:$J$54)</f>
        <v>0</v>
      </c>
      <c r="K62" s="37" t="str">
        <f aca="false">IF(F62+G62&gt;0,IF(H62&gt;0,"SEBAGIAN MASUK",IF(G62&gt;0,"MASUK + TAMBAHAN","MASUK SEMUA")),IF(H62&gt;0,"TIDAK IKUT SELURUHNYA","DI LUAR DAFTAR AWAL"))</f>
        <v>DI LUAR DAFTAR AWAL</v>
      </c>
      <c r="L62" s="43"/>
    </row>
    <row r="63" customFormat="false" ht="15" hidden="false" customHeight="true" outlineLevel="0" collapsed="false">
      <c r="A63" s="37" t="s">
        <v>611</v>
      </c>
      <c r="B63" s="37" t="s">
        <v>230</v>
      </c>
      <c r="C63" s="37" t="s">
        <v>231</v>
      </c>
      <c r="D63" s="37" t="n">
        <v>6</v>
      </c>
      <c r="E63" s="37" t="n">
        <v>6</v>
      </c>
      <c r="F63" s="37" t="n">
        <f aca="false">COUNTIFS('Detail Sub SLS'!$Q:$Q,A63,'Detail Sub SLS'!$F:$F,"MASUK WILAYAH KERJA")</f>
        <v>2</v>
      </c>
      <c r="G63" s="37" t="n">
        <f aca="false">COUNTIFS('Detail Sub SLS'!$Q:$Q,A63,'Detail Sub SLS'!$F:$F,"TAMBAHAN")</f>
        <v>0</v>
      </c>
      <c r="H63" s="37" t="n">
        <f aca="false">COUNTIFS('Detail Sub SLS'!$Q:$Q,A63,'Detail Sub SLS'!$F:$F,"TIDAK IKUT")</f>
        <v>4</v>
      </c>
      <c r="I63" s="37" t="n">
        <f aca="false">D63-F63-G63-H63</f>
        <v>0</v>
      </c>
      <c r="J63" s="37" t="n">
        <f aca="false">SUMPRODUCT((LEFT('Jorong Terverifikasi'!$A$2:$A$54,10)=A63)*'Jorong Terverifikasi'!$J$2:$J$54)</f>
        <v>1</v>
      </c>
      <c r="K63" s="37" t="str">
        <f aca="false">IF(F63+G63&gt;0,IF(H63&gt;0,"SEBAGIAN MASUK",IF(G63&gt;0,"MASUK + TAMBAHAN","MASUK SEMUA")),IF(H63&gt;0,"TIDAK IKUT SELURUHNYA","DI LUAR DAFTAR AWAL"))</f>
        <v>SEBAGIAN MASUK</v>
      </c>
      <c r="L63" s="43" t="s">
        <v>1908</v>
      </c>
    </row>
    <row r="64" customFormat="false" ht="15" hidden="false" customHeight="true" outlineLevel="0" collapsed="false">
      <c r="A64" s="37" t="s">
        <v>1909</v>
      </c>
      <c r="B64" s="37" t="s">
        <v>230</v>
      </c>
      <c r="C64" s="37" t="s">
        <v>1910</v>
      </c>
      <c r="D64" s="37" t="n">
        <v>6</v>
      </c>
      <c r="E64" s="37" t="n">
        <v>0</v>
      </c>
      <c r="F64" s="37" t="n">
        <f aca="false">COUNTIFS('Detail Sub SLS'!$Q:$Q,A64,'Detail Sub SLS'!$F:$F,"MASUK WILAYAH KERJA")</f>
        <v>0</v>
      </c>
      <c r="G64" s="37" t="n">
        <f aca="false">COUNTIFS('Detail Sub SLS'!$Q:$Q,A64,'Detail Sub SLS'!$F:$F,"TAMBAHAN")</f>
        <v>0</v>
      </c>
      <c r="H64" s="37" t="n">
        <f aca="false">COUNTIFS('Detail Sub SLS'!$Q:$Q,A64,'Detail Sub SLS'!$F:$F,"TIDAK IKUT")</f>
        <v>0</v>
      </c>
      <c r="I64" s="37" t="n">
        <f aca="false">D64-F64-G64-H64</f>
        <v>6</v>
      </c>
      <c r="J64" s="37" t="n">
        <f aca="false">SUMPRODUCT((LEFT('Jorong Terverifikasi'!$A$2:$A$54,10)=A64)*'Jorong Terverifikasi'!$J$2:$J$54)</f>
        <v>0</v>
      </c>
      <c r="K64" s="37" t="str">
        <f aca="false">IF(F64+G64&gt;0,IF(H64&gt;0,"SEBAGIAN MASUK",IF(G64&gt;0,"MASUK + TAMBAHAN","MASUK SEMUA")),IF(H64&gt;0,"TIDAK IKUT SELURUHNYA","DI LUAR DAFTAR AWAL"))</f>
        <v>DI LUAR DAFTAR AWAL</v>
      </c>
      <c r="L64" s="43"/>
    </row>
    <row r="65" customFormat="false" ht="15" hidden="false" customHeight="true" outlineLevel="0" collapsed="false">
      <c r="A65" s="37" t="s">
        <v>616</v>
      </c>
      <c r="B65" s="37" t="s">
        <v>230</v>
      </c>
      <c r="C65" s="37" t="s">
        <v>244</v>
      </c>
      <c r="D65" s="37" t="n">
        <v>10</v>
      </c>
      <c r="E65" s="37" t="n">
        <v>10</v>
      </c>
      <c r="F65" s="37" t="n">
        <f aca="false">COUNTIFS('Detail Sub SLS'!$Q:$Q,A65,'Detail Sub SLS'!$F:$F,"MASUK WILAYAH KERJA")</f>
        <v>4</v>
      </c>
      <c r="G65" s="37" t="n">
        <f aca="false">COUNTIFS('Detail Sub SLS'!$Q:$Q,A65,'Detail Sub SLS'!$F:$F,"TAMBAHAN")</f>
        <v>0</v>
      </c>
      <c r="H65" s="37" t="n">
        <f aca="false">COUNTIFS('Detail Sub SLS'!$Q:$Q,A65,'Detail Sub SLS'!$F:$F,"TIDAK IKUT")</f>
        <v>6</v>
      </c>
      <c r="I65" s="37" t="n">
        <f aca="false">D65-F65-G65-H65</f>
        <v>0</v>
      </c>
      <c r="J65" s="37" t="n">
        <f aca="false">SUMPRODUCT((LEFT('Jorong Terverifikasi'!$A$2:$A$54,10)=A65)*'Jorong Terverifikasi'!$J$2:$J$54)</f>
        <v>2</v>
      </c>
      <c r="K65" s="37" t="str">
        <f aca="false">IF(F65+G65&gt;0,IF(H65&gt;0,"SEBAGIAN MASUK",IF(G65&gt;0,"MASUK + TAMBAHAN","MASUK SEMUA")),IF(H65&gt;0,"TIDAK IKUT SELURUHNYA","DI LUAR DAFTAR AWAL"))</f>
        <v>SEBAGIAN MASUK</v>
      </c>
      <c r="L65" s="43" t="s">
        <v>1911</v>
      </c>
    </row>
    <row r="66" customFormat="false" ht="15" hidden="false" customHeight="true" outlineLevel="0" collapsed="false">
      <c r="A66" s="37" t="s">
        <v>1618</v>
      </c>
      <c r="B66" s="37" t="s">
        <v>266</v>
      </c>
      <c r="C66" s="37" t="s">
        <v>467</v>
      </c>
      <c r="D66" s="37" t="n">
        <v>9</v>
      </c>
      <c r="E66" s="37" t="n">
        <v>0</v>
      </c>
      <c r="F66" s="37" t="n">
        <f aca="false">COUNTIFS('Detail Sub SLS'!$Q:$Q,A66,'Detail Sub SLS'!$F:$F,"MASUK WILAYAH KERJA")</f>
        <v>0</v>
      </c>
      <c r="G66" s="37" t="n">
        <f aca="false">COUNTIFS('Detail Sub SLS'!$Q:$Q,A66,'Detail Sub SLS'!$F:$F,"TAMBAHAN")</f>
        <v>4</v>
      </c>
      <c r="H66" s="37" t="n">
        <f aca="false">COUNTIFS('Detail Sub SLS'!$Q:$Q,A66,'Detail Sub SLS'!$F:$F,"TIDAK IKUT")</f>
        <v>0</v>
      </c>
      <c r="I66" s="37" t="n">
        <f aca="false">D66-F66-G66-H66</f>
        <v>5</v>
      </c>
      <c r="J66" s="37" t="n">
        <f aca="false">SUMPRODUCT((LEFT('Jorong Terverifikasi'!$A$2:$A$54,10)=A66)*'Jorong Terverifikasi'!$J$2:$J$54)</f>
        <v>2</v>
      </c>
      <c r="K66" s="37" t="str">
        <f aca="false">IF(F66+G66&gt;0,IF(H66&gt;0,"SEBAGIAN MASUK",IF(G66&gt;0,"MASUK + TAMBAHAN","MASUK SEMUA")),IF(H66&gt;0,"TIDAK IKUT SELURUHNYA","DI LUAR DAFTAR AWAL"))</f>
        <v>MASUK + TAMBAHAN</v>
      </c>
      <c r="L66" s="43"/>
    </row>
    <row r="67" customFormat="false" ht="15" hidden="false" customHeight="true" outlineLevel="0" collapsed="false">
      <c r="A67" s="37" t="s">
        <v>628</v>
      </c>
      <c r="B67" s="37" t="s">
        <v>266</v>
      </c>
      <c r="C67" s="37" t="s">
        <v>376</v>
      </c>
      <c r="D67" s="37" t="n">
        <v>5</v>
      </c>
      <c r="E67" s="37" t="n">
        <v>5</v>
      </c>
      <c r="F67" s="37" t="n">
        <f aca="false">COUNTIFS('Detail Sub SLS'!$Q:$Q,A67,'Detail Sub SLS'!$F:$F,"MASUK WILAYAH KERJA")</f>
        <v>3</v>
      </c>
      <c r="G67" s="37" t="n">
        <f aca="false">COUNTIFS('Detail Sub SLS'!$Q:$Q,A67,'Detail Sub SLS'!$F:$F,"TAMBAHAN")</f>
        <v>0</v>
      </c>
      <c r="H67" s="37" t="n">
        <f aca="false">COUNTIFS('Detail Sub SLS'!$Q:$Q,A67,'Detail Sub SLS'!$F:$F,"TIDAK IKUT")</f>
        <v>2</v>
      </c>
      <c r="I67" s="37" t="n">
        <f aca="false">D67-F67-G67-H67</f>
        <v>0</v>
      </c>
      <c r="J67" s="37" t="n">
        <f aca="false">SUMPRODUCT((LEFT('Jorong Terverifikasi'!$A$2:$A$54,10)=A67)*'Jorong Terverifikasi'!$J$2:$J$54)</f>
        <v>0</v>
      </c>
      <c r="K67" s="37" t="str">
        <f aca="false">IF(F67+G67&gt;0,IF(H67&gt;0,"SEBAGIAN MASUK",IF(G67&gt;0,"MASUK + TAMBAHAN","MASUK SEMUA")),IF(H67&gt;0,"TIDAK IKUT SELURUHNYA","DI LUAR DAFTAR AWAL"))</f>
        <v>SEBAGIAN MASUK</v>
      </c>
      <c r="L67" s="43"/>
    </row>
    <row r="68" customFormat="false" ht="15" hidden="false" customHeight="true" outlineLevel="0" collapsed="false">
      <c r="A68" s="37" t="s">
        <v>1912</v>
      </c>
      <c r="B68" s="37" t="s">
        <v>266</v>
      </c>
      <c r="C68" s="37" t="s">
        <v>402</v>
      </c>
      <c r="D68" s="37" t="n">
        <v>16</v>
      </c>
      <c r="E68" s="37" t="n">
        <v>0</v>
      </c>
      <c r="F68" s="37" t="n">
        <f aca="false">COUNTIFS('Detail Sub SLS'!$Q:$Q,A68,'Detail Sub SLS'!$F:$F,"MASUK WILAYAH KERJA")</f>
        <v>0</v>
      </c>
      <c r="G68" s="37" t="n">
        <f aca="false">COUNTIFS('Detail Sub SLS'!$Q:$Q,A68,'Detail Sub SLS'!$F:$F,"TAMBAHAN")</f>
        <v>0</v>
      </c>
      <c r="H68" s="37" t="n">
        <f aca="false">COUNTIFS('Detail Sub SLS'!$Q:$Q,A68,'Detail Sub SLS'!$F:$F,"TIDAK IKUT")</f>
        <v>0</v>
      </c>
      <c r="I68" s="37" t="n">
        <f aca="false">D68-F68-G68-H68</f>
        <v>16</v>
      </c>
      <c r="J68" s="37" t="n">
        <f aca="false">SUMPRODUCT((LEFT('Jorong Terverifikasi'!$A$2:$A$54,10)=A68)*'Jorong Terverifikasi'!$J$2:$J$54)</f>
        <v>0</v>
      </c>
      <c r="K68" s="37" t="str">
        <f aca="false">IF(F68+G68&gt;0,IF(H68&gt;0,"SEBAGIAN MASUK",IF(G68&gt;0,"MASUK + TAMBAHAN","MASUK SEMUA")),IF(H68&gt;0,"TIDAK IKUT SELURUHNYA","DI LUAR DAFTAR AWAL"))</f>
        <v>DI LUAR DAFTAR AWAL</v>
      </c>
      <c r="L68" s="43"/>
    </row>
    <row r="69" customFormat="false" ht="15" hidden="false" customHeight="true" outlineLevel="0" collapsed="false">
      <c r="A69" s="37" t="s">
        <v>637</v>
      </c>
      <c r="B69" s="37" t="s">
        <v>266</v>
      </c>
      <c r="C69" s="37" t="s">
        <v>367</v>
      </c>
      <c r="D69" s="37" t="n">
        <v>23</v>
      </c>
      <c r="E69" s="37" t="n">
        <v>23</v>
      </c>
      <c r="F69" s="37" t="n">
        <f aca="false">COUNTIFS('Detail Sub SLS'!$Q:$Q,A69,'Detail Sub SLS'!$F:$F,"MASUK WILAYAH KERJA")</f>
        <v>23</v>
      </c>
      <c r="G69" s="37" t="n">
        <f aca="false">COUNTIFS('Detail Sub SLS'!$Q:$Q,A69,'Detail Sub SLS'!$F:$F,"TAMBAHAN")</f>
        <v>0</v>
      </c>
      <c r="H69" s="37" t="n">
        <f aca="false">COUNTIFS('Detail Sub SLS'!$Q:$Q,A69,'Detail Sub SLS'!$F:$F,"TIDAK IKUT")</f>
        <v>0</v>
      </c>
      <c r="I69" s="37" t="n">
        <f aca="false">D69-F69-G69-H69</f>
        <v>0</v>
      </c>
      <c r="J69" s="37" t="n">
        <f aca="false">SUMPRODUCT((LEFT('Jorong Terverifikasi'!$A$2:$A$54,10)=A69)*'Jorong Terverifikasi'!$J$2:$J$54)</f>
        <v>325</v>
      </c>
      <c r="K69" s="37" t="str">
        <f aca="false">IF(F69+G69&gt;0,IF(H69&gt;0,"SEBAGIAN MASUK",IF(G69&gt;0,"MASUK + TAMBAHAN","MASUK SEMUA")),IF(H69&gt;0,"TIDAK IKUT SELURUHNYA","DI LUAR DAFTAR AWAL"))</f>
        <v>MASUK SEMUA</v>
      </c>
      <c r="L69" s="43"/>
    </row>
    <row r="70" customFormat="false" ht="15" hidden="false" customHeight="true" outlineLevel="0" collapsed="false">
      <c r="A70" s="37" t="s">
        <v>639</v>
      </c>
      <c r="B70" s="37" t="s">
        <v>266</v>
      </c>
      <c r="C70" s="37" t="s">
        <v>267</v>
      </c>
      <c r="D70" s="37" t="n">
        <v>15</v>
      </c>
      <c r="E70" s="37" t="n">
        <v>15</v>
      </c>
      <c r="F70" s="37" t="n">
        <f aca="false">COUNTIFS('Detail Sub SLS'!$Q:$Q,A70,'Detail Sub SLS'!$F:$F,"MASUK WILAYAH KERJA")</f>
        <v>12</v>
      </c>
      <c r="G70" s="37" t="n">
        <f aca="false">COUNTIFS('Detail Sub SLS'!$Q:$Q,A70,'Detail Sub SLS'!$F:$F,"TAMBAHAN")</f>
        <v>0</v>
      </c>
      <c r="H70" s="37" t="n">
        <f aca="false">COUNTIFS('Detail Sub SLS'!$Q:$Q,A70,'Detail Sub SLS'!$F:$F,"TIDAK IKUT")</f>
        <v>3</v>
      </c>
      <c r="I70" s="37" t="n">
        <f aca="false">D70-F70-G70-H70</f>
        <v>0</v>
      </c>
      <c r="J70" s="37" t="n">
        <f aca="false">SUMPRODUCT((LEFT('Jorong Terverifikasi'!$A$2:$A$54,10)=A70)*'Jorong Terverifikasi'!$J$2:$J$54)</f>
        <v>326</v>
      </c>
      <c r="K70" s="37" t="str">
        <f aca="false">IF(F70+G70&gt;0,IF(H70&gt;0,"SEBAGIAN MASUK",IF(G70&gt;0,"MASUK + TAMBAHAN","MASUK SEMUA")),IF(H70&gt;0,"TIDAK IKUT SELURUHNYA","DI LUAR DAFTAR AWAL"))</f>
        <v>SEBAGIAN MASUK</v>
      </c>
      <c r="L70" s="43"/>
    </row>
    <row r="71" customFormat="false" ht="15" hidden="false" customHeight="true" outlineLevel="0" collapsed="false">
      <c r="A71" s="37" t="s">
        <v>629</v>
      </c>
      <c r="B71" s="37" t="s">
        <v>266</v>
      </c>
      <c r="C71" s="37" t="s">
        <v>364</v>
      </c>
      <c r="D71" s="37" t="n">
        <v>17</v>
      </c>
      <c r="E71" s="37" t="n">
        <v>17</v>
      </c>
      <c r="F71" s="37" t="n">
        <f aca="false">COUNTIFS('Detail Sub SLS'!$Q:$Q,A71,'Detail Sub SLS'!$F:$F,"MASUK WILAYAH KERJA")</f>
        <v>9</v>
      </c>
      <c r="G71" s="37" t="n">
        <f aca="false">COUNTIFS('Detail Sub SLS'!$Q:$Q,A71,'Detail Sub SLS'!$F:$F,"TAMBAHAN")</f>
        <v>0</v>
      </c>
      <c r="H71" s="37" t="n">
        <f aca="false">COUNTIFS('Detail Sub SLS'!$Q:$Q,A71,'Detail Sub SLS'!$F:$F,"TIDAK IKUT")</f>
        <v>8</v>
      </c>
      <c r="I71" s="37" t="n">
        <f aca="false">D71-F71-G71-H71</f>
        <v>0</v>
      </c>
      <c r="J71" s="37" t="n">
        <f aca="false">SUMPRODUCT((LEFT('Jorong Terverifikasi'!$A$2:$A$54,10)=A71)*'Jorong Terverifikasi'!$J$2:$J$54)</f>
        <v>64</v>
      </c>
      <c r="K71" s="37" t="str">
        <f aca="false">IF(F71+G71&gt;0,IF(H71&gt;0,"SEBAGIAN MASUK",IF(G71&gt;0,"MASUK + TAMBAHAN","MASUK SEMUA")),IF(H71&gt;0,"TIDAK IKUT SELURUHNYA","DI LUAR DAFTAR AWAL"))</f>
        <v>SEBAGIAN MASUK</v>
      </c>
      <c r="L71" s="43"/>
    </row>
    <row r="72" customFormat="false" ht="15" hidden="false" customHeight="true" outlineLevel="0" collapsed="false">
      <c r="A72" s="37" t="s">
        <v>1913</v>
      </c>
      <c r="B72" s="37" t="s">
        <v>266</v>
      </c>
      <c r="C72" s="37" t="s">
        <v>1914</v>
      </c>
      <c r="D72" s="37" t="n">
        <v>6</v>
      </c>
      <c r="E72" s="37" t="n">
        <v>0</v>
      </c>
      <c r="F72" s="37" t="n">
        <f aca="false">COUNTIFS('Detail Sub SLS'!$Q:$Q,A72,'Detail Sub SLS'!$F:$F,"MASUK WILAYAH KERJA")</f>
        <v>0</v>
      </c>
      <c r="G72" s="37" t="n">
        <f aca="false">COUNTIFS('Detail Sub SLS'!$Q:$Q,A72,'Detail Sub SLS'!$F:$F,"TAMBAHAN")</f>
        <v>0</v>
      </c>
      <c r="H72" s="37" t="n">
        <f aca="false">COUNTIFS('Detail Sub SLS'!$Q:$Q,A72,'Detail Sub SLS'!$F:$F,"TIDAK IKUT")</f>
        <v>0</v>
      </c>
      <c r="I72" s="37" t="n">
        <f aca="false">D72-F72-G72-H72</f>
        <v>6</v>
      </c>
      <c r="J72" s="37" t="n">
        <f aca="false">SUMPRODUCT((LEFT('Jorong Terverifikasi'!$A$2:$A$54,10)=A72)*'Jorong Terverifikasi'!$J$2:$J$54)</f>
        <v>0</v>
      </c>
      <c r="K72" s="37" t="str">
        <f aca="false">IF(F72+G72&gt;0,IF(H72&gt;0,"SEBAGIAN MASUK",IF(G72&gt;0,"MASUK + TAMBAHAN","MASUK SEMUA")),IF(H72&gt;0,"TIDAK IKUT SELURUHNYA","DI LUAR DAFTAR AWAL"))</f>
        <v>DI LUAR DAFTAR AWAL</v>
      </c>
      <c r="L72" s="43"/>
    </row>
    <row r="73" customFormat="false" ht="15" hidden="false" customHeight="true" outlineLevel="0" collapsed="false">
      <c r="A73" s="37" t="s">
        <v>1915</v>
      </c>
      <c r="B73" s="37" t="s">
        <v>266</v>
      </c>
      <c r="C73" s="37" t="s">
        <v>374</v>
      </c>
      <c r="D73" s="37" t="n">
        <v>16</v>
      </c>
      <c r="E73" s="37" t="n">
        <v>0</v>
      </c>
      <c r="F73" s="37" t="n">
        <f aca="false">COUNTIFS('Detail Sub SLS'!$Q:$Q,A73,'Detail Sub SLS'!$F:$F,"MASUK WILAYAH KERJA")</f>
        <v>0</v>
      </c>
      <c r="G73" s="37" t="n">
        <f aca="false">COUNTIFS('Detail Sub SLS'!$Q:$Q,A73,'Detail Sub SLS'!$F:$F,"TAMBAHAN")</f>
        <v>0</v>
      </c>
      <c r="H73" s="37" t="n">
        <f aca="false">COUNTIFS('Detail Sub SLS'!$Q:$Q,A73,'Detail Sub SLS'!$F:$F,"TIDAK IKUT")</f>
        <v>0</v>
      </c>
      <c r="I73" s="37" t="n">
        <f aca="false">D73-F73-G73-H73</f>
        <v>16</v>
      </c>
      <c r="J73" s="37" t="n">
        <f aca="false">SUMPRODUCT((LEFT('Jorong Terverifikasi'!$A$2:$A$54,10)=A73)*'Jorong Terverifikasi'!$J$2:$J$54)</f>
        <v>0</v>
      </c>
      <c r="K73" s="37" t="str">
        <f aca="false">IF(F73+G73&gt;0,IF(H73&gt;0,"SEBAGIAN MASUK",IF(G73&gt;0,"MASUK + TAMBAHAN","MASUK SEMUA")),IF(H73&gt;0,"TIDAK IKUT SELURUHNYA","DI LUAR DAFTAR AWAL"))</f>
        <v>DI LUAR DAFTAR AWAL</v>
      </c>
      <c r="L73" s="43" t="s">
        <v>1857</v>
      </c>
    </row>
    <row r="74" customFormat="false" ht="15" hidden="false" customHeight="true" outlineLevel="0" collapsed="false">
      <c r="A74" s="37" t="s">
        <v>636</v>
      </c>
      <c r="B74" s="37" t="s">
        <v>634</v>
      </c>
      <c r="C74" s="37" t="s">
        <v>400</v>
      </c>
      <c r="D74" s="37" t="n">
        <v>6</v>
      </c>
      <c r="E74" s="37" t="n">
        <v>6</v>
      </c>
      <c r="F74" s="37" t="n">
        <f aca="false">COUNTIFS('Detail Sub SLS'!$Q:$Q,A74,'Detail Sub SLS'!$F:$F,"MASUK WILAYAH KERJA")</f>
        <v>6</v>
      </c>
      <c r="G74" s="37" t="n">
        <f aca="false">COUNTIFS('Detail Sub SLS'!$Q:$Q,A74,'Detail Sub SLS'!$F:$F,"TAMBAHAN")</f>
        <v>0</v>
      </c>
      <c r="H74" s="37" t="n">
        <f aca="false">COUNTIFS('Detail Sub SLS'!$Q:$Q,A74,'Detail Sub SLS'!$F:$F,"TIDAK IKUT")</f>
        <v>0</v>
      </c>
      <c r="I74" s="37" t="n">
        <f aca="false">D74-F74-G74-H74</f>
        <v>0</v>
      </c>
      <c r="J74" s="37" t="n">
        <f aca="false">SUMPRODUCT((LEFT('Jorong Terverifikasi'!$A$2:$A$54,10)=A74)*'Jorong Terverifikasi'!$J$2:$J$54)</f>
        <v>145</v>
      </c>
      <c r="K74" s="37" t="str">
        <f aca="false">IF(F74+G74&gt;0,IF(H74&gt;0,"SEBAGIAN MASUK",IF(G74&gt;0,"MASUK + TAMBAHAN","MASUK SEMUA")),IF(H74&gt;0,"TIDAK IKUT SELURUHNYA","DI LUAR DAFTAR AWAL"))</f>
        <v>MASUK SEMUA</v>
      </c>
      <c r="L74" s="43"/>
    </row>
    <row r="75" customFormat="false" ht="15" hidden="false" customHeight="true" outlineLevel="0" collapsed="false">
      <c r="A75" s="37" t="s">
        <v>633</v>
      </c>
      <c r="B75" s="37" t="s">
        <v>634</v>
      </c>
      <c r="C75" s="37" t="s">
        <v>358</v>
      </c>
      <c r="D75" s="37" t="n">
        <v>30</v>
      </c>
      <c r="E75" s="37" t="n">
        <v>30</v>
      </c>
      <c r="F75" s="37" t="n">
        <f aca="false">COUNTIFS('Detail Sub SLS'!$Q:$Q,A75,'Detail Sub SLS'!$F:$F,"MASUK WILAYAH KERJA")</f>
        <v>30</v>
      </c>
      <c r="G75" s="37" t="n">
        <f aca="false">COUNTIFS('Detail Sub SLS'!$Q:$Q,A75,'Detail Sub SLS'!$F:$F,"TAMBAHAN")</f>
        <v>0</v>
      </c>
      <c r="H75" s="37" t="n">
        <f aca="false">COUNTIFS('Detail Sub SLS'!$Q:$Q,A75,'Detail Sub SLS'!$F:$F,"TIDAK IKUT")</f>
        <v>0</v>
      </c>
      <c r="I75" s="37" t="n">
        <f aca="false">D75-F75-G75-H75</f>
        <v>0</v>
      </c>
      <c r="J75" s="37" t="n">
        <f aca="false">SUMPRODUCT((LEFT('Jorong Terverifikasi'!$A$2:$A$54,10)=A75)*'Jorong Terverifikasi'!$J$2:$J$54)</f>
        <v>133</v>
      </c>
      <c r="K75" s="37" t="str">
        <f aca="false">IF(F75+G75&gt;0,IF(H75&gt;0,"SEBAGIAN MASUK",IF(G75&gt;0,"MASUK + TAMBAHAN","MASUK SEMUA")),IF(H75&gt;0,"TIDAK IKUT SELURUHNYA","DI LUAR DAFTAR AWAL"))</f>
        <v>MASUK SEMUA</v>
      </c>
      <c r="L75" s="43"/>
    </row>
    <row r="76" customFormat="false" ht="15" hidden="false" customHeight="true" outlineLevel="0" collapsed="false">
      <c r="C76" s="11" t="s">
        <v>1916</v>
      </c>
      <c r="D76" s="11" t="n">
        <f aca="false">SUM(D2:D75)</f>
        <v>1084</v>
      </c>
      <c r="E76" s="11" t="n">
        <f aca="false">SUM(E2:E75)</f>
        <v>636</v>
      </c>
      <c r="F76" s="11" t="n">
        <f aca="false">SUM(F2:F75)</f>
        <v>205</v>
      </c>
      <c r="G76" s="11" t="n">
        <f aca="false">SUM(G2:G75)</f>
        <v>23</v>
      </c>
      <c r="H76" s="11" t="n">
        <f aca="false">SUM(H2:H75)</f>
        <v>431</v>
      </c>
      <c r="I76" s="11" t="n">
        <f aca="false">SUM(I2:I75)</f>
        <v>425</v>
      </c>
      <c r="J76" s="11" t="n">
        <f aca="false">SUM(J2:J75)</f>
        <v>3140</v>
      </c>
    </row>
  </sheetData>
  <autoFilter ref="A1:L75"/>
  <conditionalFormatting sqref="K2:K75">
    <cfRule type="expression" priority="2" aboveAverage="0" equalAverage="0" bottom="0" percent="0" rank="0" text="" dxfId="13">
      <formula>LEFT(K2,5)="TIDAK"</formula>
    </cfRule>
    <cfRule type="expression" priority="3" aboveAverage="0" equalAverage="0" bottom="0" percent="0" rank="0" text="" dxfId="14">
      <formula>LEFT(K2,7)="SEBAGIA"</formula>
    </cfRule>
    <cfRule type="expression" priority="4" aboveAverage="0" equalAverage="0" bottom="0" percent="0" rank="0" text="" dxfId="15">
      <formula>LEFT(K2,6)="MASUK "</formula>
    </cfRule>
    <cfRule type="expression" priority="5" aboveAverage="0" equalAverage="0" bottom="0" percent="0" rank="0" text="" dxfId="17">
      <formula>LEFT(K2,8)="DI LUAR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4" min="4" style="1" width="32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15" t="s">
        <v>1917</v>
      </c>
    </row>
    <row r="2" customFormat="false" ht="15" hidden="false" customHeight="true" outlineLevel="0" collapsed="false">
      <c r="A2" s="16" t="s">
        <v>1918</v>
      </c>
    </row>
    <row r="4" customFormat="false" ht="42" hidden="false" customHeight="true" outlineLevel="0" collapsed="false">
      <c r="A4" s="17" t="s">
        <v>1919</v>
      </c>
      <c r="B4" s="17" t="s">
        <v>1920</v>
      </c>
      <c r="D4" s="44" t="s">
        <v>285</v>
      </c>
      <c r="E4" s="44" t="s">
        <v>1921</v>
      </c>
    </row>
    <row r="5" customFormat="false" ht="15" hidden="false" customHeight="true" outlineLevel="0" collapsed="false">
      <c r="A5" s="18" t="n">
        <v>1</v>
      </c>
      <c r="B5" s="20" t="s">
        <v>76</v>
      </c>
      <c r="D5" s="20" t="s">
        <v>309</v>
      </c>
      <c r="E5" s="18" t="n">
        <f aca="false">COUNTIF($B$5:$B$141,D5)</f>
        <v>16</v>
      </c>
    </row>
    <row r="6" customFormat="false" ht="15" hidden="false" customHeight="true" outlineLevel="0" collapsed="false">
      <c r="A6" s="18" t="n">
        <v>2</v>
      </c>
      <c r="B6" s="20" t="s">
        <v>58</v>
      </c>
      <c r="D6" s="20" t="s">
        <v>315</v>
      </c>
      <c r="E6" s="18" t="n">
        <f aca="false">COUNTIF($B$5:$B$141,D6)</f>
        <v>13</v>
      </c>
    </row>
    <row r="7" customFormat="false" ht="15" hidden="false" customHeight="true" outlineLevel="0" collapsed="false">
      <c r="A7" s="18" t="n">
        <v>3</v>
      </c>
      <c r="B7" s="20" t="s">
        <v>76</v>
      </c>
      <c r="D7" s="20" t="s">
        <v>229</v>
      </c>
      <c r="E7" s="18" t="n">
        <f aca="false">COUNTIF($B$5:$B$141,D7)</f>
        <v>13</v>
      </c>
    </row>
    <row r="8" customFormat="false" ht="15" hidden="false" customHeight="true" outlineLevel="0" collapsed="false">
      <c r="A8" s="18" t="n">
        <v>4</v>
      </c>
      <c r="B8" s="20" t="s">
        <v>76</v>
      </c>
      <c r="D8" s="20" t="s">
        <v>298</v>
      </c>
      <c r="E8" s="18" t="n">
        <f aca="false">COUNTIF($B$5:$B$141,D8)</f>
        <v>12</v>
      </c>
    </row>
    <row r="9" customFormat="false" ht="15" hidden="false" customHeight="true" outlineLevel="0" collapsed="false">
      <c r="A9" s="18" t="n">
        <v>5</v>
      </c>
      <c r="B9" s="20" t="s">
        <v>298</v>
      </c>
      <c r="D9" s="20" t="s">
        <v>206</v>
      </c>
      <c r="E9" s="18" t="n">
        <f aca="false">COUNTIF($B$5:$B$141,D9)</f>
        <v>12</v>
      </c>
    </row>
    <row r="10" customFormat="false" ht="15" hidden="false" customHeight="true" outlineLevel="0" collapsed="false">
      <c r="A10" s="18" t="n">
        <v>6</v>
      </c>
      <c r="B10" s="20" t="s">
        <v>298</v>
      </c>
      <c r="D10" s="20" t="s">
        <v>212</v>
      </c>
      <c r="E10" s="18" t="n">
        <f aca="false">COUNTIF($B$5:$B$141,D10)</f>
        <v>11</v>
      </c>
    </row>
    <row r="11" customFormat="false" ht="15" hidden="false" customHeight="true" outlineLevel="0" collapsed="false">
      <c r="A11" s="18" t="n">
        <v>7</v>
      </c>
      <c r="B11" s="20" t="s">
        <v>298</v>
      </c>
      <c r="D11" s="20" t="s">
        <v>319</v>
      </c>
      <c r="E11" s="18" t="n">
        <f aca="false">COUNTIF($B$5:$B$141,D11)</f>
        <v>11</v>
      </c>
    </row>
    <row r="12" customFormat="false" ht="15" hidden="false" customHeight="true" outlineLevel="0" collapsed="false">
      <c r="A12" s="18" t="n">
        <v>8</v>
      </c>
      <c r="B12" s="20" t="s">
        <v>298</v>
      </c>
      <c r="D12" s="20" t="s">
        <v>76</v>
      </c>
      <c r="E12" s="18" t="n">
        <f aca="false">COUNTIF($B$5:$B$141,D12)</f>
        <v>10</v>
      </c>
    </row>
    <row r="13" customFormat="false" ht="15" hidden="false" customHeight="true" outlineLevel="0" collapsed="false">
      <c r="A13" s="18" t="n">
        <v>9</v>
      </c>
      <c r="B13" s="20" t="s">
        <v>298</v>
      </c>
      <c r="D13" s="20" t="s">
        <v>255</v>
      </c>
      <c r="E13" s="18" t="n">
        <f aca="false">COUNTIF($B$5:$B$141,D13)</f>
        <v>10</v>
      </c>
    </row>
    <row r="14" customFormat="false" ht="15" hidden="false" customHeight="true" outlineLevel="0" collapsed="false">
      <c r="A14" s="18" t="n">
        <v>10</v>
      </c>
      <c r="B14" s="20" t="s">
        <v>76</v>
      </c>
      <c r="D14" s="20" t="s">
        <v>58</v>
      </c>
      <c r="E14" s="18" t="n">
        <f aca="false">COUNTIF($B$5:$B$141,D14)</f>
        <v>8</v>
      </c>
    </row>
    <row r="15" customFormat="false" ht="15" hidden="false" customHeight="true" outlineLevel="0" collapsed="false">
      <c r="A15" s="18" t="n">
        <v>11</v>
      </c>
      <c r="B15" s="19"/>
      <c r="D15" s="20" t="s">
        <v>192</v>
      </c>
      <c r="E15" s="18" t="n">
        <f aca="false">COUNTIF($B$5:$B$141,D15)</f>
        <v>8</v>
      </c>
    </row>
    <row r="16" customFormat="false" ht="15" hidden="false" customHeight="true" outlineLevel="0" collapsed="false">
      <c r="A16" s="18" t="n">
        <v>12</v>
      </c>
      <c r="B16" s="19"/>
      <c r="D16" s="20" t="s">
        <v>1922</v>
      </c>
      <c r="E16" s="18" t="n">
        <f aca="false">COUNTIF($B$5:$B$141,D16)</f>
        <v>8</v>
      </c>
    </row>
    <row r="17" customFormat="false" ht="15" hidden="false" customHeight="true" outlineLevel="0" collapsed="false">
      <c r="A17" s="18" t="n">
        <v>13</v>
      </c>
      <c r="B17" s="19"/>
    </row>
    <row r="18" customFormat="false" ht="15" hidden="false" customHeight="true" outlineLevel="0" collapsed="false">
      <c r="A18" s="18" t="n">
        <v>14</v>
      </c>
      <c r="B18" s="19"/>
    </row>
    <row r="19" customFormat="false" ht="15" hidden="false" customHeight="true" outlineLevel="0" collapsed="false">
      <c r="A19" s="18" t="n">
        <v>15</v>
      </c>
      <c r="B19" s="19"/>
    </row>
    <row r="20" customFormat="false" ht="15" hidden="false" customHeight="true" outlineLevel="0" collapsed="false">
      <c r="A20" s="18" t="n">
        <v>16</v>
      </c>
      <c r="B20" s="20" t="s">
        <v>206</v>
      </c>
    </row>
    <row r="21" customFormat="false" ht="15" hidden="false" customHeight="true" outlineLevel="0" collapsed="false">
      <c r="A21" s="18" t="n">
        <v>17</v>
      </c>
      <c r="B21" s="20" t="s">
        <v>206</v>
      </c>
    </row>
    <row r="22" customFormat="false" ht="15" hidden="false" customHeight="true" outlineLevel="0" collapsed="false">
      <c r="A22" s="18" t="n">
        <v>18</v>
      </c>
      <c r="B22" s="20" t="s">
        <v>206</v>
      </c>
    </row>
    <row r="23" customFormat="false" ht="15" hidden="false" customHeight="true" outlineLevel="0" collapsed="false">
      <c r="A23" s="18" t="n">
        <v>19</v>
      </c>
      <c r="B23" s="20" t="s">
        <v>206</v>
      </c>
    </row>
    <row r="24" customFormat="false" ht="15" hidden="false" customHeight="true" outlineLevel="0" collapsed="false">
      <c r="A24" s="18" t="n">
        <v>20</v>
      </c>
      <c r="B24" s="20" t="s">
        <v>206</v>
      </c>
    </row>
    <row r="25" customFormat="false" ht="15" hidden="false" customHeight="true" outlineLevel="0" collapsed="false">
      <c r="A25" s="18" t="n">
        <v>21</v>
      </c>
      <c r="B25" s="20" t="s">
        <v>206</v>
      </c>
    </row>
    <row r="26" customFormat="false" ht="15" hidden="false" customHeight="true" outlineLevel="0" collapsed="false">
      <c r="A26" s="18" t="n">
        <v>22</v>
      </c>
      <c r="B26" s="20" t="s">
        <v>206</v>
      </c>
    </row>
    <row r="27" customFormat="false" ht="15" hidden="false" customHeight="true" outlineLevel="0" collapsed="false">
      <c r="A27" s="18" t="n">
        <v>23</v>
      </c>
      <c r="B27" s="20" t="s">
        <v>206</v>
      </c>
    </row>
    <row r="28" customFormat="false" ht="15" hidden="false" customHeight="true" outlineLevel="0" collapsed="false">
      <c r="A28" s="18" t="n">
        <v>24</v>
      </c>
      <c r="B28" s="20" t="s">
        <v>206</v>
      </c>
    </row>
    <row r="29" customFormat="false" ht="15" hidden="false" customHeight="true" outlineLevel="0" collapsed="false">
      <c r="A29" s="18" t="n">
        <v>25</v>
      </c>
      <c r="B29" s="20" t="s">
        <v>206</v>
      </c>
    </row>
    <row r="30" customFormat="false" ht="15" hidden="false" customHeight="true" outlineLevel="0" collapsed="false">
      <c r="A30" s="18" t="n">
        <v>26</v>
      </c>
      <c r="B30" s="20" t="s">
        <v>206</v>
      </c>
    </row>
    <row r="31" customFormat="false" ht="15" hidden="false" customHeight="true" outlineLevel="0" collapsed="false">
      <c r="A31" s="18" t="n">
        <v>27</v>
      </c>
      <c r="B31" s="20" t="s">
        <v>206</v>
      </c>
    </row>
    <row r="32" customFormat="false" ht="15" hidden="false" customHeight="true" outlineLevel="0" collapsed="false">
      <c r="A32" s="18" t="n">
        <v>28</v>
      </c>
      <c r="B32" s="20" t="s">
        <v>58</v>
      </c>
    </row>
    <row r="33" customFormat="false" ht="15" hidden="false" customHeight="true" outlineLevel="0" collapsed="false">
      <c r="A33" s="18" t="n">
        <v>29</v>
      </c>
      <c r="B33" s="20" t="s">
        <v>58</v>
      </c>
    </row>
    <row r="34" customFormat="false" ht="15" hidden="false" customHeight="true" outlineLevel="0" collapsed="false">
      <c r="A34" s="18" t="n">
        <v>30</v>
      </c>
      <c r="B34" s="20" t="s">
        <v>58</v>
      </c>
    </row>
    <row r="35" customFormat="false" ht="15" hidden="false" customHeight="true" outlineLevel="0" collapsed="false">
      <c r="A35" s="18" t="n">
        <v>31</v>
      </c>
      <c r="B35" s="20" t="s">
        <v>212</v>
      </c>
    </row>
    <row r="36" customFormat="false" ht="15" hidden="false" customHeight="true" outlineLevel="0" collapsed="false">
      <c r="A36" s="18" t="n">
        <v>32</v>
      </c>
      <c r="B36" s="20" t="s">
        <v>212</v>
      </c>
    </row>
    <row r="37" customFormat="false" ht="15" hidden="false" customHeight="true" outlineLevel="0" collapsed="false">
      <c r="A37" s="18" t="n">
        <v>33</v>
      </c>
      <c r="B37" s="20" t="s">
        <v>212</v>
      </c>
    </row>
    <row r="38" customFormat="false" ht="15" hidden="false" customHeight="true" outlineLevel="0" collapsed="false">
      <c r="A38" s="18" t="n">
        <v>34</v>
      </c>
      <c r="B38" s="20" t="s">
        <v>212</v>
      </c>
    </row>
    <row r="39" customFormat="false" ht="15" hidden="false" customHeight="true" outlineLevel="0" collapsed="false">
      <c r="A39" s="18" t="n">
        <v>35</v>
      </c>
      <c r="B39" s="20" t="s">
        <v>212</v>
      </c>
    </row>
    <row r="40" customFormat="false" ht="15" hidden="false" customHeight="true" outlineLevel="0" collapsed="false">
      <c r="A40" s="18" t="n">
        <v>36</v>
      </c>
      <c r="B40" s="20" t="s">
        <v>212</v>
      </c>
    </row>
    <row r="41" customFormat="false" ht="15" hidden="false" customHeight="true" outlineLevel="0" collapsed="false">
      <c r="A41" s="18" t="n">
        <v>37</v>
      </c>
      <c r="B41" s="20" t="s">
        <v>309</v>
      </c>
    </row>
    <row r="42" customFormat="false" ht="15" hidden="false" customHeight="true" outlineLevel="0" collapsed="false">
      <c r="A42" s="18" t="n">
        <v>38</v>
      </c>
      <c r="B42" s="20" t="s">
        <v>309</v>
      </c>
    </row>
    <row r="43" customFormat="false" ht="15" hidden="false" customHeight="true" outlineLevel="0" collapsed="false">
      <c r="A43" s="18" t="n">
        <v>39</v>
      </c>
      <c r="B43" s="20" t="s">
        <v>309</v>
      </c>
    </row>
    <row r="44" customFormat="false" ht="15" hidden="false" customHeight="true" outlineLevel="0" collapsed="false">
      <c r="A44" s="18" t="n">
        <v>40</v>
      </c>
      <c r="B44" s="20" t="s">
        <v>309</v>
      </c>
    </row>
    <row r="45" customFormat="false" ht="15" hidden="false" customHeight="true" outlineLevel="0" collapsed="false">
      <c r="A45" s="18" t="n">
        <v>41</v>
      </c>
      <c r="B45" s="20" t="s">
        <v>309</v>
      </c>
    </row>
    <row r="46" customFormat="false" ht="15" hidden="false" customHeight="true" outlineLevel="0" collapsed="false">
      <c r="A46" s="18" t="n">
        <v>42</v>
      </c>
      <c r="B46" s="20" t="s">
        <v>309</v>
      </c>
    </row>
    <row r="47" customFormat="false" ht="15" hidden="false" customHeight="true" outlineLevel="0" collapsed="false">
      <c r="A47" s="18" t="n">
        <v>43</v>
      </c>
      <c r="B47" s="20" t="s">
        <v>309</v>
      </c>
    </row>
    <row r="48" customFormat="false" ht="15" hidden="false" customHeight="true" outlineLevel="0" collapsed="false">
      <c r="A48" s="18" t="n">
        <v>44</v>
      </c>
      <c r="B48" s="20" t="s">
        <v>309</v>
      </c>
    </row>
    <row r="49" customFormat="false" ht="15" hidden="false" customHeight="true" outlineLevel="0" collapsed="false">
      <c r="A49" s="18" t="n">
        <v>45</v>
      </c>
      <c r="B49" s="20" t="s">
        <v>309</v>
      </c>
    </row>
    <row r="50" customFormat="false" ht="15" hidden="false" customHeight="true" outlineLevel="0" collapsed="false">
      <c r="A50" s="18" t="n">
        <v>46</v>
      </c>
      <c r="B50" s="20" t="s">
        <v>309</v>
      </c>
    </row>
    <row r="51" customFormat="false" ht="15" hidden="false" customHeight="true" outlineLevel="0" collapsed="false">
      <c r="A51" s="18" t="n">
        <v>47</v>
      </c>
      <c r="B51" s="20" t="s">
        <v>309</v>
      </c>
    </row>
    <row r="52" customFormat="false" ht="15" hidden="false" customHeight="true" outlineLevel="0" collapsed="false">
      <c r="A52" s="18" t="n">
        <v>48</v>
      </c>
      <c r="B52" s="20" t="s">
        <v>309</v>
      </c>
    </row>
    <row r="53" customFormat="false" ht="15" hidden="false" customHeight="true" outlineLevel="0" collapsed="false">
      <c r="A53" s="18" t="n">
        <v>49</v>
      </c>
      <c r="B53" s="20" t="s">
        <v>309</v>
      </c>
    </row>
    <row r="54" customFormat="false" ht="15" hidden="false" customHeight="true" outlineLevel="0" collapsed="false">
      <c r="A54" s="18" t="n">
        <v>50</v>
      </c>
      <c r="B54" s="20" t="s">
        <v>309</v>
      </c>
    </row>
    <row r="55" customFormat="false" ht="15" hidden="false" customHeight="true" outlineLevel="0" collapsed="false">
      <c r="A55" s="18" t="n">
        <v>51</v>
      </c>
      <c r="B55" s="20" t="s">
        <v>309</v>
      </c>
    </row>
    <row r="56" customFormat="false" ht="15" hidden="false" customHeight="true" outlineLevel="0" collapsed="false">
      <c r="A56" s="18" t="n">
        <v>52</v>
      </c>
      <c r="B56" s="20" t="s">
        <v>309</v>
      </c>
    </row>
    <row r="57" customFormat="false" ht="15" hidden="false" customHeight="true" outlineLevel="0" collapsed="false">
      <c r="A57" s="18" t="n">
        <v>53</v>
      </c>
      <c r="B57" s="20" t="s">
        <v>255</v>
      </c>
    </row>
    <row r="58" customFormat="false" ht="15" hidden="false" customHeight="true" outlineLevel="0" collapsed="false">
      <c r="A58" s="18" t="n">
        <v>54</v>
      </c>
      <c r="B58" s="20" t="s">
        <v>255</v>
      </c>
    </row>
    <row r="59" customFormat="false" ht="15" hidden="false" customHeight="true" outlineLevel="0" collapsed="false">
      <c r="A59" s="18" t="n">
        <v>55</v>
      </c>
      <c r="B59" s="20" t="s">
        <v>255</v>
      </c>
    </row>
    <row r="60" customFormat="false" ht="15" hidden="false" customHeight="true" outlineLevel="0" collapsed="false">
      <c r="A60" s="18" t="n">
        <v>56</v>
      </c>
      <c r="B60" s="20" t="s">
        <v>255</v>
      </c>
    </row>
    <row r="61" customFormat="false" ht="15" hidden="false" customHeight="true" outlineLevel="0" collapsed="false">
      <c r="A61" s="18" t="n">
        <v>57</v>
      </c>
      <c r="B61" s="20" t="s">
        <v>255</v>
      </c>
    </row>
    <row r="62" customFormat="false" ht="15" hidden="false" customHeight="true" outlineLevel="0" collapsed="false">
      <c r="A62" s="18" t="n">
        <v>58</v>
      </c>
      <c r="B62" s="20" t="s">
        <v>192</v>
      </c>
    </row>
    <row r="63" customFormat="false" ht="15" hidden="false" customHeight="true" outlineLevel="0" collapsed="false">
      <c r="A63" s="18" t="n">
        <v>59</v>
      </c>
      <c r="B63" s="20" t="s">
        <v>192</v>
      </c>
    </row>
    <row r="64" customFormat="false" ht="15" hidden="false" customHeight="true" outlineLevel="0" collapsed="false">
      <c r="A64" s="18" t="n">
        <v>60</v>
      </c>
      <c r="B64" s="20" t="s">
        <v>192</v>
      </c>
    </row>
    <row r="65" customFormat="false" ht="15" hidden="false" customHeight="true" outlineLevel="0" collapsed="false">
      <c r="A65" s="18" t="n">
        <v>61</v>
      </c>
      <c r="B65" s="20" t="s">
        <v>192</v>
      </c>
    </row>
    <row r="66" customFormat="false" ht="15" hidden="false" customHeight="true" outlineLevel="0" collapsed="false">
      <c r="A66" s="18" t="n">
        <v>62</v>
      </c>
      <c r="B66" s="20" t="s">
        <v>192</v>
      </c>
    </row>
    <row r="67" customFormat="false" ht="15" hidden="false" customHeight="true" outlineLevel="0" collapsed="false">
      <c r="A67" s="18" t="n">
        <v>63</v>
      </c>
      <c r="B67" s="20" t="s">
        <v>192</v>
      </c>
    </row>
    <row r="68" customFormat="false" ht="15" hidden="false" customHeight="true" outlineLevel="0" collapsed="false">
      <c r="A68" s="18" t="n">
        <v>64</v>
      </c>
      <c r="B68" s="20" t="s">
        <v>192</v>
      </c>
    </row>
    <row r="69" customFormat="false" ht="15" hidden="false" customHeight="true" outlineLevel="0" collapsed="false">
      <c r="A69" s="18" t="n">
        <v>65</v>
      </c>
      <c r="B69" s="20" t="s">
        <v>192</v>
      </c>
    </row>
    <row r="70" customFormat="false" ht="15" hidden="false" customHeight="true" outlineLevel="0" collapsed="false">
      <c r="A70" s="18" t="n">
        <v>66</v>
      </c>
      <c r="B70" s="20" t="s">
        <v>315</v>
      </c>
    </row>
    <row r="71" customFormat="false" ht="15" hidden="false" customHeight="true" outlineLevel="0" collapsed="false">
      <c r="A71" s="18" t="n">
        <v>67</v>
      </c>
      <c r="B71" s="20" t="s">
        <v>315</v>
      </c>
    </row>
    <row r="72" customFormat="false" ht="15" hidden="false" customHeight="true" outlineLevel="0" collapsed="false">
      <c r="A72" s="18" t="n">
        <v>68</v>
      </c>
      <c r="B72" s="20" t="s">
        <v>315</v>
      </c>
    </row>
    <row r="73" customFormat="false" ht="15" hidden="false" customHeight="true" outlineLevel="0" collapsed="false">
      <c r="A73" s="18" t="n">
        <v>69</v>
      </c>
      <c r="B73" s="20" t="s">
        <v>315</v>
      </c>
    </row>
    <row r="74" customFormat="false" ht="15" hidden="false" customHeight="true" outlineLevel="0" collapsed="false">
      <c r="A74" s="18" t="n">
        <v>70</v>
      </c>
      <c r="B74" s="20" t="s">
        <v>315</v>
      </c>
    </row>
    <row r="75" customFormat="false" ht="15" hidden="false" customHeight="true" outlineLevel="0" collapsed="false">
      <c r="A75" s="18" t="n">
        <v>71</v>
      </c>
      <c r="B75" s="20" t="s">
        <v>315</v>
      </c>
    </row>
    <row r="76" customFormat="false" ht="15" hidden="false" customHeight="true" outlineLevel="0" collapsed="false">
      <c r="A76" s="18" t="n">
        <v>72</v>
      </c>
      <c r="B76" s="20" t="s">
        <v>315</v>
      </c>
    </row>
    <row r="77" customFormat="false" ht="15" hidden="false" customHeight="true" outlineLevel="0" collapsed="false">
      <c r="A77" s="18" t="n">
        <v>73</v>
      </c>
      <c r="B77" s="20" t="s">
        <v>315</v>
      </c>
    </row>
    <row r="78" customFormat="false" ht="15" hidden="false" customHeight="true" outlineLevel="0" collapsed="false">
      <c r="A78" s="18" t="n">
        <v>74</v>
      </c>
      <c r="B78" s="20" t="s">
        <v>315</v>
      </c>
    </row>
    <row r="79" customFormat="false" ht="15" hidden="false" customHeight="true" outlineLevel="0" collapsed="false">
      <c r="A79" s="18" t="n">
        <v>75</v>
      </c>
      <c r="B79" s="20" t="s">
        <v>315</v>
      </c>
    </row>
    <row r="80" customFormat="false" ht="15" hidden="false" customHeight="true" outlineLevel="0" collapsed="false">
      <c r="A80" s="18" t="n">
        <v>76</v>
      </c>
      <c r="B80" s="20" t="s">
        <v>315</v>
      </c>
    </row>
    <row r="81" customFormat="false" ht="15" hidden="false" customHeight="true" outlineLevel="0" collapsed="false">
      <c r="A81" s="18" t="n">
        <v>77</v>
      </c>
      <c r="B81" s="20" t="s">
        <v>315</v>
      </c>
    </row>
    <row r="82" customFormat="false" ht="15" hidden="false" customHeight="true" outlineLevel="0" collapsed="false">
      <c r="A82" s="18" t="n">
        <v>78</v>
      </c>
      <c r="B82" s="20" t="s">
        <v>315</v>
      </c>
    </row>
    <row r="83" customFormat="false" ht="15" hidden="false" customHeight="true" outlineLevel="0" collapsed="false">
      <c r="A83" s="18" t="n">
        <v>79</v>
      </c>
      <c r="B83" s="20" t="s">
        <v>298</v>
      </c>
    </row>
    <row r="84" customFormat="false" ht="15" hidden="false" customHeight="true" outlineLevel="0" collapsed="false">
      <c r="A84" s="18" t="n">
        <v>80</v>
      </c>
      <c r="B84" s="20" t="s">
        <v>298</v>
      </c>
    </row>
    <row r="85" customFormat="false" ht="15" hidden="false" customHeight="true" outlineLevel="0" collapsed="false">
      <c r="A85" s="18" t="n">
        <v>81</v>
      </c>
      <c r="B85" s="20" t="s">
        <v>298</v>
      </c>
    </row>
    <row r="86" customFormat="false" ht="15" hidden="false" customHeight="true" outlineLevel="0" collapsed="false">
      <c r="A86" s="18" t="n">
        <v>82</v>
      </c>
      <c r="B86" s="20" t="s">
        <v>298</v>
      </c>
    </row>
    <row r="87" customFormat="false" ht="15" hidden="false" customHeight="true" outlineLevel="0" collapsed="false">
      <c r="A87" s="18" t="n">
        <v>83</v>
      </c>
      <c r="B87" s="20" t="s">
        <v>298</v>
      </c>
    </row>
    <row r="88" customFormat="false" ht="15" hidden="false" customHeight="true" outlineLevel="0" collapsed="false">
      <c r="A88" s="18" t="n">
        <v>84</v>
      </c>
      <c r="B88" s="20" t="s">
        <v>298</v>
      </c>
    </row>
    <row r="89" customFormat="false" ht="15" hidden="false" customHeight="true" outlineLevel="0" collapsed="false">
      <c r="A89" s="18" t="n">
        <v>85</v>
      </c>
      <c r="B89" s="20" t="s">
        <v>298</v>
      </c>
    </row>
    <row r="90" customFormat="false" ht="15" hidden="false" customHeight="true" outlineLevel="0" collapsed="false">
      <c r="A90" s="18" t="n">
        <v>86</v>
      </c>
      <c r="B90" s="20" t="s">
        <v>255</v>
      </c>
    </row>
    <row r="91" customFormat="false" ht="15" hidden="false" customHeight="true" outlineLevel="0" collapsed="false">
      <c r="A91" s="18" t="n">
        <v>87</v>
      </c>
      <c r="B91" s="20" t="s">
        <v>255</v>
      </c>
    </row>
    <row r="92" customFormat="false" ht="15" hidden="false" customHeight="true" outlineLevel="0" collapsed="false">
      <c r="A92" s="18" t="n">
        <v>88</v>
      </c>
      <c r="B92" s="20" t="s">
        <v>255</v>
      </c>
    </row>
    <row r="93" customFormat="false" ht="15" hidden="false" customHeight="true" outlineLevel="0" collapsed="false">
      <c r="A93" s="18" t="n">
        <v>89</v>
      </c>
      <c r="B93" s="20" t="s">
        <v>255</v>
      </c>
    </row>
    <row r="94" customFormat="false" ht="15" hidden="false" customHeight="true" outlineLevel="0" collapsed="false">
      <c r="A94" s="18" t="n">
        <v>90</v>
      </c>
      <c r="B94" s="20" t="s">
        <v>58</v>
      </c>
    </row>
    <row r="95" customFormat="false" ht="15" hidden="false" customHeight="true" outlineLevel="0" collapsed="false">
      <c r="A95" s="18" t="n">
        <v>91</v>
      </c>
      <c r="B95" s="20" t="s">
        <v>58</v>
      </c>
    </row>
    <row r="96" customFormat="false" ht="15" hidden="false" customHeight="true" outlineLevel="0" collapsed="false">
      <c r="A96" s="18" t="n">
        <v>92</v>
      </c>
      <c r="B96" s="20" t="s">
        <v>58</v>
      </c>
    </row>
    <row r="97" customFormat="false" ht="15" hidden="false" customHeight="true" outlineLevel="0" collapsed="false">
      <c r="A97" s="18" t="n">
        <v>93</v>
      </c>
      <c r="B97" s="20" t="s">
        <v>76</v>
      </c>
    </row>
    <row r="98" customFormat="false" ht="15" hidden="false" customHeight="true" outlineLevel="0" collapsed="false">
      <c r="A98" s="18" t="n">
        <v>94</v>
      </c>
      <c r="B98" s="20" t="s">
        <v>76</v>
      </c>
    </row>
    <row r="99" customFormat="false" ht="15" hidden="false" customHeight="true" outlineLevel="0" collapsed="false">
      <c r="A99" s="18" t="n">
        <v>95</v>
      </c>
      <c r="B99" s="20" t="s">
        <v>76</v>
      </c>
    </row>
    <row r="100" customFormat="false" ht="15" hidden="false" customHeight="true" outlineLevel="0" collapsed="false">
      <c r="A100" s="18" t="n">
        <v>96</v>
      </c>
      <c r="B100" s="20" t="s">
        <v>58</v>
      </c>
    </row>
    <row r="101" customFormat="false" ht="15" hidden="false" customHeight="true" outlineLevel="0" collapsed="false">
      <c r="A101" s="18" t="n">
        <v>97</v>
      </c>
      <c r="B101" s="20" t="s">
        <v>212</v>
      </c>
    </row>
    <row r="102" customFormat="false" ht="15" hidden="false" customHeight="true" outlineLevel="0" collapsed="false">
      <c r="A102" s="18" t="n">
        <v>98</v>
      </c>
      <c r="B102" s="20" t="s">
        <v>212</v>
      </c>
    </row>
    <row r="103" customFormat="false" ht="15" hidden="false" customHeight="true" outlineLevel="0" collapsed="false">
      <c r="A103" s="18" t="n">
        <v>99</v>
      </c>
      <c r="B103" s="20" t="s">
        <v>212</v>
      </c>
    </row>
    <row r="104" customFormat="false" ht="15" hidden="false" customHeight="true" outlineLevel="0" collapsed="false">
      <c r="A104" s="18" t="n">
        <v>100</v>
      </c>
      <c r="B104" s="20" t="s">
        <v>212</v>
      </c>
    </row>
    <row r="105" customFormat="false" ht="15" hidden="false" customHeight="true" outlineLevel="0" collapsed="false">
      <c r="A105" s="18" t="n">
        <v>101</v>
      </c>
      <c r="B105" s="20" t="s">
        <v>212</v>
      </c>
    </row>
    <row r="106" customFormat="false" ht="15" hidden="false" customHeight="true" outlineLevel="0" collapsed="false">
      <c r="A106" s="18" t="n">
        <v>102</v>
      </c>
      <c r="B106" s="20" t="s">
        <v>76</v>
      </c>
    </row>
    <row r="107" customFormat="false" ht="15" hidden="false" customHeight="true" outlineLevel="0" collapsed="false">
      <c r="A107" s="18" t="n">
        <v>103</v>
      </c>
      <c r="B107" s="20" t="s">
        <v>76</v>
      </c>
    </row>
    <row r="108" customFormat="false" ht="15" hidden="false" customHeight="true" outlineLevel="0" collapsed="false">
      <c r="A108" s="18" t="n">
        <v>104</v>
      </c>
      <c r="B108" s="20" t="s">
        <v>76</v>
      </c>
    </row>
    <row r="109" customFormat="false" ht="15" hidden="false" customHeight="true" outlineLevel="0" collapsed="false">
      <c r="A109" s="18" t="n">
        <v>105</v>
      </c>
      <c r="B109" s="20" t="s">
        <v>229</v>
      </c>
    </row>
    <row r="110" customFormat="false" ht="15" hidden="false" customHeight="true" outlineLevel="0" collapsed="false">
      <c r="A110" s="18" t="n">
        <v>106</v>
      </c>
      <c r="B110" s="20" t="s">
        <v>229</v>
      </c>
    </row>
    <row r="111" customFormat="false" ht="15" hidden="false" customHeight="true" outlineLevel="0" collapsed="false">
      <c r="A111" s="18" t="n">
        <v>107</v>
      </c>
      <c r="B111" s="20" t="s">
        <v>229</v>
      </c>
    </row>
    <row r="112" customFormat="false" ht="15" hidden="false" customHeight="true" outlineLevel="0" collapsed="false">
      <c r="A112" s="18" t="n">
        <v>108</v>
      </c>
      <c r="B112" s="20" t="s">
        <v>229</v>
      </c>
    </row>
    <row r="113" customFormat="false" ht="15" hidden="false" customHeight="true" outlineLevel="0" collapsed="false">
      <c r="A113" s="18" t="n">
        <v>109</v>
      </c>
      <c r="B113" s="20" t="s">
        <v>229</v>
      </c>
    </row>
    <row r="114" customFormat="false" ht="15" hidden="false" customHeight="true" outlineLevel="0" collapsed="false">
      <c r="A114" s="18" t="n">
        <v>110</v>
      </c>
      <c r="B114" s="20" t="s">
        <v>229</v>
      </c>
    </row>
    <row r="115" customFormat="false" ht="15" hidden="false" customHeight="true" outlineLevel="0" collapsed="false">
      <c r="A115" s="18" t="n">
        <v>111</v>
      </c>
      <c r="B115" s="20" t="s">
        <v>319</v>
      </c>
    </row>
    <row r="116" customFormat="false" ht="15" hidden="false" customHeight="true" outlineLevel="0" collapsed="false">
      <c r="A116" s="18" t="n">
        <v>112</v>
      </c>
      <c r="B116" s="20" t="s">
        <v>319</v>
      </c>
    </row>
    <row r="117" customFormat="false" ht="15" hidden="false" customHeight="true" outlineLevel="0" collapsed="false">
      <c r="A117" s="18" t="n">
        <v>113</v>
      </c>
      <c r="B117" s="20" t="s">
        <v>319</v>
      </c>
    </row>
    <row r="118" customFormat="false" ht="15" hidden="false" customHeight="true" outlineLevel="0" collapsed="false">
      <c r="A118" s="18" t="n">
        <v>114</v>
      </c>
      <c r="B118" s="20" t="s">
        <v>319</v>
      </c>
    </row>
    <row r="119" customFormat="false" ht="15" hidden="false" customHeight="true" outlineLevel="0" collapsed="false">
      <c r="A119" s="18" t="n">
        <v>115</v>
      </c>
      <c r="B119" s="20" t="s">
        <v>319</v>
      </c>
    </row>
    <row r="120" customFormat="false" ht="15" hidden="false" customHeight="true" outlineLevel="0" collapsed="false">
      <c r="A120" s="18" t="n">
        <v>116</v>
      </c>
      <c r="B120" s="20" t="s">
        <v>319</v>
      </c>
    </row>
    <row r="121" customFormat="false" ht="15" hidden="false" customHeight="true" outlineLevel="0" collapsed="false">
      <c r="A121" s="18" t="n">
        <v>117</v>
      </c>
      <c r="B121" s="20" t="s">
        <v>319</v>
      </c>
    </row>
    <row r="122" customFormat="false" ht="15" hidden="false" customHeight="true" outlineLevel="0" collapsed="false">
      <c r="A122" s="18" t="n">
        <v>118</v>
      </c>
      <c r="B122" s="20" t="s">
        <v>319</v>
      </c>
    </row>
    <row r="123" customFormat="false" ht="15" hidden="false" customHeight="true" outlineLevel="0" collapsed="false">
      <c r="A123" s="18" t="n">
        <v>119</v>
      </c>
      <c r="B123" s="20" t="s">
        <v>319</v>
      </c>
    </row>
    <row r="124" customFormat="false" ht="15" hidden="false" customHeight="true" outlineLevel="0" collapsed="false">
      <c r="A124" s="18" t="n">
        <v>120</v>
      </c>
      <c r="B124" s="20" t="s">
        <v>319</v>
      </c>
    </row>
    <row r="125" customFormat="false" ht="15" hidden="false" customHeight="true" outlineLevel="0" collapsed="false">
      <c r="A125" s="18" t="n">
        <v>121</v>
      </c>
      <c r="B125" s="20" t="s">
        <v>319</v>
      </c>
    </row>
    <row r="126" customFormat="false" ht="15" hidden="false" customHeight="true" outlineLevel="0" collapsed="false">
      <c r="A126" s="18" t="n">
        <v>122</v>
      </c>
      <c r="B126" s="20" t="s">
        <v>229</v>
      </c>
    </row>
    <row r="127" customFormat="false" ht="15" hidden="false" customHeight="true" outlineLevel="0" collapsed="false">
      <c r="A127" s="18" t="n">
        <v>123</v>
      </c>
      <c r="B127" s="20" t="s">
        <v>229</v>
      </c>
    </row>
    <row r="128" customFormat="false" ht="15" hidden="false" customHeight="true" outlineLevel="0" collapsed="false">
      <c r="A128" s="18" t="n">
        <v>124</v>
      </c>
      <c r="B128" s="20" t="s">
        <v>229</v>
      </c>
    </row>
    <row r="129" customFormat="false" ht="15" hidden="false" customHeight="true" outlineLevel="0" collapsed="false">
      <c r="A129" s="18" t="n">
        <v>125</v>
      </c>
      <c r="B129" s="20" t="s">
        <v>229</v>
      </c>
    </row>
    <row r="130" customFormat="false" ht="15" hidden="false" customHeight="true" outlineLevel="0" collapsed="false">
      <c r="A130" s="18" t="n">
        <v>126</v>
      </c>
      <c r="B130" s="20" t="s">
        <v>229</v>
      </c>
    </row>
    <row r="131" customFormat="false" ht="15" hidden="false" customHeight="true" outlineLevel="0" collapsed="false">
      <c r="A131" s="18" t="n">
        <v>127</v>
      </c>
      <c r="B131" s="20" t="s">
        <v>1922</v>
      </c>
    </row>
    <row r="132" customFormat="false" ht="15" hidden="false" customHeight="true" outlineLevel="0" collapsed="false">
      <c r="A132" s="18" t="n">
        <v>128</v>
      </c>
      <c r="B132" s="20" t="s">
        <v>1922</v>
      </c>
    </row>
    <row r="133" customFormat="false" ht="15" hidden="false" customHeight="true" outlineLevel="0" collapsed="false">
      <c r="A133" s="18" t="n">
        <v>129</v>
      </c>
      <c r="B133" s="20" t="s">
        <v>1922</v>
      </c>
    </row>
    <row r="134" customFormat="false" ht="15" hidden="false" customHeight="true" outlineLevel="0" collapsed="false">
      <c r="A134" s="18" t="n">
        <v>130</v>
      </c>
      <c r="B134" s="20" t="s">
        <v>1922</v>
      </c>
    </row>
    <row r="135" customFormat="false" ht="15" hidden="false" customHeight="true" outlineLevel="0" collapsed="false">
      <c r="A135" s="18" t="n">
        <v>131</v>
      </c>
      <c r="B135" s="20" t="s">
        <v>1922</v>
      </c>
    </row>
    <row r="136" customFormat="false" ht="15" hidden="false" customHeight="true" outlineLevel="0" collapsed="false">
      <c r="A136" s="18" t="n">
        <v>132</v>
      </c>
      <c r="B136" s="20" t="s">
        <v>1922</v>
      </c>
    </row>
    <row r="137" customFormat="false" ht="15" hidden="false" customHeight="true" outlineLevel="0" collapsed="false">
      <c r="A137" s="18" t="n">
        <v>133</v>
      </c>
      <c r="B137" s="20" t="s">
        <v>1922</v>
      </c>
    </row>
    <row r="138" customFormat="false" ht="15" hidden="false" customHeight="true" outlineLevel="0" collapsed="false">
      <c r="A138" s="18" t="n">
        <v>134</v>
      </c>
      <c r="B138" s="20" t="s">
        <v>1922</v>
      </c>
    </row>
    <row r="139" customFormat="false" ht="15" hidden="false" customHeight="true" outlineLevel="0" collapsed="false">
      <c r="A139" s="18" t="n">
        <v>135</v>
      </c>
      <c r="B139" s="20" t="s">
        <v>255</v>
      </c>
    </row>
    <row r="140" customFormat="false" ht="15" hidden="false" customHeight="true" outlineLevel="0" collapsed="false">
      <c r="A140" s="18" t="n">
        <v>136</v>
      </c>
      <c r="B140" s="20" t="s">
        <v>229</v>
      </c>
    </row>
    <row r="141" customFormat="false" ht="15" hidden="false" customHeight="true" outlineLevel="0" collapsed="false">
      <c r="A141" s="18" t="n">
        <v>137</v>
      </c>
      <c r="B141" s="20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2026-10-04T11:09:56Z</dcterms:created>
  <dc:creator>openpyxl</dc:creator>
  <dc:description/>
  <dc:language>en-US</dc:language>
  <cp:lastModifiedBy/>
  <dcterms:modified xsi:type="dcterms:W3CDTF">2026-10-04T12:38:31Z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